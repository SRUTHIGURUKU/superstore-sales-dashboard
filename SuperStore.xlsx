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\Downloads\"/>
    </mc:Choice>
  </mc:AlternateContent>
  <xr:revisionPtr revIDLastSave="0" documentId="8_{16CF3016-F29D-42EF-A32E-4782C0CE89AC}" xr6:coauthVersionLast="47" xr6:coauthVersionMax="47" xr10:uidLastSave="{00000000-0000-0000-0000-000000000000}"/>
  <bookViews>
    <workbookView xWindow="-108" yWindow="-108" windowWidth="23256" windowHeight="12456" xr2:uid="{5A6F0109-71B5-4D98-8B08-D37034CDE775}"/>
  </bookViews>
  <sheets>
    <sheet name="Sheet1" sheetId="1" r:id="rId1"/>
  </sheets>
  <definedNames>
    <definedName name="ExternalData_1" localSheetId="0" hidden="1">Sheet1!$A$1:$X$1937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938" i="1" l="1"/>
  <c r="J1938" i="1"/>
  <c r="Z1937" i="1"/>
  <c r="Y1937" i="1"/>
  <c r="Z1936" i="1"/>
  <c r="Y1936" i="1"/>
  <c r="Z1935" i="1"/>
  <c r="Y1935" i="1"/>
  <c r="Z1934" i="1"/>
  <c r="Y1934" i="1"/>
  <c r="Z1933" i="1"/>
  <c r="Y1933" i="1"/>
  <c r="Z1932" i="1"/>
  <c r="Y1932" i="1"/>
  <c r="Z1931" i="1"/>
  <c r="Y1931" i="1"/>
  <c r="Z1930" i="1"/>
  <c r="Y1930" i="1"/>
  <c r="Z1929" i="1"/>
  <c r="Y1929" i="1"/>
  <c r="Z1928" i="1"/>
  <c r="Y1928" i="1"/>
  <c r="Z1927" i="1"/>
  <c r="Y1927" i="1"/>
  <c r="Z1926" i="1"/>
  <c r="Y1926" i="1"/>
  <c r="Z1925" i="1"/>
  <c r="Y1925" i="1"/>
  <c r="Z1924" i="1"/>
  <c r="Y1924" i="1"/>
  <c r="Z1923" i="1"/>
  <c r="Y1923" i="1"/>
  <c r="Z1922" i="1"/>
  <c r="Y1922" i="1"/>
  <c r="Z1921" i="1"/>
  <c r="Y1921" i="1"/>
  <c r="Z1920" i="1"/>
  <c r="Y1920" i="1"/>
  <c r="Z1919" i="1"/>
  <c r="Y1919" i="1"/>
  <c r="Z1918" i="1"/>
  <c r="Y1918" i="1"/>
  <c r="Z1917" i="1"/>
  <c r="Y1917" i="1"/>
  <c r="Z1916" i="1"/>
  <c r="Y1916" i="1"/>
  <c r="Z1915" i="1"/>
  <c r="Y1915" i="1"/>
  <c r="Z1914" i="1"/>
  <c r="Y1914" i="1"/>
  <c r="Z1913" i="1"/>
  <c r="Y1913" i="1"/>
  <c r="Z1912" i="1"/>
  <c r="Y1912" i="1"/>
  <c r="Z1911" i="1"/>
  <c r="Y1911" i="1"/>
  <c r="Z1910" i="1"/>
  <c r="Y1910" i="1"/>
  <c r="Z1909" i="1"/>
  <c r="Y1909" i="1"/>
  <c r="Z1908" i="1"/>
  <c r="Y1908" i="1"/>
  <c r="Z1907" i="1"/>
  <c r="Y1907" i="1"/>
  <c r="Z1906" i="1"/>
  <c r="Y1906" i="1"/>
  <c r="Z1905" i="1"/>
  <c r="Y1905" i="1"/>
  <c r="Z1904" i="1"/>
  <c r="Y1904" i="1"/>
  <c r="Z1903" i="1"/>
  <c r="Y1903" i="1"/>
  <c r="Z1902" i="1"/>
  <c r="Y1902" i="1"/>
  <c r="Z1901" i="1"/>
  <c r="Y1901" i="1"/>
  <c r="Z1900" i="1"/>
  <c r="Y1900" i="1"/>
  <c r="Z1899" i="1"/>
  <c r="Y1899" i="1"/>
  <c r="Z1898" i="1"/>
  <c r="Y1898" i="1"/>
  <c r="Z1897" i="1"/>
  <c r="Y1897" i="1"/>
  <c r="Z1896" i="1"/>
  <c r="Y1896" i="1"/>
  <c r="Z1895" i="1"/>
  <c r="Y1895" i="1"/>
  <c r="Z1894" i="1"/>
  <c r="Y1894" i="1"/>
  <c r="Z1893" i="1"/>
  <c r="Y1893" i="1"/>
  <c r="Z1892" i="1"/>
  <c r="Y1892" i="1"/>
  <c r="Z1891" i="1"/>
  <c r="Y1891" i="1"/>
  <c r="Z1890" i="1"/>
  <c r="Y1890" i="1"/>
  <c r="Z1889" i="1"/>
  <c r="Y1889" i="1"/>
  <c r="Z1888" i="1"/>
  <c r="Y1888" i="1"/>
  <c r="Z1887" i="1"/>
  <c r="Y1887" i="1"/>
  <c r="Z1886" i="1"/>
  <c r="Y1886" i="1"/>
  <c r="Z1885" i="1"/>
  <c r="Y1885" i="1"/>
  <c r="Z1884" i="1"/>
  <c r="Y1884" i="1"/>
  <c r="Z1883" i="1"/>
  <c r="Y1883" i="1"/>
  <c r="Z1882" i="1"/>
  <c r="Y1882" i="1"/>
  <c r="Z1881" i="1"/>
  <c r="Y1881" i="1"/>
  <c r="Z1880" i="1"/>
  <c r="Y1880" i="1"/>
  <c r="Z1879" i="1"/>
  <c r="Y1879" i="1"/>
  <c r="Z1878" i="1"/>
  <c r="Y1878" i="1"/>
  <c r="Z1877" i="1"/>
  <c r="Y1877" i="1"/>
  <c r="Z1876" i="1"/>
  <c r="Y1876" i="1"/>
  <c r="Z1875" i="1"/>
  <c r="Y1875" i="1"/>
  <c r="Z1874" i="1"/>
  <c r="Y1874" i="1"/>
  <c r="Z1873" i="1"/>
  <c r="Y1873" i="1"/>
  <c r="Z1872" i="1"/>
  <c r="Y1872" i="1"/>
  <c r="Z1871" i="1"/>
  <c r="Y1871" i="1"/>
  <c r="Z1870" i="1"/>
  <c r="Y1870" i="1"/>
  <c r="Z1869" i="1"/>
  <c r="Y1869" i="1"/>
  <c r="Z1868" i="1"/>
  <c r="Y1868" i="1"/>
  <c r="Z1867" i="1"/>
  <c r="Y1867" i="1"/>
  <c r="Z1866" i="1"/>
  <c r="Y1866" i="1"/>
  <c r="Z1865" i="1"/>
  <c r="Y1865" i="1"/>
  <c r="Z1864" i="1"/>
  <c r="Y1864" i="1"/>
  <c r="Z1863" i="1"/>
  <c r="Y1863" i="1"/>
  <c r="Z1862" i="1"/>
  <c r="Y1862" i="1"/>
  <c r="Z1861" i="1"/>
  <c r="Y1861" i="1"/>
  <c r="Z1860" i="1"/>
  <c r="Y1860" i="1"/>
  <c r="Z1859" i="1"/>
  <c r="Y1859" i="1"/>
  <c r="Z1858" i="1"/>
  <c r="Y1858" i="1"/>
  <c r="Z1857" i="1"/>
  <c r="Y1857" i="1"/>
  <c r="Z1856" i="1"/>
  <c r="Y1856" i="1"/>
  <c r="Z1855" i="1"/>
  <c r="Y1855" i="1"/>
  <c r="Z1854" i="1"/>
  <c r="Y1854" i="1"/>
  <c r="Z1853" i="1"/>
  <c r="Y1853" i="1"/>
  <c r="Z1852" i="1"/>
  <c r="Y1852" i="1"/>
  <c r="Z1851" i="1"/>
  <c r="Y1851" i="1"/>
  <c r="Z1850" i="1"/>
  <c r="Y1850" i="1"/>
  <c r="Z1849" i="1"/>
  <c r="Y1849" i="1"/>
  <c r="Z1848" i="1"/>
  <c r="Y1848" i="1"/>
  <c r="Z1847" i="1"/>
  <c r="Y1847" i="1"/>
  <c r="Z1846" i="1"/>
  <c r="Y1846" i="1"/>
  <c r="Z1845" i="1"/>
  <c r="Y1845" i="1"/>
  <c r="Z1844" i="1"/>
  <c r="Y1844" i="1"/>
  <c r="Z1843" i="1"/>
  <c r="Y1843" i="1"/>
  <c r="Z1842" i="1"/>
  <c r="Y1842" i="1"/>
  <c r="Z1841" i="1"/>
  <c r="Y1841" i="1"/>
  <c r="Z1840" i="1"/>
  <c r="Y1840" i="1"/>
  <c r="Z1839" i="1"/>
  <c r="Y1839" i="1"/>
  <c r="Z1838" i="1"/>
  <c r="Y1838" i="1"/>
  <c r="Z1837" i="1"/>
  <c r="Y1837" i="1"/>
  <c r="Z1836" i="1"/>
  <c r="Y1836" i="1"/>
  <c r="Z1835" i="1"/>
  <c r="Y1835" i="1"/>
  <c r="Z1834" i="1"/>
  <c r="Y1834" i="1"/>
  <c r="Z1833" i="1"/>
  <c r="Y1833" i="1"/>
  <c r="Z1832" i="1"/>
  <c r="Y1832" i="1"/>
  <c r="Z1831" i="1"/>
  <c r="Y1831" i="1"/>
  <c r="Z1830" i="1"/>
  <c r="Y1830" i="1"/>
  <c r="Z1829" i="1"/>
  <c r="Y1829" i="1"/>
  <c r="Z1828" i="1"/>
  <c r="Y1828" i="1"/>
  <c r="Z1827" i="1"/>
  <c r="Y1827" i="1"/>
  <c r="Z1826" i="1"/>
  <c r="Y1826" i="1"/>
  <c r="Z1825" i="1"/>
  <c r="Y1825" i="1"/>
  <c r="Z1824" i="1"/>
  <c r="Y1824" i="1"/>
  <c r="Z1823" i="1"/>
  <c r="Y1823" i="1"/>
  <c r="Z1822" i="1"/>
  <c r="Y1822" i="1"/>
  <c r="Z1821" i="1"/>
  <c r="Y1821" i="1"/>
  <c r="Z1820" i="1"/>
  <c r="Y1820" i="1"/>
  <c r="Z1819" i="1"/>
  <c r="Y1819" i="1"/>
  <c r="Z1818" i="1"/>
  <c r="Y1818" i="1"/>
  <c r="Z1817" i="1"/>
  <c r="Y1817" i="1"/>
  <c r="Z1816" i="1"/>
  <c r="Y1816" i="1"/>
  <c r="Z1815" i="1"/>
  <c r="Y1815" i="1"/>
  <c r="Z1814" i="1"/>
  <c r="Y1814" i="1"/>
  <c r="Z1813" i="1"/>
  <c r="Y1813" i="1"/>
  <c r="Z1812" i="1"/>
  <c r="Y1812" i="1"/>
  <c r="Z1811" i="1"/>
  <c r="Y1811" i="1"/>
  <c r="Z1810" i="1"/>
  <c r="Y1810" i="1"/>
  <c r="Z1809" i="1"/>
  <c r="Y1809" i="1"/>
  <c r="Z1808" i="1"/>
  <c r="Y1808" i="1"/>
  <c r="Z1807" i="1"/>
  <c r="Y1807" i="1"/>
  <c r="Z1806" i="1"/>
  <c r="Y1806" i="1"/>
  <c r="Z1805" i="1"/>
  <c r="Y1805" i="1"/>
  <c r="Z1804" i="1"/>
  <c r="Y1804" i="1"/>
  <c r="Z1803" i="1"/>
  <c r="Y1803" i="1"/>
  <c r="Z1802" i="1"/>
  <c r="Y1802" i="1"/>
  <c r="Z1801" i="1"/>
  <c r="Y1801" i="1"/>
  <c r="Z1800" i="1"/>
  <c r="Y1800" i="1"/>
  <c r="Z1799" i="1"/>
  <c r="Y1799" i="1"/>
  <c r="Z1798" i="1"/>
  <c r="Y1798" i="1"/>
  <c r="Z1797" i="1"/>
  <c r="Y1797" i="1"/>
  <c r="Z1796" i="1"/>
  <c r="Y1796" i="1"/>
  <c r="Z1795" i="1"/>
  <c r="Y1795" i="1"/>
  <c r="Z1794" i="1"/>
  <c r="Y1794" i="1"/>
  <c r="Z1793" i="1"/>
  <c r="Y1793" i="1"/>
  <c r="Z1792" i="1"/>
  <c r="Y1792" i="1"/>
  <c r="Z1791" i="1"/>
  <c r="Y1791" i="1"/>
  <c r="Z1790" i="1"/>
  <c r="Y1790" i="1"/>
  <c r="Z1789" i="1"/>
  <c r="Y1789" i="1"/>
  <c r="Z1788" i="1"/>
  <c r="Y1788" i="1"/>
  <c r="Z1787" i="1"/>
  <c r="Y1787" i="1"/>
  <c r="Z1786" i="1"/>
  <c r="Y1786" i="1"/>
  <c r="Z1785" i="1"/>
  <c r="Y1785" i="1"/>
  <c r="Z1784" i="1"/>
  <c r="Y1784" i="1"/>
  <c r="Z1783" i="1"/>
  <c r="Y1783" i="1"/>
  <c r="Z1782" i="1"/>
  <c r="Y1782" i="1"/>
  <c r="Z1781" i="1"/>
  <c r="Y1781" i="1"/>
  <c r="Z1780" i="1"/>
  <c r="Y1780" i="1"/>
  <c r="Z1779" i="1"/>
  <c r="Y1779" i="1"/>
  <c r="Z1778" i="1"/>
  <c r="Y1778" i="1"/>
  <c r="Z1777" i="1"/>
  <c r="Y1777" i="1"/>
  <c r="Z1776" i="1"/>
  <c r="Y1776" i="1"/>
  <c r="Z1775" i="1"/>
  <c r="Y1775" i="1"/>
  <c r="Z1774" i="1"/>
  <c r="Y1774" i="1"/>
  <c r="Z1773" i="1"/>
  <c r="Y1773" i="1"/>
  <c r="Z1772" i="1"/>
  <c r="Y1772" i="1"/>
  <c r="Z1771" i="1"/>
  <c r="Y1771" i="1"/>
  <c r="Z1770" i="1"/>
  <c r="Y1770" i="1"/>
  <c r="Z1769" i="1"/>
  <c r="Y1769" i="1"/>
  <c r="Z1768" i="1"/>
  <c r="Y1768" i="1"/>
  <c r="Z1767" i="1"/>
  <c r="Y1767" i="1"/>
  <c r="Z1766" i="1"/>
  <c r="Y1766" i="1"/>
  <c r="Z1765" i="1"/>
  <c r="Y1765" i="1"/>
  <c r="Z1764" i="1"/>
  <c r="Y1764" i="1"/>
  <c r="Z1763" i="1"/>
  <c r="Y1763" i="1"/>
  <c r="Z1762" i="1"/>
  <c r="Y1762" i="1"/>
  <c r="Z1761" i="1"/>
  <c r="Y1761" i="1"/>
  <c r="Z1760" i="1"/>
  <c r="Y1760" i="1"/>
  <c r="Z1759" i="1"/>
  <c r="Y1759" i="1"/>
  <c r="Z1758" i="1"/>
  <c r="Y1758" i="1"/>
  <c r="Z1757" i="1"/>
  <c r="Y1757" i="1"/>
  <c r="Z1756" i="1"/>
  <c r="Y1756" i="1"/>
  <c r="Z1755" i="1"/>
  <c r="Y1755" i="1"/>
  <c r="Z1754" i="1"/>
  <c r="Y1754" i="1"/>
  <c r="Z1753" i="1"/>
  <c r="Y1753" i="1"/>
  <c r="Z1752" i="1"/>
  <c r="Y1752" i="1"/>
  <c r="Z1751" i="1"/>
  <c r="Y1751" i="1"/>
  <c r="Z1750" i="1"/>
  <c r="Y1750" i="1"/>
  <c r="Z1749" i="1"/>
  <c r="Y1749" i="1"/>
  <c r="Z1748" i="1"/>
  <c r="Y1748" i="1"/>
  <c r="Z1747" i="1"/>
  <c r="Y1747" i="1"/>
  <c r="Z1746" i="1"/>
  <c r="Y1746" i="1"/>
  <c r="Z1745" i="1"/>
  <c r="Y1745" i="1"/>
  <c r="Z1744" i="1"/>
  <c r="Y1744" i="1"/>
  <c r="Z1743" i="1"/>
  <c r="Y1743" i="1"/>
  <c r="Z1742" i="1"/>
  <c r="Y1742" i="1"/>
  <c r="Z1741" i="1"/>
  <c r="Y1741" i="1"/>
  <c r="Z1740" i="1"/>
  <c r="Y1740" i="1"/>
  <c r="Z1739" i="1"/>
  <c r="Y1739" i="1"/>
  <c r="Z1738" i="1"/>
  <c r="Y1738" i="1"/>
  <c r="Z1737" i="1"/>
  <c r="Y1737" i="1"/>
  <c r="Z1736" i="1"/>
  <c r="Y1736" i="1"/>
  <c r="Z1735" i="1"/>
  <c r="Y1735" i="1"/>
  <c r="Z1734" i="1"/>
  <c r="Y1734" i="1"/>
  <c r="Z1733" i="1"/>
  <c r="Y1733" i="1"/>
  <c r="Z1732" i="1"/>
  <c r="Y1732" i="1"/>
  <c r="Z1731" i="1"/>
  <c r="Y1731" i="1"/>
  <c r="Z1730" i="1"/>
  <c r="Y1730" i="1"/>
  <c r="Z1729" i="1"/>
  <c r="Y1729" i="1"/>
  <c r="Z1728" i="1"/>
  <c r="Y1728" i="1"/>
  <c r="Z1727" i="1"/>
  <c r="Y1727" i="1"/>
  <c r="Z1726" i="1"/>
  <c r="Y1726" i="1"/>
  <c r="Z1725" i="1"/>
  <c r="Y1725" i="1"/>
  <c r="Z1724" i="1"/>
  <c r="Y1724" i="1"/>
  <c r="Z1723" i="1"/>
  <c r="Y1723" i="1"/>
  <c r="Z1722" i="1"/>
  <c r="Y1722" i="1"/>
  <c r="Z1721" i="1"/>
  <c r="Y1721" i="1"/>
  <c r="Z1720" i="1"/>
  <c r="Y1720" i="1"/>
  <c r="Z1719" i="1"/>
  <c r="Y1719" i="1"/>
  <c r="Z1718" i="1"/>
  <c r="Y1718" i="1"/>
  <c r="Z1717" i="1"/>
  <c r="Y1717" i="1"/>
  <c r="Z1716" i="1"/>
  <c r="Y1716" i="1"/>
  <c r="Z1715" i="1"/>
  <c r="Y1715" i="1"/>
  <c r="Z1714" i="1"/>
  <c r="Y1714" i="1"/>
  <c r="Z1713" i="1"/>
  <c r="Y1713" i="1"/>
  <c r="Z1712" i="1"/>
  <c r="Y1712" i="1"/>
  <c r="Z1711" i="1"/>
  <c r="Y1711" i="1"/>
  <c r="Z1710" i="1"/>
  <c r="Y1710" i="1"/>
  <c r="Z1709" i="1"/>
  <c r="Y1709" i="1"/>
  <c r="Z1708" i="1"/>
  <c r="Y1708" i="1"/>
  <c r="Z1707" i="1"/>
  <c r="Y1707" i="1"/>
  <c r="Z1706" i="1"/>
  <c r="Y1706" i="1"/>
  <c r="Z1705" i="1"/>
  <c r="Y1705" i="1"/>
  <c r="Z1704" i="1"/>
  <c r="Y1704" i="1"/>
  <c r="Z1703" i="1"/>
  <c r="Y1703" i="1"/>
  <c r="Z1702" i="1"/>
  <c r="Y1702" i="1"/>
  <c r="Z1701" i="1"/>
  <c r="Y1701" i="1"/>
  <c r="Z1700" i="1"/>
  <c r="Y1700" i="1"/>
  <c r="Z1699" i="1"/>
  <c r="Y1699" i="1"/>
  <c r="Z1698" i="1"/>
  <c r="Y1698" i="1"/>
  <c r="Z1697" i="1"/>
  <c r="Y1697" i="1"/>
  <c r="Z1696" i="1"/>
  <c r="Y1696" i="1"/>
  <c r="Z1695" i="1"/>
  <c r="Y1695" i="1"/>
  <c r="Z1694" i="1"/>
  <c r="Y1694" i="1"/>
  <c r="Z1693" i="1"/>
  <c r="Y1693" i="1"/>
  <c r="Z1692" i="1"/>
  <c r="Y1692" i="1"/>
  <c r="Z1691" i="1"/>
  <c r="Y1691" i="1"/>
  <c r="Z1690" i="1"/>
  <c r="Y1690" i="1"/>
  <c r="Z1689" i="1"/>
  <c r="Y1689" i="1"/>
  <c r="Z1688" i="1"/>
  <c r="Y1688" i="1"/>
  <c r="Z1687" i="1"/>
  <c r="Y1687" i="1"/>
  <c r="Z1686" i="1"/>
  <c r="Y1686" i="1"/>
  <c r="Z1685" i="1"/>
  <c r="Y1685" i="1"/>
  <c r="Z1684" i="1"/>
  <c r="Y1684" i="1"/>
  <c r="Z1683" i="1"/>
  <c r="Y1683" i="1"/>
  <c r="Z1682" i="1"/>
  <c r="Y1682" i="1"/>
  <c r="Z1681" i="1"/>
  <c r="Y1681" i="1"/>
  <c r="Z1680" i="1"/>
  <c r="Y1680" i="1"/>
  <c r="Z1679" i="1"/>
  <c r="Y1679" i="1"/>
  <c r="Z1678" i="1"/>
  <c r="Y1678" i="1"/>
  <c r="Z1677" i="1"/>
  <c r="Y1677" i="1"/>
  <c r="Z1676" i="1"/>
  <c r="Y1676" i="1"/>
  <c r="Z1675" i="1"/>
  <c r="Y1675" i="1"/>
  <c r="Z1674" i="1"/>
  <c r="Y1674" i="1"/>
  <c r="Z1673" i="1"/>
  <c r="Y1673" i="1"/>
  <c r="Z1672" i="1"/>
  <c r="Y1672" i="1"/>
  <c r="Z1671" i="1"/>
  <c r="Y1671" i="1"/>
  <c r="Z1670" i="1"/>
  <c r="Y1670" i="1"/>
  <c r="Z1669" i="1"/>
  <c r="Y1669" i="1"/>
  <c r="Z1668" i="1"/>
  <c r="Y1668" i="1"/>
  <c r="Z1667" i="1"/>
  <c r="Y1667" i="1"/>
  <c r="Z1666" i="1"/>
  <c r="Y1666" i="1"/>
  <c r="Z1665" i="1"/>
  <c r="Y1665" i="1"/>
  <c r="Z1664" i="1"/>
  <c r="Y1664" i="1"/>
  <c r="Z1663" i="1"/>
  <c r="Y1663" i="1"/>
  <c r="Z1662" i="1"/>
  <c r="Y1662" i="1"/>
  <c r="Z1661" i="1"/>
  <c r="Y1661" i="1"/>
  <c r="Z1660" i="1"/>
  <c r="Y1660" i="1"/>
  <c r="Z1659" i="1"/>
  <c r="Y1659" i="1"/>
  <c r="Z1658" i="1"/>
  <c r="Y1658" i="1"/>
  <c r="Z1657" i="1"/>
  <c r="Y1657" i="1"/>
  <c r="Z1656" i="1"/>
  <c r="Y1656" i="1"/>
  <c r="Z1655" i="1"/>
  <c r="Y1655" i="1"/>
  <c r="Z1654" i="1"/>
  <c r="Y1654" i="1"/>
  <c r="Z1653" i="1"/>
  <c r="Y1653" i="1"/>
  <c r="Z1652" i="1"/>
  <c r="Y1652" i="1"/>
  <c r="Z1651" i="1"/>
  <c r="Y1651" i="1"/>
  <c r="Z1650" i="1"/>
  <c r="Y1650" i="1"/>
  <c r="Z1649" i="1"/>
  <c r="Y1649" i="1"/>
  <c r="Z1648" i="1"/>
  <c r="Y1648" i="1"/>
  <c r="Z1647" i="1"/>
  <c r="Y1647" i="1"/>
  <c r="Z1646" i="1"/>
  <c r="Y1646" i="1"/>
  <c r="Z1645" i="1"/>
  <c r="Y1645" i="1"/>
  <c r="Z1644" i="1"/>
  <c r="Y1644" i="1"/>
  <c r="Z1643" i="1"/>
  <c r="Y1643" i="1"/>
  <c r="Z1642" i="1"/>
  <c r="Y1642" i="1"/>
  <c r="Z1641" i="1"/>
  <c r="Y1641" i="1"/>
  <c r="Z1640" i="1"/>
  <c r="Y1640" i="1"/>
  <c r="Z1639" i="1"/>
  <c r="Y1639" i="1"/>
  <c r="Z1638" i="1"/>
  <c r="Y1638" i="1"/>
  <c r="Z1637" i="1"/>
  <c r="Y1637" i="1"/>
  <c r="Z1636" i="1"/>
  <c r="Y1636" i="1"/>
  <c r="Z1635" i="1"/>
  <c r="Y1635" i="1"/>
  <c r="Z1634" i="1"/>
  <c r="Y1634" i="1"/>
  <c r="Z1633" i="1"/>
  <c r="Y1633" i="1"/>
  <c r="Z1632" i="1"/>
  <c r="Y1632" i="1"/>
  <c r="Z1631" i="1"/>
  <c r="Y1631" i="1"/>
  <c r="Z1630" i="1"/>
  <c r="Y1630" i="1"/>
  <c r="Z1629" i="1"/>
  <c r="Y1629" i="1"/>
  <c r="Z1628" i="1"/>
  <c r="Y1628" i="1"/>
  <c r="Z1627" i="1"/>
  <c r="Y1627" i="1"/>
  <c r="Z1626" i="1"/>
  <c r="Y1626" i="1"/>
  <c r="Z1625" i="1"/>
  <c r="Y1625" i="1"/>
  <c r="Z1624" i="1"/>
  <c r="Y1624" i="1"/>
  <c r="Z1623" i="1"/>
  <c r="Y1623" i="1"/>
  <c r="Z1622" i="1"/>
  <c r="Y1622" i="1"/>
  <c r="Z1621" i="1"/>
  <c r="Y1621" i="1"/>
  <c r="Z1620" i="1"/>
  <c r="Y1620" i="1"/>
  <c r="Z1619" i="1"/>
  <c r="Y1619" i="1"/>
  <c r="Z1618" i="1"/>
  <c r="Y1618" i="1"/>
  <c r="Z1617" i="1"/>
  <c r="Y1617" i="1"/>
  <c r="Z1616" i="1"/>
  <c r="Y1616" i="1"/>
  <c r="Z1615" i="1"/>
  <c r="Y1615" i="1"/>
  <c r="Z1614" i="1"/>
  <c r="Y1614" i="1"/>
  <c r="Z1613" i="1"/>
  <c r="Y1613" i="1"/>
  <c r="Z1612" i="1"/>
  <c r="Y1612" i="1"/>
  <c r="Z1611" i="1"/>
  <c r="Y1611" i="1"/>
  <c r="Z1610" i="1"/>
  <c r="Y1610" i="1"/>
  <c r="Z1609" i="1"/>
  <c r="Y1609" i="1"/>
  <c r="Z1608" i="1"/>
  <c r="Y1608" i="1"/>
  <c r="Z1607" i="1"/>
  <c r="Y1607" i="1"/>
  <c r="Z1606" i="1"/>
  <c r="Y1606" i="1"/>
  <c r="Z1605" i="1"/>
  <c r="Y1605" i="1"/>
  <c r="Z1604" i="1"/>
  <c r="Y1604" i="1"/>
  <c r="Z1603" i="1"/>
  <c r="Y1603" i="1"/>
  <c r="Z1602" i="1"/>
  <c r="Y1602" i="1"/>
  <c r="Z1601" i="1"/>
  <c r="Y1601" i="1"/>
  <c r="Z1600" i="1"/>
  <c r="Y1600" i="1"/>
  <c r="Z1599" i="1"/>
  <c r="Y1599" i="1"/>
  <c r="Z1598" i="1"/>
  <c r="Y1598" i="1"/>
  <c r="Z1597" i="1"/>
  <c r="Y1597" i="1"/>
  <c r="Z1596" i="1"/>
  <c r="Y1596" i="1"/>
  <c r="Z1595" i="1"/>
  <c r="Y1595" i="1"/>
  <c r="Z1594" i="1"/>
  <c r="Y1594" i="1"/>
  <c r="Z1593" i="1"/>
  <c r="Y1593" i="1"/>
  <c r="Z1592" i="1"/>
  <c r="Y1592" i="1"/>
  <c r="Z1591" i="1"/>
  <c r="Y1591" i="1"/>
  <c r="Z1590" i="1"/>
  <c r="Y1590" i="1"/>
  <c r="Z1589" i="1"/>
  <c r="Y1589" i="1"/>
  <c r="Z1588" i="1"/>
  <c r="Y1588" i="1"/>
  <c r="Z1587" i="1"/>
  <c r="Y1587" i="1"/>
  <c r="Z1586" i="1"/>
  <c r="Y1586" i="1"/>
  <c r="Z1585" i="1"/>
  <c r="Y1585" i="1"/>
  <c r="Z1584" i="1"/>
  <c r="Y1584" i="1"/>
  <c r="Z1583" i="1"/>
  <c r="Y1583" i="1"/>
  <c r="Z1582" i="1"/>
  <c r="Y1582" i="1"/>
  <c r="Z1581" i="1"/>
  <c r="Y1581" i="1"/>
  <c r="Z1580" i="1"/>
  <c r="Y1580" i="1"/>
  <c r="Z1579" i="1"/>
  <c r="Y1579" i="1"/>
  <c r="Z1578" i="1"/>
  <c r="Y1578" i="1"/>
  <c r="Z1577" i="1"/>
  <c r="Y1577" i="1"/>
  <c r="Z1576" i="1"/>
  <c r="Y1576" i="1"/>
  <c r="Z1575" i="1"/>
  <c r="Y1575" i="1"/>
  <c r="Z1574" i="1"/>
  <c r="Y1574" i="1"/>
  <c r="Z1573" i="1"/>
  <c r="Y1573" i="1"/>
  <c r="Z1572" i="1"/>
  <c r="Y1572" i="1"/>
  <c r="Z1571" i="1"/>
  <c r="Y1571" i="1"/>
  <c r="Z1570" i="1"/>
  <c r="Y1570" i="1"/>
  <c r="Z1569" i="1"/>
  <c r="Y1569" i="1"/>
  <c r="Z1568" i="1"/>
  <c r="Y1568" i="1"/>
  <c r="Z1567" i="1"/>
  <c r="Y1567" i="1"/>
  <c r="Z1566" i="1"/>
  <c r="Y1566" i="1"/>
  <c r="Z1565" i="1"/>
  <c r="Y1565" i="1"/>
  <c r="Z1564" i="1"/>
  <c r="Y1564" i="1"/>
  <c r="Z1563" i="1"/>
  <c r="Y1563" i="1"/>
  <c r="Z1562" i="1"/>
  <c r="Y1562" i="1"/>
  <c r="Z1561" i="1"/>
  <c r="Y1561" i="1"/>
  <c r="Z1560" i="1"/>
  <c r="Y1560" i="1"/>
  <c r="Z1559" i="1"/>
  <c r="Y1559" i="1"/>
  <c r="Z1558" i="1"/>
  <c r="Y1558" i="1"/>
  <c r="Z1557" i="1"/>
  <c r="Y1557" i="1"/>
  <c r="Z1556" i="1"/>
  <c r="Y1556" i="1"/>
  <c r="Z1555" i="1"/>
  <c r="Y1555" i="1"/>
  <c r="Z1554" i="1"/>
  <c r="Y1554" i="1"/>
  <c r="Z1553" i="1"/>
  <c r="Y1553" i="1"/>
  <c r="Z1552" i="1"/>
  <c r="Y1552" i="1"/>
  <c r="Z1551" i="1"/>
  <c r="Y1551" i="1"/>
  <c r="Z1550" i="1"/>
  <c r="Y1550" i="1"/>
  <c r="Z1549" i="1"/>
  <c r="Y1549" i="1"/>
  <c r="Z1548" i="1"/>
  <c r="Y1548" i="1"/>
  <c r="Z1547" i="1"/>
  <c r="Y1547" i="1"/>
  <c r="Z1546" i="1"/>
  <c r="Y1546" i="1"/>
  <c r="Z1545" i="1"/>
  <c r="Y1545" i="1"/>
  <c r="Z1544" i="1"/>
  <c r="Y1544" i="1"/>
  <c r="Z1543" i="1"/>
  <c r="Y1543" i="1"/>
  <c r="Z1542" i="1"/>
  <c r="Y1542" i="1"/>
  <c r="Z1541" i="1"/>
  <c r="Y1541" i="1"/>
  <c r="Z1540" i="1"/>
  <c r="Y1540" i="1"/>
  <c r="Z1539" i="1"/>
  <c r="Y1539" i="1"/>
  <c r="Z1538" i="1"/>
  <c r="Y1538" i="1"/>
  <c r="Z1537" i="1"/>
  <c r="Y1537" i="1"/>
  <c r="Z1536" i="1"/>
  <c r="Y1536" i="1"/>
  <c r="Z1535" i="1"/>
  <c r="Y1535" i="1"/>
  <c r="Z1534" i="1"/>
  <c r="Y1534" i="1"/>
  <c r="Z1533" i="1"/>
  <c r="Y1533" i="1"/>
  <c r="Z1532" i="1"/>
  <c r="Y1532" i="1"/>
  <c r="Z1531" i="1"/>
  <c r="Y1531" i="1"/>
  <c r="Z1530" i="1"/>
  <c r="Y1530" i="1"/>
  <c r="Z1529" i="1"/>
  <c r="Y1529" i="1"/>
  <c r="Z1528" i="1"/>
  <c r="Y1528" i="1"/>
  <c r="Z1527" i="1"/>
  <c r="Y1527" i="1"/>
  <c r="Z1526" i="1"/>
  <c r="Y1526" i="1"/>
  <c r="Z1525" i="1"/>
  <c r="Y1525" i="1"/>
  <c r="Z1524" i="1"/>
  <c r="Y1524" i="1"/>
  <c r="Z1523" i="1"/>
  <c r="Y1523" i="1"/>
  <c r="Z1522" i="1"/>
  <c r="Y1522" i="1"/>
  <c r="Z1521" i="1"/>
  <c r="Y1521" i="1"/>
  <c r="Z1520" i="1"/>
  <c r="Y1520" i="1"/>
  <c r="Z1519" i="1"/>
  <c r="Y1519" i="1"/>
  <c r="Z1518" i="1"/>
  <c r="Y1518" i="1"/>
  <c r="Z1517" i="1"/>
  <c r="Y1517" i="1"/>
  <c r="Z1516" i="1"/>
  <c r="Y1516" i="1"/>
  <c r="Z1515" i="1"/>
  <c r="Y1515" i="1"/>
  <c r="Z1514" i="1"/>
  <c r="Y1514" i="1"/>
  <c r="Z1513" i="1"/>
  <c r="Y1513" i="1"/>
  <c r="Z1512" i="1"/>
  <c r="Y1512" i="1"/>
  <c r="Z1511" i="1"/>
  <c r="Y1511" i="1"/>
  <c r="Z1510" i="1"/>
  <c r="Y1510" i="1"/>
  <c r="Z1509" i="1"/>
  <c r="Y1509" i="1"/>
  <c r="Z1508" i="1"/>
  <c r="Y1508" i="1"/>
  <c r="Z1507" i="1"/>
  <c r="Y1507" i="1"/>
  <c r="Z1506" i="1"/>
  <c r="Y1506" i="1"/>
  <c r="Z1505" i="1"/>
  <c r="Y1505" i="1"/>
  <c r="Z1504" i="1"/>
  <c r="Y1504" i="1"/>
  <c r="Z1503" i="1"/>
  <c r="Y1503" i="1"/>
  <c r="Z1502" i="1"/>
  <c r="Y1502" i="1"/>
  <c r="Z1501" i="1"/>
  <c r="Y1501" i="1"/>
  <c r="Z1500" i="1"/>
  <c r="Y1500" i="1"/>
  <c r="Z1499" i="1"/>
  <c r="Y1499" i="1"/>
  <c r="Z1498" i="1"/>
  <c r="Y1498" i="1"/>
  <c r="Z1497" i="1"/>
  <c r="Y1497" i="1"/>
  <c r="Z1496" i="1"/>
  <c r="Y1496" i="1"/>
  <c r="Z1495" i="1"/>
  <c r="Y1495" i="1"/>
  <c r="Z1494" i="1"/>
  <c r="Y1494" i="1"/>
  <c r="Z1493" i="1"/>
  <c r="Y1493" i="1"/>
  <c r="Z1492" i="1"/>
  <c r="Y1492" i="1"/>
  <c r="Z1491" i="1"/>
  <c r="Y1491" i="1"/>
  <c r="Z1490" i="1"/>
  <c r="Y1490" i="1"/>
  <c r="Z1489" i="1"/>
  <c r="Y1489" i="1"/>
  <c r="Z1488" i="1"/>
  <c r="Y1488" i="1"/>
  <c r="Z1487" i="1"/>
  <c r="Y1487" i="1"/>
  <c r="Z1486" i="1"/>
  <c r="Y1486" i="1"/>
  <c r="Z1485" i="1"/>
  <c r="Y1485" i="1"/>
  <c r="Z1484" i="1"/>
  <c r="Y1484" i="1"/>
  <c r="Z1483" i="1"/>
  <c r="Y1483" i="1"/>
  <c r="Z1482" i="1"/>
  <c r="Y1482" i="1"/>
  <c r="Z1481" i="1"/>
  <c r="Y1481" i="1"/>
  <c r="Z1480" i="1"/>
  <c r="Y1480" i="1"/>
  <c r="Z1479" i="1"/>
  <c r="Y1479" i="1"/>
  <c r="Z1478" i="1"/>
  <c r="Y1478" i="1"/>
  <c r="Z1477" i="1"/>
  <c r="Y1477" i="1"/>
  <c r="Z1476" i="1"/>
  <c r="Y1476" i="1"/>
  <c r="Z1475" i="1"/>
  <c r="Y1475" i="1"/>
  <c r="Z1474" i="1"/>
  <c r="Y1474" i="1"/>
  <c r="Z1473" i="1"/>
  <c r="Y1473" i="1"/>
  <c r="Z1472" i="1"/>
  <c r="Y1472" i="1"/>
  <c r="Z1471" i="1"/>
  <c r="Y1471" i="1"/>
  <c r="Z1470" i="1"/>
  <c r="Y1470" i="1"/>
  <c r="Z1469" i="1"/>
  <c r="Y1469" i="1"/>
  <c r="Z1468" i="1"/>
  <c r="Y1468" i="1"/>
  <c r="Z1467" i="1"/>
  <c r="Y1467" i="1"/>
  <c r="Z1466" i="1"/>
  <c r="Y1466" i="1"/>
  <c r="Z1465" i="1"/>
  <c r="Y1465" i="1"/>
  <c r="Z1464" i="1"/>
  <c r="Y1464" i="1"/>
  <c r="Z1463" i="1"/>
  <c r="Y1463" i="1"/>
  <c r="Z1462" i="1"/>
  <c r="Y1462" i="1"/>
  <c r="Z1461" i="1"/>
  <c r="Y1461" i="1"/>
  <c r="Z1460" i="1"/>
  <c r="Y1460" i="1"/>
  <c r="Z1459" i="1"/>
  <c r="Y1459" i="1"/>
  <c r="Z1458" i="1"/>
  <c r="Y1458" i="1"/>
  <c r="Z1457" i="1"/>
  <c r="Y1457" i="1"/>
  <c r="Z1456" i="1"/>
  <c r="Y1456" i="1"/>
  <c r="Z1455" i="1"/>
  <c r="Y1455" i="1"/>
  <c r="Z1454" i="1"/>
  <c r="Y1454" i="1"/>
  <c r="Z1453" i="1"/>
  <c r="Y1453" i="1"/>
  <c r="Z1452" i="1"/>
  <c r="Y1452" i="1"/>
  <c r="Z1451" i="1"/>
  <c r="Y1451" i="1"/>
  <c r="Z1450" i="1"/>
  <c r="Y1450" i="1"/>
  <c r="Z1449" i="1"/>
  <c r="Y1449" i="1"/>
  <c r="Z1448" i="1"/>
  <c r="Y1448" i="1"/>
  <c r="Z1447" i="1"/>
  <c r="Y1447" i="1"/>
  <c r="Z1446" i="1"/>
  <c r="Y1446" i="1"/>
  <c r="Z1445" i="1"/>
  <c r="Y1445" i="1"/>
  <c r="Z1444" i="1"/>
  <c r="Y1444" i="1"/>
  <c r="Z1443" i="1"/>
  <c r="Y1443" i="1"/>
  <c r="Z1442" i="1"/>
  <c r="Y1442" i="1"/>
  <c r="Z1441" i="1"/>
  <c r="Y1441" i="1"/>
  <c r="Z1440" i="1"/>
  <c r="Y1440" i="1"/>
  <c r="Z1439" i="1"/>
  <c r="Y1439" i="1"/>
  <c r="Z1438" i="1"/>
  <c r="Y1438" i="1"/>
  <c r="Z1437" i="1"/>
  <c r="Y1437" i="1"/>
  <c r="Z1436" i="1"/>
  <c r="Y1436" i="1"/>
  <c r="Z1435" i="1"/>
  <c r="Y1435" i="1"/>
  <c r="Z1434" i="1"/>
  <c r="Y1434" i="1"/>
  <c r="Z1433" i="1"/>
  <c r="Y1433" i="1"/>
  <c r="Z1432" i="1"/>
  <c r="Y1432" i="1"/>
  <c r="Z1431" i="1"/>
  <c r="Y1431" i="1"/>
  <c r="Z1430" i="1"/>
  <c r="Y1430" i="1"/>
  <c r="Z1429" i="1"/>
  <c r="Y1429" i="1"/>
  <c r="Z1428" i="1"/>
  <c r="Y1428" i="1"/>
  <c r="Z1427" i="1"/>
  <c r="Y1427" i="1"/>
  <c r="Z1426" i="1"/>
  <c r="Y1426" i="1"/>
  <c r="Z1425" i="1"/>
  <c r="Y1425" i="1"/>
  <c r="Z1424" i="1"/>
  <c r="Y1424" i="1"/>
  <c r="Z1423" i="1"/>
  <c r="Y1423" i="1"/>
  <c r="Z1422" i="1"/>
  <c r="Y1422" i="1"/>
  <c r="Z1421" i="1"/>
  <c r="Y1421" i="1"/>
  <c r="Z1420" i="1"/>
  <c r="Y1420" i="1"/>
  <c r="Z1419" i="1"/>
  <c r="Y1419" i="1"/>
  <c r="Z1418" i="1"/>
  <c r="Y1418" i="1"/>
  <c r="Z1417" i="1"/>
  <c r="Y1417" i="1"/>
  <c r="Z1416" i="1"/>
  <c r="Y1416" i="1"/>
  <c r="Z1415" i="1"/>
  <c r="Y1415" i="1"/>
  <c r="Z1414" i="1"/>
  <c r="Y1414" i="1"/>
  <c r="Z1413" i="1"/>
  <c r="Y1413" i="1"/>
  <c r="Z1412" i="1"/>
  <c r="Y1412" i="1"/>
  <c r="Z1411" i="1"/>
  <c r="Y1411" i="1"/>
  <c r="Z1410" i="1"/>
  <c r="Y1410" i="1"/>
  <c r="Z1409" i="1"/>
  <c r="Y1409" i="1"/>
  <c r="Z1408" i="1"/>
  <c r="Y1408" i="1"/>
  <c r="Z1407" i="1"/>
  <c r="Y1407" i="1"/>
  <c r="Z1406" i="1"/>
  <c r="Y1406" i="1"/>
  <c r="Z1405" i="1"/>
  <c r="Y1405" i="1"/>
  <c r="Z1404" i="1"/>
  <c r="Y1404" i="1"/>
  <c r="Z1403" i="1"/>
  <c r="Y1403" i="1"/>
  <c r="Z1402" i="1"/>
  <c r="Y1402" i="1"/>
  <c r="Z1401" i="1"/>
  <c r="Y1401" i="1"/>
  <c r="Z1400" i="1"/>
  <c r="Y1400" i="1"/>
  <c r="Z1399" i="1"/>
  <c r="Y1399" i="1"/>
  <c r="Z1398" i="1"/>
  <c r="Y1398" i="1"/>
  <c r="Z1397" i="1"/>
  <c r="Y1397" i="1"/>
  <c r="Z1396" i="1"/>
  <c r="Y1396" i="1"/>
  <c r="Z1395" i="1"/>
  <c r="Y1395" i="1"/>
  <c r="Z1394" i="1"/>
  <c r="Y1394" i="1"/>
  <c r="Z1393" i="1"/>
  <c r="Y1393" i="1"/>
  <c r="Z1392" i="1"/>
  <c r="Y1392" i="1"/>
  <c r="Z1391" i="1"/>
  <c r="Y1391" i="1"/>
  <c r="Z1390" i="1"/>
  <c r="Y1390" i="1"/>
  <c r="Z1389" i="1"/>
  <c r="Y1389" i="1"/>
  <c r="Z1388" i="1"/>
  <c r="Y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11" i="1"/>
  <c r="Y1311" i="1"/>
  <c r="Z1310" i="1"/>
  <c r="Y1310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301" i="1"/>
  <c r="Y1301" i="1"/>
  <c r="Z1300" i="1"/>
  <c r="Y1300" i="1"/>
  <c r="Z1299" i="1"/>
  <c r="Y1299" i="1"/>
  <c r="Z1298" i="1"/>
  <c r="Y1298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5" i="1"/>
  <c r="Y1275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5" i="1"/>
  <c r="Y1265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8" i="1"/>
  <c r="Y1228" i="1"/>
  <c r="Z1227" i="1"/>
  <c r="Y1227" i="1"/>
  <c r="Z1226" i="1"/>
  <c r="Y1226" i="1"/>
  <c r="Z1225" i="1"/>
  <c r="Y1225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8" i="1"/>
  <c r="Y1198" i="1"/>
  <c r="Z1197" i="1"/>
  <c r="Y1197" i="1"/>
  <c r="Z1196" i="1"/>
  <c r="Y1196" i="1"/>
  <c r="Z1195" i="1"/>
  <c r="Y1195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9" i="1"/>
  <c r="Y1169" i="1"/>
  <c r="Z1168" i="1"/>
  <c r="Y1168" i="1"/>
  <c r="Z1167" i="1"/>
  <c r="Y1167" i="1"/>
  <c r="Z1166" i="1"/>
  <c r="Y1166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40" i="1"/>
  <c r="Y1140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2" i="1"/>
  <c r="Y1112" i="1"/>
  <c r="Z1111" i="1"/>
  <c r="Y1111" i="1"/>
  <c r="Z1110" i="1"/>
  <c r="Y1110" i="1"/>
  <c r="Z1109" i="1"/>
  <c r="Y1109" i="1"/>
  <c r="Z1108" i="1"/>
  <c r="Y1108" i="1"/>
  <c r="Z1107" i="1"/>
  <c r="Y1107" i="1"/>
  <c r="Z1106" i="1"/>
  <c r="Y1106" i="1"/>
  <c r="Z1105" i="1"/>
  <c r="Y1105" i="1"/>
  <c r="Z1104" i="1"/>
  <c r="Y1104" i="1"/>
  <c r="Z1103" i="1"/>
  <c r="Y1103" i="1"/>
  <c r="Z1102" i="1"/>
  <c r="Y1102" i="1"/>
  <c r="Z1101" i="1"/>
  <c r="Y1101" i="1"/>
  <c r="Z1100" i="1"/>
  <c r="Y1100" i="1"/>
  <c r="Z1099" i="1"/>
  <c r="Y1099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7" i="1"/>
  <c r="Y1087" i="1"/>
  <c r="Z1086" i="1"/>
  <c r="Y1086" i="1"/>
  <c r="Z1085" i="1"/>
  <c r="Y1085" i="1"/>
  <c r="Z1084" i="1"/>
  <c r="Y1084" i="1"/>
  <c r="Z1083" i="1"/>
  <c r="Y1083" i="1"/>
  <c r="Z1082" i="1"/>
  <c r="Y1082" i="1"/>
  <c r="Z1081" i="1"/>
  <c r="Y1081" i="1"/>
  <c r="Z1080" i="1"/>
  <c r="Y1080" i="1"/>
  <c r="Z1079" i="1"/>
  <c r="Y1079" i="1"/>
  <c r="Z1078" i="1"/>
  <c r="Y1078" i="1"/>
  <c r="Z1077" i="1"/>
  <c r="Y1077" i="1"/>
  <c r="Z1076" i="1"/>
  <c r="Y1076" i="1"/>
  <c r="Z1075" i="1"/>
  <c r="Y1075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61" i="1"/>
  <c r="Y1061" i="1"/>
  <c r="Z1060" i="1"/>
  <c r="Y1060" i="1"/>
  <c r="Z1059" i="1"/>
  <c r="Y1059" i="1"/>
  <c r="Z1058" i="1"/>
  <c r="Y1058" i="1"/>
  <c r="Z1057" i="1"/>
  <c r="Y1057" i="1"/>
  <c r="Z1056" i="1"/>
  <c r="Y1056" i="1"/>
  <c r="Z1055" i="1"/>
  <c r="Y1055" i="1"/>
  <c r="Z1054" i="1"/>
  <c r="Y1054" i="1"/>
  <c r="Z1053" i="1"/>
  <c r="Y1053" i="1"/>
  <c r="Z1052" i="1"/>
  <c r="Y1052" i="1"/>
  <c r="Z1051" i="1"/>
  <c r="Y1051" i="1"/>
  <c r="Z1050" i="1"/>
  <c r="Y1050" i="1"/>
  <c r="Z1049" i="1"/>
  <c r="Y1049" i="1"/>
  <c r="Z1048" i="1"/>
  <c r="Y1048" i="1"/>
  <c r="Z1047" i="1"/>
  <c r="Y1047" i="1"/>
  <c r="Z1046" i="1"/>
  <c r="Y1046" i="1"/>
  <c r="Z1045" i="1"/>
  <c r="Y1045" i="1"/>
  <c r="Z1044" i="1"/>
  <c r="Y1044" i="1"/>
  <c r="Z1043" i="1"/>
  <c r="Y1043" i="1"/>
  <c r="Z1042" i="1"/>
  <c r="Y1042" i="1"/>
  <c r="Z1041" i="1"/>
  <c r="Y1041" i="1"/>
  <c r="Z1040" i="1"/>
  <c r="Y1040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1" i="1"/>
  <c r="Y1031" i="1"/>
  <c r="Z1030" i="1"/>
  <c r="Y1030" i="1"/>
  <c r="Z1029" i="1"/>
  <c r="Y1029" i="1"/>
  <c r="Z1028" i="1"/>
  <c r="Y1028" i="1"/>
  <c r="Z1027" i="1"/>
  <c r="Y1027" i="1"/>
  <c r="Z1026" i="1"/>
  <c r="Y1026" i="1"/>
  <c r="Z1025" i="1"/>
  <c r="Y1025" i="1"/>
  <c r="Z1024" i="1"/>
  <c r="Y1024" i="1"/>
  <c r="Z1023" i="1"/>
  <c r="Y1023" i="1"/>
  <c r="Z1022" i="1"/>
  <c r="Y1022" i="1"/>
  <c r="Z1021" i="1"/>
  <c r="Y1021" i="1"/>
  <c r="Z1020" i="1"/>
  <c r="Y1020" i="1"/>
  <c r="Z1019" i="1"/>
  <c r="Y1019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1005" i="1"/>
  <c r="Y1005" i="1"/>
  <c r="Z1004" i="1"/>
  <c r="Y1004" i="1"/>
  <c r="Z1003" i="1"/>
  <c r="Y1003" i="1"/>
  <c r="Z1002" i="1"/>
  <c r="Y1002" i="1"/>
  <c r="Z1001" i="1"/>
  <c r="Y1001" i="1"/>
  <c r="Z1000" i="1"/>
  <c r="Y1000" i="1"/>
  <c r="Z999" i="1"/>
  <c r="Y999" i="1"/>
  <c r="Z998" i="1"/>
  <c r="Y998" i="1"/>
  <c r="Z997" i="1"/>
  <c r="Y997" i="1"/>
  <c r="Z996" i="1"/>
  <c r="Y996" i="1"/>
  <c r="Z995" i="1"/>
  <c r="Y995" i="1"/>
  <c r="Z994" i="1"/>
  <c r="Y994" i="1"/>
  <c r="Z993" i="1"/>
  <c r="Y993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4" i="1"/>
  <c r="Y984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5" i="1"/>
  <c r="Y955" i="1"/>
  <c r="Z954" i="1"/>
  <c r="Y954" i="1"/>
  <c r="Z953" i="1"/>
  <c r="Y953" i="1"/>
  <c r="Z952" i="1"/>
  <c r="Y952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5" i="1"/>
  <c r="Y945" i="1"/>
  <c r="Z944" i="1"/>
  <c r="Y944" i="1"/>
  <c r="Z943" i="1"/>
  <c r="Y943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35" i="1"/>
  <c r="Y935" i="1"/>
  <c r="Z934" i="1"/>
  <c r="Y934" i="1"/>
  <c r="Z933" i="1"/>
  <c r="Y933" i="1"/>
  <c r="Z932" i="1"/>
  <c r="Y932" i="1"/>
  <c r="Z931" i="1"/>
  <c r="Y931" i="1"/>
  <c r="Z930" i="1"/>
  <c r="Y930" i="1"/>
  <c r="Z929" i="1"/>
  <c r="Y929" i="1"/>
  <c r="Z928" i="1"/>
  <c r="Y928" i="1"/>
  <c r="Z927" i="1"/>
  <c r="Y927" i="1"/>
  <c r="Z926" i="1"/>
  <c r="Y926" i="1"/>
  <c r="Z925" i="1"/>
  <c r="Y925" i="1"/>
  <c r="Z924" i="1"/>
  <c r="Y924" i="1"/>
  <c r="Z923" i="1"/>
  <c r="Y923" i="1"/>
  <c r="Z922" i="1"/>
  <c r="Y922" i="1"/>
  <c r="Z921" i="1"/>
  <c r="Y921" i="1"/>
  <c r="Z920" i="1"/>
  <c r="Y920" i="1"/>
  <c r="Z919" i="1"/>
  <c r="Y919" i="1"/>
  <c r="Z918" i="1"/>
  <c r="Y918" i="1"/>
  <c r="Z917" i="1"/>
  <c r="Y917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900" i="1"/>
  <c r="Y900" i="1"/>
  <c r="Z899" i="1"/>
  <c r="Y899" i="1"/>
  <c r="Z898" i="1"/>
  <c r="Y898" i="1"/>
  <c r="Z897" i="1"/>
  <c r="Y897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7" i="1"/>
  <c r="Y877" i="1"/>
  <c r="Z876" i="1"/>
  <c r="Y876" i="1"/>
  <c r="Z875" i="1"/>
  <c r="Y875" i="1"/>
  <c r="Z874" i="1"/>
  <c r="Y874" i="1"/>
  <c r="Z873" i="1"/>
  <c r="Y873" i="1"/>
  <c r="Z872" i="1"/>
  <c r="Y872" i="1"/>
  <c r="Z871" i="1"/>
  <c r="Y871" i="1"/>
  <c r="Z870" i="1"/>
  <c r="Y870" i="1"/>
  <c r="Z869" i="1"/>
  <c r="Y869" i="1"/>
  <c r="Z868" i="1"/>
  <c r="Y868" i="1"/>
  <c r="Z867" i="1"/>
  <c r="Y867" i="1"/>
  <c r="Z866" i="1"/>
  <c r="Y866" i="1"/>
  <c r="Z865" i="1"/>
  <c r="Y865" i="1"/>
  <c r="Z864" i="1"/>
  <c r="Y864" i="1"/>
  <c r="Z863" i="1"/>
  <c r="Y863" i="1"/>
  <c r="Z862" i="1"/>
  <c r="Y862" i="1"/>
  <c r="Z861" i="1"/>
  <c r="Y861" i="1"/>
  <c r="Z860" i="1"/>
  <c r="Y860" i="1"/>
  <c r="Z859" i="1"/>
  <c r="Y859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4" i="1"/>
  <c r="Y814" i="1"/>
  <c r="Z813" i="1"/>
  <c r="Y813" i="1"/>
  <c r="Z812" i="1"/>
  <c r="Y812" i="1"/>
  <c r="Z811" i="1"/>
  <c r="Y811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3" i="1"/>
  <c r="Y803" i="1"/>
  <c r="Z802" i="1"/>
  <c r="Y802" i="1"/>
  <c r="Z801" i="1"/>
  <c r="Y801" i="1"/>
  <c r="Z800" i="1"/>
  <c r="Y800" i="1"/>
  <c r="Z799" i="1"/>
  <c r="Y799" i="1"/>
  <c r="Z798" i="1"/>
  <c r="Y798" i="1"/>
  <c r="Z797" i="1"/>
  <c r="Y797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3" i="1"/>
  <c r="Y783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50" i="1"/>
  <c r="Y750" i="1"/>
  <c r="Z749" i="1"/>
  <c r="Y749" i="1"/>
  <c r="Z748" i="1"/>
  <c r="Y748" i="1"/>
  <c r="Z747" i="1"/>
  <c r="Y747" i="1"/>
  <c r="Z746" i="1"/>
  <c r="Y746" i="1"/>
  <c r="Z745" i="1"/>
  <c r="Y745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706" i="1"/>
  <c r="Y706" i="1"/>
  <c r="Z705" i="1"/>
  <c r="Y705" i="1"/>
  <c r="Z704" i="1"/>
  <c r="Y704" i="1"/>
  <c r="Z703" i="1"/>
  <c r="Y703" i="1"/>
  <c r="Z702" i="1"/>
  <c r="Y702" i="1"/>
  <c r="Z701" i="1"/>
  <c r="Y701" i="1"/>
  <c r="Z700" i="1"/>
  <c r="Y700" i="1"/>
  <c r="Z699" i="1"/>
  <c r="Y699" i="1"/>
  <c r="Z698" i="1"/>
  <c r="Y698" i="1"/>
  <c r="Z697" i="1"/>
  <c r="Y697" i="1"/>
  <c r="Z696" i="1"/>
  <c r="Y696" i="1"/>
  <c r="Z695" i="1"/>
  <c r="Y695" i="1"/>
  <c r="Z694" i="1"/>
  <c r="Y694" i="1"/>
  <c r="Z693" i="1"/>
  <c r="Y693" i="1"/>
  <c r="Z692" i="1"/>
  <c r="Y692" i="1"/>
  <c r="Z691" i="1"/>
  <c r="Y691" i="1"/>
  <c r="Z690" i="1"/>
  <c r="Y690" i="1"/>
  <c r="Z689" i="1"/>
  <c r="Y689" i="1"/>
  <c r="Z688" i="1"/>
  <c r="Y688" i="1"/>
  <c r="Z687" i="1"/>
  <c r="Y687" i="1"/>
  <c r="Z686" i="1"/>
  <c r="Y686" i="1"/>
  <c r="Z685" i="1"/>
  <c r="Y685" i="1"/>
  <c r="Z684" i="1"/>
  <c r="Y684" i="1"/>
  <c r="Z683" i="1"/>
  <c r="Y683" i="1"/>
  <c r="Z682" i="1"/>
  <c r="Y682" i="1"/>
  <c r="Z681" i="1"/>
  <c r="Y681" i="1"/>
  <c r="Z680" i="1"/>
  <c r="Y680" i="1"/>
  <c r="Z679" i="1"/>
  <c r="Y679" i="1"/>
  <c r="Z678" i="1"/>
  <c r="Y678" i="1"/>
  <c r="Z677" i="1"/>
  <c r="Y677" i="1"/>
  <c r="Z676" i="1"/>
  <c r="Y676" i="1"/>
  <c r="Z675" i="1"/>
  <c r="Y675" i="1"/>
  <c r="Z674" i="1"/>
  <c r="Y674" i="1"/>
  <c r="Z673" i="1"/>
  <c r="Y673" i="1"/>
  <c r="Z672" i="1"/>
  <c r="Y672" i="1"/>
  <c r="Z671" i="1"/>
  <c r="Y671" i="1"/>
  <c r="Z670" i="1"/>
  <c r="Y670" i="1"/>
  <c r="Z669" i="1"/>
  <c r="Y669" i="1"/>
  <c r="Z668" i="1"/>
  <c r="Y668" i="1"/>
  <c r="Z667" i="1"/>
  <c r="Y667" i="1"/>
  <c r="Z666" i="1"/>
  <c r="Y666" i="1"/>
  <c r="Z665" i="1"/>
  <c r="Y665" i="1"/>
  <c r="Z664" i="1"/>
  <c r="Y664" i="1"/>
  <c r="Z663" i="1"/>
  <c r="Y663" i="1"/>
  <c r="Z662" i="1"/>
  <c r="Y662" i="1"/>
  <c r="Z661" i="1"/>
  <c r="Y661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47" i="1"/>
  <c r="Y647" i="1"/>
  <c r="Z646" i="1"/>
  <c r="Y646" i="1"/>
  <c r="Z645" i="1"/>
  <c r="Y645" i="1"/>
  <c r="Z644" i="1"/>
  <c r="Y644" i="1"/>
  <c r="Z643" i="1"/>
  <c r="Y643" i="1"/>
  <c r="Z642" i="1"/>
  <c r="Y642" i="1"/>
  <c r="Z641" i="1"/>
  <c r="Y641" i="1"/>
  <c r="Z640" i="1"/>
  <c r="Y640" i="1"/>
  <c r="Z639" i="1"/>
  <c r="Y639" i="1"/>
  <c r="Z638" i="1"/>
  <c r="Y63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16" i="1"/>
  <c r="Y616" i="1"/>
  <c r="Z615" i="1"/>
  <c r="Y615" i="1"/>
  <c r="Z614" i="1"/>
  <c r="Y614" i="1"/>
  <c r="Z613" i="1"/>
  <c r="Y613" i="1"/>
  <c r="Z612" i="1"/>
  <c r="Y612" i="1"/>
  <c r="Z611" i="1"/>
  <c r="Y611" i="1"/>
  <c r="Z610" i="1"/>
  <c r="Y610" i="1"/>
  <c r="Z609" i="1"/>
  <c r="Y609" i="1"/>
  <c r="Z608" i="1"/>
  <c r="Y608" i="1"/>
  <c r="Z607" i="1"/>
  <c r="Y607" i="1"/>
  <c r="Z606" i="1"/>
  <c r="Y606" i="1"/>
  <c r="Z605" i="1"/>
  <c r="Y605" i="1"/>
  <c r="Z604" i="1"/>
  <c r="Y604" i="1"/>
  <c r="Z603" i="1"/>
  <c r="Y603" i="1"/>
  <c r="Z602" i="1"/>
  <c r="Y602" i="1"/>
  <c r="Z601" i="1"/>
  <c r="Y601" i="1"/>
  <c r="Z600" i="1"/>
  <c r="Y600" i="1"/>
  <c r="Z599" i="1"/>
  <c r="Y599" i="1"/>
  <c r="Z598" i="1"/>
  <c r="Y598" i="1"/>
  <c r="Z597" i="1"/>
  <c r="Y597" i="1"/>
  <c r="Z596" i="1"/>
  <c r="Y596" i="1"/>
  <c r="Z595" i="1"/>
  <c r="Y595" i="1"/>
  <c r="Z594" i="1"/>
  <c r="Y594" i="1"/>
  <c r="Z593" i="1"/>
  <c r="Y593" i="1"/>
  <c r="Z592" i="1"/>
  <c r="Y592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4" i="1"/>
  <c r="Y554" i="1"/>
  <c r="Z553" i="1"/>
  <c r="Y553" i="1"/>
  <c r="Z552" i="1"/>
  <c r="Y552" i="1"/>
  <c r="Z551" i="1"/>
  <c r="Y551" i="1"/>
  <c r="Z550" i="1"/>
  <c r="Y550" i="1"/>
  <c r="Z549" i="1"/>
  <c r="Y549" i="1"/>
  <c r="Z548" i="1"/>
  <c r="Y548" i="1"/>
  <c r="Z547" i="1"/>
  <c r="Y547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8" i="1"/>
  <c r="Y528" i="1"/>
  <c r="Z527" i="1"/>
  <c r="Y527" i="1"/>
  <c r="Z526" i="1"/>
  <c r="Y526" i="1"/>
  <c r="Z525" i="1"/>
  <c r="Y525" i="1"/>
  <c r="Z524" i="1"/>
  <c r="Y524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3" i="1"/>
  <c r="Y503" i="1"/>
  <c r="Z502" i="1"/>
  <c r="Y502" i="1"/>
  <c r="Z501" i="1"/>
  <c r="Y501" i="1"/>
  <c r="Z500" i="1"/>
  <c r="Y500" i="1"/>
  <c r="Z499" i="1"/>
  <c r="Y499" i="1"/>
  <c r="Z498" i="1"/>
  <c r="Y498" i="1"/>
  <c r="Z497" i="1"/>
  <c r="Y497" i="1"/>
  <c r="Z496" i="1"/>
  <c r="Y496" i="1"/>
  <c r="Z495" i="1"/>
  <c r="Y495" i="1"/>
  <c r="Z494" i="1"/>
  <c r="Y494" i="1"/>
  <c r="Z493" i="1"/>
  <c r="Y493" i="1"/>
  <c r="Z492" i="1"/>
  <c r="Y492" i="1"/>
  <c r="Z491" i="1"/>
  <c r="Y491" i="1"/>
  <c r="Z490" i="1"/>
  <c r="Y490" i="1"/>
  <c r="Z489" i="1"/>
  <c r="Y489" i="1"/>
  <c r="Z488" i="1"/>
  <c r="Y488" i="1"/>
  <c r="Z487" i="1"/>
  <c r="Y487" i="1"/>
  <c r="Z486" i="1"/>
  <c r="Y486" i="1"/>
  <c r="Z485" i="1"/>
  <c r="Y485" i="1"/>
  <c r="Z484" i="1"/>
  <c r="Y484" i="1"/>
  <c r="Z483" i="1"/>
  <c r="Y483" i="1"/>
  <c r="Z482" i="1"/>
  <c r="Y482" i="1"/>
  <c r="Z481" i="1"/>
  <c r="Y481" i="1"/>
  <c r="Z480" i="1"/>
  <c r="Y480" i="1"/>
  <c r="Z479" i="1"/>
  <c r="Y479" i="1"/>
  <c r="Z478" i="1"/>
  <c r="Y478" i="1"/>
  <c r="Z477" i="1"/>
  <c r="Y477" i="1"/>
  <c r="Z476" i="1"/>
  <c r="Y476" i="1"/>
  <c r="Z475" i="1"/>
  <c r="Y475" i="1"/>
  <c r="Z474" i="1"/>
  <c r="Y474" i="1"/>
  <c r="Z473" i="1"/>
  <c r="Y473" i="1"/>
  <c r="Z472" i="1"/>
  <c r="Y472" i="1"/>
  <c r="Z471" i="1"/>
  <c r="Y471" i="1"/>
  <c r="Z470" i="1"/>
  <c r="Y470" i="1"/>
  <c r="Z469" i="1"/>
  <c r="Y469" i="1"/>
  <c r="Z468" i="1"/>
  <c r="Y468" i="1"/>
  <c r="Z467" i="1"/>
  <c r="Y467" i="1"/>
  <c r="Z466" i="1"/>
  <c r="Y466" i="1"/>
  <c r="Z465" i="1"/>
  <c r="Y465" i="1"/>
  <c r="Z464" i="1"/>
  <c r="Y464" i="1"/>
  <c r="Z463" i="1"/>
  <c r="Y463" i="1"/>
  <c r="Z462" i="1"/>
  <c r="Y462" i="1"/>
  <c r="Z461" i="1"/>
  <c r="Y461" i="1"/>
  <c r="Z460" i="1"/>
  <c r="Y460" i="1"/>
  <c r="Z459" i="1"/>
  <c r="Y459" i="1"/>
  <c r="Z458" i="1"/>
  <c r="Y458" i="1"/>
  <c r="Z457" i="1"/>
  <c r="Y457" i="1"/>
  <c r="Z456" i="1"/>
  <c r="Y456" i="1"/>
  <c r="Z455" i="1"/>
  <c r="Y455" i="1"/>
  <c r="Z454" i="1"/>
  <c r="Y454" i="1"/>
  <c r="Z453" i="1"/>
  <c r="Y453" i="1"/>
  <c r="Z452" i="1"/>
  <c r="Y452" i="1"/>
  <c r="Z451" i="1"/>
  <c r="Y451" i="1"/>
  <c r="Z450" i="1"/>
  <c r="Y450" i="1"/>
  <c r="Z449" i="1"/>
  <c r="Y449" i="1"/>
  <c r="Z448" i="1"/>
  <c r="Y448" i="1"/>
  <c r="Z447" i="1"/>
  <c r="Y447" i="1"/>
  <c r="Z446" i="1"/>
  <c r="Y446" i="1"/>
  <c r="Z445" i="1"/>
  <c r="Y445" i="1"/>
  <c r="Z444" i="1"/>
  <c r="Y444" i="1"/>
  <c r="Z443" i="1"/>
  <c r="Y443" i="1"/>
  <c r="Z442" i="1"/>
  <c r="Y442" i="1"/>
  <c r="Z441" i="1"/>
  <c r="Y441" i="1"/>
  <c r="Z440" i="1"/>
  <c r="Y440" i="1"/>
  <c r="Z439" i="1"/>
  <c r="Y439" i="1"/>
  <c r="Z438" i="1"/>
  <c r="Y438" i="1"/>
  <c r="Z437" i="1"/>
  <c r="Y437" i="1"/>
  <c r="Z436" i="1"/>
  <c r="Y436" i="1"/>
  <c r="Z435" i="1"/>
  <c r="Y435" i="1"/>
  <c r="Z434" i="1"/>
  <c r="Y434" i="1"/>
  <c r="Z433" i="1"/>
  <c r="Y433" i="1"/>
  <c r="Z432" i="1"/>
  <c r="Y432" i="1"/>
  <c r="Z431" i="1"/>
  <c r="Y431" i="1"/>
  <c r="Z430" i="1"/>
  <c r="Y430" i="1"/>
  <c r="Z429" i="1"/>
  <c r="Y429" i="1"/>
  <c r="Z428" i="1"/>
  <c r="Y428" i="1"/>
  <c r="Z427" i="1"/>
  <c r="Y427" i="1"/>
  <c r="Z426" i="1"/>
  <c r="Y426" i="1"/>
  <c r="Z425" i="1"/>
  <c r="Y425" i="1"/>
  <c r="Z424" i="1"/>
  <c r="Y424" i="1"/>
  <c r="Z423" i="1"/>
  <c r="Y423" i="1"/>
  <c r="Z422" i="1"/>
  <c r="Y422" i="1"/>
  <c r="Z421" i="1"/>
  <c r="Y421" i="1"/>
  <c r="Z420" i="1"/>
  <c r="Y420" i="1"/>
  <c r="Z419" i="1"/>
  <c r="Y419" i="1"/>
  <c r="Z418" i="1"/>
  <c r="Y418" i="1"/>
  <c r="Z417" i="1"/>
  <c r="Y417" i="1"/>
  <c r="Z416" i="1"/>
  <c r="Y416" i="1"/>
  <c r="Z415" i="1"/>
  <c r="Y415" i="1"/>
  <c r="Z414" i="1"/>
  <c r="Y414" i="1"/>
  <c r="Z413" i="1"/>
  <c r="Y413" i="1"/>
  <c r="Z412" i="1"/>
  <c r="Y412" i="1"/>
  <c r="Z411" i="1"/>
  <c r="Y411" i="1"/>
  <c r="Z410" i="1"/>
  <c r="Y410" i="1"/>
  <c r="Z409" i="1"/>
  <c r="Y409" i="1"/>
  <c r="Z408" i="1"/>
  <c r="Y408" i="1"/>
  <c r="Z407" i="1"/>
  <c r="Y407" i="1"/>
  <c r="Z406" i="1"/>
  <c r="Y406" i="1"/>
  <c r="Z405" i="1"/>
  <c r="Y405" i="1"/>
  <c r="Z404" i="1"/>
  <c r="Y404" i="1"/>
  <c r="Z403" i="1"/>
  <c r="Y403" i="1"/>
  <c r="Z402" i="1"/>
  <c r="Y402" i="1"/>
  <c r="Z401" i="1"/>
  <c r="Y401" i="1"/>
  <c r="Z400" i="1"/>
  <c r="Y400" i="1"/>
  <c r="Z399" i="1"/>
  <c r="Y399" i="1"/>
  <c r="Z398" i="1"/>
  <c r="Y398" i="1"/>
  <c r="Z397" i="1"/>
  <c r="Y397" i="1"/>
  <c r="Z396" i="1"/>
  <c r="Y396" i="1"/>
  <c r="Z395" i="1"/>
  <c r="Y395" i="1"/>
  <c r="Z394" i="1"/>
  <c r="Y394" i="1"/>
  <c r="Z393" i="1"/>
  <c r="Y393" i="1"/>
  <c r="Z392" i="1"/>
  <c r="Y392" i="1"/>
  <c r="Z391" i="1"/>
  <c r="Y391" i="1"/>
  <c r="Z390" i="1"/>
  <c r="Y390" i="1"/>
  <c r="Z389" i="1"/>
  <c r="Y389" i="1"/>
  <c r="Z388" i="1"/>
  <c r="Y388" i="1"/>
  <c r="Z387" i="1"/>
  <c r="Y387" i="1"/>
  <c r="Z386" i="1"/>
  <c r="Y386" i="1"/>
  <c r="Z385" i="1"/>
  <c r="Y385" i="1"/>
  <c r="Z384" i="1"/>
  <c r="Y384" i="1"/>
  <c r="Z383" i="1"/>
  <c r="Y383" i="1"/>
  <c r="Z382" i="1"/>
  <c r="Y382" i="1"/>
  <c r="Z381" i="1"/>
  <c r="Y381" i="1"/>
  <c r="Z380" i="1"/>
  <c r="Y380" i="1"/>
  <c r="Z379" i="1"/>
  <c r="Y379" i="1"/>
  <c r="Z378" i="1"/>
  <c r="Y378" i="1"/>
  <c r="Z377" i="1"/>
  <c r="Y377" i="1"/>
  <c r="Z376" i="1"/>
  <c r="Y376" i="1"/>
  <c r="Z375" i="1"/>
  <c r="Y375" i="1"/>
  <c r="Z374" i="1"/>
  <c r="Y374" i="1"/>
  <c r="Z373" i="1"/>
  <c r="Y373" i="1"/>
  <c r="Z372" i="1"/>
  <c r="Y372" i="1"/>
  <c r="Z371" i="1"/>
  <c r="Y371" i="1"/>
  <c r="Z370" i="1"/>
  <c r="Y370" i="1"/>
  <c r="Z369" i="1"/>
  <c r="Y369" i="1"/>
  <c r="Z368" i="1"/>
  <c r="Y368" i="1"/>
  <c r="Z367" i="1"/>
  <c r="Y367" i="1"/>
  <c r="Z366" i="1"/>
  <c r="Y366" i="1"/>
  <c r="Z365" i="1"/>
  <c r="Y365" i="1"/>
  <c r="Z364" i="1"/>
  <c r="Y364" i="1"/>
  <c r="Z363" i="1"/>
  <c r="Y363" i="1"/>
  <c r="Z362" i="1"/>
  <c r="Y362" i="1"/>
  <c r="Z361" i="1"/>
  <c r="Y361" i="1"/>
  <c r="Z360" i="1"/>
  <c r="Y360" i="1"/>
  <c r="Z359" i="1"/>
  <c r="Y359" i="1"/>
  <c r="Z358" i="1"/>
  <c r="Y358" i="1"/>
  <c r="Z357" i="1"/>
  <c r="Y357" i="1"/>
  <c r="Z356" i="1"/>
  <c r="Y356" i="1"/>
  <c r="Z355" i="1"/>
  <c r="Y355" i="1"/>
  <c r="Z354" i="1"/>
  <c r="Y354" i="1"/>
  <c r="Z353" i="1"/>
  <c r="Y353" i="1"/>
  <c r="Z352" i="1"/>
  <c r="Y352" i="1"/>
  <c r="Z351" i="1"/>
  <c r="Y351" i="1"/>
  <c r="Z350" i="1"/>
  <c r="Y350" i="1"/>
  <c r="Z349" i="1"/>
  <c r="Y349" i="1"/>
  <c r="Z348" i="1"/>
  <c r="Y348" i="1"/>
  <c r="Z347" i="1"/>
  <c r="Y347" i="1"/>
  <c r="Z346" i="1"/>
  <c r="Y346" i="1"/>
  <c r="Z345" i="1"/>
  <c r="Y345" i="1"/>
  <c r="Z344" i="1"/>
  <c r="Y344" i="1"/>
  <c r="Z343" i="1"/>
  <c r="Y343" i="1"/>
  <c r="Z342" i="1"/>
  <c r="Y342" i="1"/>
  <c r="Z341" i="1"/>
  <c r="Y341" i="1"/>
  <c r="Z340" i="1"/>
  <c r="Y340" i="1"/>
  <c r="Z339" i="1"/>
  <c r="Y339" i="1"/>
  <c r="Z338" i="1"/>
  <c r="Y338" i="1"/>
  <c r="Z337" i="1"/>
  <c r="Y337" i="1"/>
  <c r="Z336" i="1"/>
  <c r="Y336" i="1"/>
  <c r="Z335" i="1"/>
  <c r="Y335" i="1"/>
  <c r="Z334" i="1"/>
  <c r="Y334" i="1"/>
  <c r="Z333" i="1"/>
  <c r="Y333" i="1"/>
  <c r="Z332" i="1"/>
  <c r="Y332" i="1"/>
  <c r="Z331" i="1"/>
  <c r="Y331" i="1"/>
  <c r="Z330" i="1"/>
  <c r="Y330" i="1"/>
  <c r="Z329" i="1"/>
  <c r="Y329" i="1"/>
  <c r="Z328" i="1"/>
  <c r="Y328" i="1"/>
  <c r="Z327" i="1"/>
  <c r="Y327" i="1"/>
  <c r="Z326" i="1"/>
  <c r="Y326" i="1"/>
  <c r="Z325" i="1"/>
  <c r="Y325" i="1"/>
  <c r="Z324" i="1"/>
  <c r="Y324" i="1"/>
  <c r="Z323" i="1"/>
  <c r="Y323" i="1"/>
  <c r="Z322" i="1"/>
  <c r="Y322" i="1"/>
  <c r="Z321" i="1"/>
  <c r="Y321" i="1"/>
  <c r="Z320" i="1"/>
  <c r="Y320" i="1"/>
  <c r="Z319" i="1"/>
  <c r="Y319" i="1"/>
  <c r="Z318" i="1"/>
  <c r="Y318" i="1"/>
  <c r="Z317" i="1"/>
  <c r="Y317" i="1"/>
  <c r="Z316" i="1"/>
  <c r="Y316" i="1"/>
  <c r="Z315" i="1"/>
  <c r="Y315" i="1"/>
  <c r="Z314" i="1"/>
  <c r="Y314" i="1"/>
  <c r="Z313" i="1"/>
  <c r="Y313" i="1"/>
  <c r="Z312" i="1"/>
  <c r="Y312" i="1"/>
  <c r="Z311" i="1"/>
  <c r="Y311" i="1"/>
  <c r="Z310" i="1"/>
  <c r="Y310" i="1"/>
  <c r="Z309" i="1"/>
  <c r="Y309" i="1"/>
  <c r="Z308" i="1"/>
  <c r="Y308" i="1"/>
  <c r="Z307" i="1"/>
  <c r="Y307" i="1"/>
  <c r="Z306" i="1"/>
  <c r="Y306" i="1"/>
  <c r="Z305" i="1"/>
  <c r="Y305" i="1"/>
  <c r="Z304" i="1"/>
  <c r="Y304" i="1"/>
  <c r="Z303" i="1"/>
  <c r="Y303" i="1"/>
  <c r="Z302" i="1"/>
  <c r="Y302" i="1"/>
  <c r="Z301" i="1"/>
  <c r="Y301" i="1"/>
  <c r="Z300" i="1"/>
  <c r="Y300" i="1"/>
  <c r="Z299" i="1"/>
  <c r="Y299" i="1"/>
  <c r="Z298" i="1"/>
  <c r="Y298" i="1"/>
  <c r="Z297" i="1"/>
  <c r="Y297" i="1"/>
  <c r="Z296" i="1"/>
  <c r="Y296" i="1"/>
  <c r="Z295" i="1"/>
  <c r="Y295" i="1"/>
  <c r="Z294" i="1"/>
  <c r="Y294" i="1"/>
  <c r="Z293" i="1"/>
  <c r="Y293" i="1"/>
  <c r="Z292" i="1"/>
  <c r="Y292" i="1"/>
  <c r="Z291" i="1"/>
  <c r="Y291" i="1"/>
  <c r="Z290" i="1"/>
  <c r="Y290" i="1"/>
  <c r="Z289" i="1"/>
  <c r="Y289" i="1"/>
  <c r="Z288" i="1"/>
  <c r="Y288" i="1"/>
  <c r="Z287" i="1"/>
  <c r="Y287" i="1"/>
  <c r="Z286" i="1"/>
  <c r="Y286" i="1"/>
  <c r="Z285" i="1"/>
  <c r="Y285" i="1"/>
  <c r="Z284" i="1"/>
  <c r="Y284" i="1"/>
  <c r="Z283" i="1"/>
  <c r="Y283" i="1"/>
  <c r="Z282" i="1"/>
  <c r="Y282" i="1"/>
  <c r="Z281" i="1"/>
  <c r="Y281" i="1"/>
  <c r="Z280" i="1"/>
  <c r="Y280" i="1"/>
  <c r="Z279" i="1"/>
  <c r="Y279" i="1"/>
  <c r="Z278" i="1"/>
  <c r="Y278" i="1"/>
  <c r="Z277" i="1"/>
  <c r="Y277" i="1"/>
  <c r="Z276" i="1"/>
  <c r="Y276" i="1"/>
  <c r="Z275" i="1"/>
  <c r="Y275" i="1"/>
  <c r="Z274" i="1"/>
  <c r="Y274" i="1"/>
  <c r="Z273" i="1"/>
  <c r="Y273" i="1"/>
  <c r="Z272" i="1"/>
  <c r="Y272" i="1"/>
  <c r="Z271" i="1"/>
  <c r="Y271" i="1"/>
  <c r="Z270" i="1"/>
  <c r="Y270" i="1"/>
  <c r="Z269" i="1"/>
  <c r="Y269" i="1"/>
  <c r="Z268" i="1"/>
  <c r="Y268" i="1"/>
  <c r="Z267" i="1"/>
  <c r="Y267" i="1"/>
  <c r="Z266" i="1"/>
  <c r="Y266" i="1"/>
  <c r="Z265" i="1"/>
  <c r="Y265" i="1"/>
  <c r="Z264" i="1"/>
  <c r="Y264" i="1"/>
  <c r="Z263" i="1"/>
  <c r="Y263" i="1"/>
  <c r="Z262" i="1"/>
  <c r="Y262" i="1"/>
  <c r="Z261" i="1"/>
  <c r="Y261" i="1"/>
  <c r="Z260" i="1"/>
  <c r="Y260" i="1"/>
  <c r="Z259" i="1"/>
  <c r="Y259" i="1"/>
  <c r="Z258" i="1"/>
  <c r="Y258" i="1"/>
  <c r="Z257" i="1"/>
  <c r="Y257" i="1"/>
  <c r="Z256" i="1"/>
  <c r="Y256" i="1"/>
  <c r="Z255" i="1"/>
  <c r="Y255" i="1"/>
  <c r="Z254" i="1"/>
  <c r="Y254" i="1"/>
  <c r="Z253" i="1"/>
  <c r="Y253" i="1"/>
  <c r="Z252" i="1"/>
  <c r="Y252" i="1"/>
  <c r="Z251" i="1"/>
  <c r="Y251" i="1"/>
  <c r="Z250" i="1"/>
  <c r="Y250" i="1"/>
  <c r="Z249" i="1"/>
  <c r="Y249" i="1"/>
  <c r="Z248" i="1"/>
  <c r="Y248" i="1"/>
  <c r="Z247" i="1"/>
  <c r="Y247" i="1"/>
  <c r="Z246" i="1"/>
  <c r="Y246" i="1"/>
  <c r="Z245" i="1"/>
  <c r="Y245" i="1"/>
  <c r="Z244" i="1"/>
  <c r="Y244" i="1"/>
  <c r="Z243" i="1"/>
  <c r="Y243" i="1"/>
  <c r="Z242" i="1"/>
  <c r="Y242" i="1"/>
  <c r="Z241" i="1"/>
  <c r="Y241" i="1"/>
  <c r="Z240" i="1"/>
  <c r="Y240" i="1"/>
  <c r="Z239" i="1"/>
  <c r="Y239" i="1"/>
  <c r="Z238" i="1"/>
  <c r="Y238" i="1"/>
  <c r="Z237" i="1"/>
  <c r="Y237" i="1"/>
  <c r="Z236" i="1"/>
  <c r="Y236" i="1"/>
  <c r="Z235" i="1"/>
  <c r="Y235" i="1"/>
  <c r="Z234" i="1"/>
  <c r="Y234" i="1"/>
  <c r="Z233" i="1"/>
  <c r="Y233" i="1"/>
  <c r="Z232" i="1"/>
  <c r="Y232" i="1"/>
  <c r="Z231" i="1"/>
  <c r="Y231" i="1"/>
  <c r="Z230" i="1"/>
  <c r="Y230" i="1"/>
  <c r="Z229" i="1"/>
  <c r="Y229" i="1"/>
  <c r="Z228" i="1"/>
  <c r="Y228" i="1"/>
  <c r="Z227" i="1"/>
  <c r="Y227" i="1"/>
  <c r="Z226" i="1"/>
  <c r="Y226" i="1"/>
  <c r="Z225" i="1"/>
  <c r="Y225" i="1"/>
  <c r="Z224" i="1"/>
  <c r="Y224" i="1"/>
  <c r="Z223" i="1"/>
  <c r="Y223" i="1"/>
  <c r="Z222" i="1"/>
  <c r="Y222" i="1"/>
  <c r="Z221" i="1"/>
  <c r="Y221" i="1"/>
  <c r="Z220" i="1"/>
  <c r="Y220" i="1"/>
  <c r="Z219" i="1"/>
  <c r="Y219" i="1"/>
  <c r="Z218" i="1"/>
  <c r="Y218" i="1"/>
  <c r="Z217" i="1"/>
  <c r="Y217" i="1"/>
  <c r="Z216" i="1"/>
  <c r="Y216" i="1"/>
  <c r="Z215" i="1"/>
  <c r="Y215" i="1"/>
  <c r="Z214" i="1"/>
  <c r="Y214" i="1"/>
  <c r="Z213" i="1"/>
  <c r="Y213" i="1"/>
  <c r="Z212" i="1"/>
  <c r="Y212" i="1"/>
  <c r="Z211" i="1"/>
  <c r="Y211" i="1"/>
  <c r="Z210" i="1"/>
  <c r="Y210" i="1"/>
  <c r="Z209" i="1"/>
  <c r="Y209" i="1"/>
  <c r="Z208" i="1"/>
  <c r="Y208" i="1"/>
  <c r="Z207" i="1"/>
  <c r="Y207" i="1"/>
  <c r="Z206" i="1"/>
  <c r="Y206" i="1"/>
  <c r="Z205" i="1"/>
  <c r="Y205" i="1"/>
  <c r="Z204" i="1"/>
  <c r="Y204" i="1"/>
  <c r="Z203" i="1"/>
  <c r="Y203" i="1"/>
  <c r="Z202" i="1"/>
  <c r="Y202" i="1"/>
  <c r="Z201" i="1"/>
  <c r="Y201" i="1"/>
  <c r="Z200" i="1"/>
  <c r="Y200" i="1"/>
  <c r="Z199" i="1"/>
  <c r="Y199" i="1"/>
  <c r="Z198" i="1"/>
  <c r="Y198" i="1"/>
  <c r="Z197" i="1"/>
  <c r="Y197" i="1"/>
  <c r="Z196" i="1"/>
  <c r="Y196" i="1"/>
  <c r="Z195" i="1"/>
  <c r="Y195" i="1"/>
  <c r="Z194" i="1"/>
  <c r="Y194" i="1"/>
  <c r="Z193" i="1"/>
  <c r="Y193" i="1"/>
  <c r="Z192" i="1"/>
  <c r="Y192" i="1"/>
  <c r="Z191" i="1"/>
  <c r="Y191" i="1"/>
  <c r="Z190" i="1"/>
  <c r="Y190" i="1"/>
  <c r="Z189" i="1"/>
  <c r="Y189" i="1"/>
  <c r="Z188" i="1"/>
  <c r="Y188" i="1"/>
  <c r="Z187" i="1"/>
  <c r="Y187" i="1"/>
  <c r="Z186" i="1"/>
  <c r="Y186" i="1"/>
  <c r="Z185" i="1"/>
  <c r="Y185" i="1"/>
  <c r="Z184" i="1"/>
  <c r="Y184" i="1"/>
  <c r="Z183" i="1"/>
  <c r="Y183" i="1"/>
  <c r="Z182" i="1"/>
  <c r="Y182" i="1"/>
  <c r="Z181" i="1"/>
  <c r="Y181" i="1"/>
  <c r="Z180" i="1"/>
  <c r="Y180" i="1"/>
  <c r="Z179" i="1"/>
  <c r="Y179" i="1"/>
  <c r="Z178" i="1"/>
  <c r="Y178" i="1"/>
  <c r="Z177" i="1"/>
  <c r="Y177" i="1"/>
  <c r="Z176" i="1"/>
  <c r="Y176" i="1"/>
  <c r="Z175" i="1"/>
  <c r="Y175" i="1"/>
  <c r="Z174" i="1"/>
  <c r="Y174" i="1"/>
  <c r="Z173" i="1"/>
  <c r="Y173" i="1"/>
  <c r="Z172" i="1"/>
  <c r="Y172" i="1"/>
  <c r="Z171" i="1"/>
  <c r="Y171" i="1"/>
  <c r="Z170" i="1"/>
  <c r="Y170" i="1"/>
  <c r="Z169" i="1"/>
  <c r="Y169" i="1"/>
  <c r="Z168" i="1"/>
  <c r="Y168" i="1"/>
  <c r="Z167" i="1"/>
  <c r="Y167" i="1"/>
  <c r="Z166" i="1"/>
  <c r="Y166" i="1"/>
  <c r="Z165" i="1"/>
  <c r="Y165" i="1"/>
  <c r="Z164" i="1"/>
  <c r="Y164" i="1"/>
  <c r="Z163" i="1"/>
  <c r="Y163" i="1"/>
  <c r="Z162" i="1"/>
  <c r="Y162" i="1"/>
  <c r="Z161" i="1"/>
  <c r="Y161" i="1"/>
  <c r="Z160" i="1"/>
  <c r="Y160" i="1"/>
  <c r="Z159" i="1"/>
  <c r="Y159" i="1"/>
  <c r="Z158" i="1"/>
  <c r="Y158" i="1"/>
  <c r="Z157" i="1"/>
  <c r="Y157" i="1"/>
  <c r="Z156" i="1"/>
  <c r="Y156" i="1"/>
  <c r="Z155" i="1"/>
  <c r="Y155" i="1"/>
  <c r="Z154" i="1"/>
  <c r="Y154" i="1"/>
  <c r="Z153" i="1"/>
  <c r="Y153" i="1"/>
  <c r="Z152" i="1"/>
  <c r="Y152" i="1"/>
  <c r="Z151" i="1"/>
  <c r="Y151" i="1"/>
  <c r="Z150" i="1"/>
  <c r="Y150" i="1"/>
  <c r="Z149" i="1"/>
  <c r="Y149" i="1"/>
  <c r="Z148" i="1"/>
  <c r="Y148" i="1"/>
  <c r="Z147" i="1"/>
  <c r="Y147" i="1"/>
  <c r="Z146" i="1"/>
  <c r="Y146" i="1"/>
  <c r="Z145" i="1"/>
  <c r="Y145" i="1"/>
  <c r="Z144" i="1"/>
  <c r="Y144" i="1"/>
  <c r="Z143" i="1"/>
  <c r="Y143" i="1"/>
  <c r="Z142" i="1"/>
  <c r="Y142" i="1"/>
  <c r="Z141" i="1"/>
  <c r="Y141" i="1"/>
  <c r="Z140" i="1"/>
  <c r="Y140" i="1"/>
  <c r="Z139" i="1"/>
  <c r="Y139" i="1"/>
  <c r="Z138" i="1"/>
  <c r="Y138" i="1"/>
  <c r="Z137" i="1"/>
  <c r="Y137" i="1"/>
  <c r="Z136" i="1"/>
  <c r="Y136" i="1"/>
  <c r="Z135" i="1"/>
  <c r="Y135" i="1"/>
  <c r="Z134" i="1"/>
  <c r="Y134" i="1"/>
  <c r="Z133" i="1"/>
  <c r="Y133" i="1"/>
  <c r="Z132" i="1"/>
  <c r="Y132" i="1"/>
  <c r="Z131" i="1"/>
  <c r="Y131" i="1"/>
  <c r="Z130" i="1"/>
  <c r="Y130" i="1"/>
  <c r="Z129" i="1"/>
  <c r="Y129" i="1"/>
  <c r="Z128" i="1"/>
  <c r="Y128" i="1"/>
  <c r="Z127" i="1"/>
  <c r="Y127" i="1"/>
  <c r="Z126" i="1"/>
  <c r="Y126" i="1"/>
  <c r="Z125" i="1"/>
  <c r="Y125" i="1"/>
  <c r="Z124" i="1"/>
  <c r="Y124" i="1"/>
  <c r="Z123" i="1"/>
  <c r="Y123" i="1"/>
  <c r="Z122" i="1"/>
  <c r="Y122" i="1"/>
  <c r="Z121" i="1"/>
  <c r="Y121" i="1"/>
  <c r="Z120" i="1"/>
  <c r="Y120" i="1"/>
  <c r="Z119" i="1"/>
  <c r="Y119" i="1"/>
  <c r="Z118" i="1"/>
  <c r="Y118" i="1"/>
  <c r="Z117" i="1"/>
  <c r="Y117" i="1"/>
  <c r="Z116" i="1"/>
  <c r="Y116" i="1"/>
  <c r="Z115" i="1"/>
  <c r="Y115" i="1"/>
  <c r="Z114" i="1"/>
  <c r="Y114" i="1"/>
  <c r="Z113" i="1"/>
  <c r="Y113" i="1"/>
  <c r="Z112" i="1"/>
  <c r="Y112" i="1"/>
  <c r="Z111" i="1"/>
  <c r="Y111" i="1"/>
  <c r="Z110" i="1"/>
  <c r="Y110" i="1"/>
  <c r="Z109" i="1"/>
  <c r="Y109" i="1"/>
  <c r="Z108" i="1"/>
  <c r="Y108" i="1"/>
  <c r="Z107" i="1"/>
  <c r="Y107" i="1"/>
  <c r="Z106" i="1"/>
  <c r="Y106" i="1"/>
  <c r="Z105" i="1"/>
  <c r="Y105" i="1"/>
  <c r="Z104" i="1"/>
  <c r="Y104" i="1"/>
  <c r="Z103" i="1"/>
  <c r="Y103" i="1"/>
  <c r="Z102" i="1"/>
  <c r="Y102" i="1"/>
  <c r="Z101" i="1"/>
  <c r="Y101" i="1"/>
  <c r="Z100" i="1"/>
  <c r="Y100" i="1"/>
  <c r="Z99" i="1"/>
  <c r="Y99" i="1"/>
  <c r="Z98" i="1"/>
  <c r="Y98" i="1"/>
  <c r="Z97" i="1"/>
  <c r="Y97" i="1"/>
  <c r="Z96" i="1"/>
  <c r="Y96" i="1"/>
  <c r="Z95" i="1"/>
  <c r="Y95" i="1"/>
  <c r="Z94" i="1"/>
  <c r="Y94" i="1"/>
  <c r="Z93" i="1"/>
  <c r="Y93" i="1"/>
  <c r="Z92" i="1"/>
  <c r="Y92" i="1"/>
  <c r="Z91" i="1"/>
  <c r="Y91" i="1"/>
  <c r="Z90" i="1"/>
  <c r="Y90" i="1"/>
  <c r="Z89" i="1"/>
  <c r="Y89" i="1"/>
  <c r="Z88" i="1"/>
  <c r="Y88" i="1"/>
  <c r="Z87" i="1"/>
  <c r="Y87" i="1"/>
  <c r="Z86" i="1"/>
  <c r="Y86" i="1"/>
  <c r="Z85" i="1"/>
  <c r="Y85" i="1"/>
  <c r="Z84" i="1"/>
  <c r="Y84" i="1"/>
  <c r="Z83" i="1"/>
  <c r="Y83" i="1"/>
  <c r="Z82" i="1"/>
  <c r="Y82" i="1"/>
  <c r="Z81" i="1"/>
  <c r="Y81" i="1"/>
  <c r="Z80" i="1"/>
  <c r="Y80" i="1"/>
  <c r="Z79" i="1"/>
  <c r="Y79" i="1"/>
  <c r="Z78" i="1"/>
  <c r="Y78" i="1"/>
  <c r="Z77" i="1"/>
  <c r="Y77" i="1"/>
  <c r="Z76" i="1"/>
  <c r="Y76" i="1"/>
  <c r="Z75" i="1"/>
  <c r="Y75" i="1"/>
  <c r="Z74" i="1"/>
  <c r="Y74" i="1"/>
  <c r="Z73" i="1"/>
  <c r="Y73" i="1"/>
  <c r="Z72" i="1"/>
  <c r="Y72" i="1"/>
  <c r="Z71" i="1"/>
  <c r="Y71" i="1"/>
  <c r="Z70" i="1"/>
  <c r="Y70" i="1"/>
  <c r="Z69" i="1"/>
  <c r="Y69" i="1"/>
  <c r="Z68" i="1"/>
  <c r="Y68" i="1"/>
  <c r="Z67" i="1"/>
  <c r="Y67" i="1"/>
  <c r="Z66" i="1"/>
  <c r="Y66" i="1"/>
  <c r="Z65" i="1"/>
  <c r="Y65" i="1"/>
  <c r="Z64" i="1"/>
  <c r="Y64" i="1"/>
  <c r="Z63" i="1"/>
  <c r="Y63" i="1"/>
  <c r="Z62" i="1"/>
  <c r="Y62" i="1"/>
  <c r="Z61" i="1"/>
  <c r="Y61" i="1"/>
  <c r="Z60" i="1"/>
  <c r="Y60" i="1"/>
  <c r="Z59" i="1"/>
  <c r="Y59" i="1"/>
  <c r="Z58" i="1"/>
  <c r="Y58" i="1"/>
  <c r="Z57" i="1"/>
  <c r="Y57" i="1"/>
  <c r="Z56" i="1"/>
  <c r="Y56" i="1"/>
  <c r="Z55" i="1"/>
  <c r="Y55" i="1"/>
  <c r="Z54" i="1"/>
  <c r="Y54" i="1"/>
  <c r="Z53" i="1"/>
  <c r="Y53" i="1"/>
  <c r="Z52" i="1"/>
  <c r="Y52" i="1"/>
  <c r="Z51" i="1"/>
  <c r="Y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4" i="1"/>
  <c r="Y34" i="1"/>
  <c r="Z33" i="1"/>
  <c r="Y33" i="1"/>
  <c r="Z32" i="1"/>
  <c r="Y32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Z23" i="1"/>
  <c r="Y23" i="1"/>
  <c r="Z22" i="1"/>
  <c r="Y22" i="1"/>
  <c r="Z21" i="1"/>
  <c r="Y21" i="1"/>
  <c r="Z20" i="1"/>
  <c r="Y20" i="1"/>
  <c r="Z19" i="1"/>
  <c r="Y19" i="1"/>
  <c r="Z18" i="1"/>
  <c r="Y18" i="1"/>
  <c r="Z17" i="1"/>
  <c r="Y17" i="1"/>
  <c r="Z16" i="1"/>
  <c r="Y16" i="1"/>
  <c r="Z15" i="1"/>
  <c r="Y15" i="1"/>
  <c r="Z14" i="1"/>
  <c r="Y14" i="1"/>
  <c r="Z13" i="1"/>
  <c r="Y13" i="1"/>
  <c r="Z12" i="1"/>
  <c r="Y12" i="1"/>
  <c r="Z11" i="1"/>
  <c r="Y11" i="1"/>
  <c r="Z10" i="1"/>
  <c r="Y10" i="1"/>
  <c r="Z9" i="1"/>
  <c r="Y9" i="1"/>
  <c r="Z8" i="1"/>
  <c r="Y8" i="1"/>
  <c r="Z7" i="1"/>
  <c r="Y7" i="1"/>
  <c r="Z6" i="1"/>
  <c r="Y6" i="1"/>
  <c r="Z5" i="1"/>
  <c r="Y5" i="1"/>
  <c r="Z4" i="1"/>
  <c r="Y4" i="1"/>
  <c r="Z3" i="1"/>
  <c r="Y3" i="1"/>
  <c r="Z2" i="1"/>
  <c r="Y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1F997-B62B-49D2-9902-0141E501B487}" keepAlive="1" name="Query - cleaneddata" description="Connection to the 'cleaneddata' query in the workbook." type="5" refreshedVersion="6" background="1" saveData="1">
    <dbPr connection="Provider=Microsoft.Mashup.OleDb.1;Data Source=$Workbook$;Location=cleaneddata;Extended Properties=&quot;&quot;" command="SELECT * FROM [cleaneddata]"/>
  </connection>
</connections>
</file>

<file path=xl/sharedStrings.xml><?xml version="1.0" encoding="utf-8"?>
<sst xmlns="http://schemas.openxmlformats.org/spreadsheetml/2006/main" count="23258" uniqueCount="3013">
  <si>
    <t>Gary Koch</t>
  </si>
  <si>
    <t>Critical</t>
  </si>
  <si>
    <t>Delivery Truck</t>
  </si>
  <si>
    <t>Small Business</t>
  </si>
  <si>
    <t>Furniture</t>
  </si>
  <si>
    <t>Tables</t>
  </si>
  <si>
    <t>Jumbo Box</t>
  </si>
  <si>
    <t>Bretford CR4500 Series Slim Rectangular Table</t>
  </si>
  <si>
    <t>United States</t>
  </si>
  <si>
    <t>South</t>
  </si>
  <si>
    <t>Mississippi</t>
  </si>
  <si>
    <t>Clinton</t>
  </si>
  <si>
    <t>Paige Powers</t>
  </si>
  <si>
    <t>High</t>
  </si>
  <si>
    <t>Regular Air</t>
  </si>
  <si>
    <t>Consumer</t>
  </si>
  <si>
    <t>Technology</t>
  </si>
  <si>
    <t>Computer Peripherals</t>
  </si>
  <si>
    <t>Small Pack</t>
  </si>
  <si>
    <t>Verbatim DVD-RAM, 9.4GB, Rewritable, Type 1, DS, DataLife Plus</t>
  </si>
  <si>
    <t>Arkansas</t>
  </si>
  <si>
    <t>West Memphis</t>
  </si>
  <si>
    <t>Rebecca Lindsey</t>
  </si>
  <si>
    <t>Low</t>
  </si>
  <si>
    <t>Office Supplies</t>
  </si>
  <si>
    <t>Pens &amp; Art Supplies</t>
  </si>
  <si>
    <t>Wrap Bag</t>
  </si>
  <si>
    <t>*Staples* Highlighting Markers</t>
  </si>
  <si>
    <t>Central</t>
  </si>
  <si>
    <t>Indiana</t>
  </si>
  <si>
    <t>Kokomo</t>
  </si>
  <si>
    <t>Gregory Crane</t>
  </si>
  <si>
    <t>Office Machines</t>
  </si>
  <si>
    <t>Jumbo Drum</t>
  </si>
  <si>
    <t>Lexmark 4227 Plus Dot Matrix Printer</t>
  </si>
  <si>
    <t>West</t>
  </si>
  <si>
    <t>Colorado</t>
  </si>
  <si>
    <t>Fort Collins</t>
  </si>
  <si>
    <t>Tamara Dickinson</t>
  </si>
  <si>
    <t>Copiers and Fax</t>
  </si>
  <si>
    <t>Large Box</t>
  </si>
  <si>
    <t>Canon PC940 Copier</t>
  </si>
  <si>
    <t>Washington</t>
  </si>
  <si>
    <t>Mount Vernon</t>
  </si>
  <si>
    <t>Newell 312</t>
  </si>
  <si>
    <t>Sean Stephenson</t>
  </si>
  <si>
    <t>Not Specified</t>
  </si>
  <si>
    <t>Home Office</t>
  </si>
  <si>
    <t>Binders and Binder Accessories</t>
  </si>
  <si>
    <t>Small Box</t>
  </si>
  <si>
    <t>Binding Machine Supplies</t>
  </si>
  <si>
    <t>Georgia</t>
  </si>
  <si>
    <t>Peachtree City</t>
  </si>
  <si>
    <t>Albert Frost</t>
  </si>
  <si>
    <t>Storage &amp; Organization</t>
  </si>
  <si>
    <t>Fellowes Super Stor/Drawer® Files</t>
  </si>
  <si>
    <t>Missouri</t>
  </si>
  <si>
    <t>Raytown</t>
  </si>
  <si>
    <t>Jane Shah</t>
  </si>
  <si>
    <t>Avery Trapezoid Ring Binder, 3" Capacity, Black, 1040 sheets</t>
  </si>
  <si>
    <t>Minnesota</t>
  </si>
  <si>
    <t>Prior Lake</t>
  </si>
  <si>
    <t>Alex Nicholson</t>
  </si>
  <si>
    <t>Express Air</t>
  </si>
  <si>
    <t>Paper</t>
  </si>
  <si>
    <t>Black Print Carbonless Snap-Off® Rapid Letter, 8 1/2" x 7"</t>
  </si>
  <si>
    <t>California</t>
  </si>
  <si>
    <t>Montebello</t>
  </si>
  <si>
    <t>White GlueTop Scratch Pads</t>
  </si>
  <si>
    <t>Lloyd Levin</t>
  </si>
  <si>
    <t>Corporate</t>
  </si>
  <si>
    <t>Appliances</t>
  </si>
  <si>
    <t>Tripp Lite Isotel 6 Outlet Surge Protector with Fax/Modem Protection</t>
  </si>
  <si>
    <t>North Carolina</t>
  </si>
  <si>
    <t>New Bern</t>
  </si>
  <si>
    <t>Ernest Oh</t>
  </si>
  <si>
    <t>Los Angeles</t>
  </si>
  <si>
    <t>Carmen McPherson</t>
  </si>
  <si>
    <t>Epson LQ-570e Dot Matrix Printer</t>
  </si>
  <si>
    <t>Illinois</t>
  </si>
  <si>
    <t>Carol Stream</t>
  </si>
  <si>
    <t>Ellen McCormick</t>
  </si>
  <si>
    <t>Dual Level, Single-Width Filing Carts</t>
  </si>
  <si>
    <t>Napa</t>
  </si>
  <si>
    <t>Scott Bunn</t>
  </si>
  <si>
    <t>Chairs &amp; Chairmats</t>
  </si>
  <si>
    <t>Hon 4070 Series Pagoda™ Armless Upholstered Stacking Chairs</t>
  </si>
  <si>
    <t>East</t>
  </si>
  <si>
    <t>New York</t>
  </si>
  <si>
    <t>New York City</t>
  </si>
  <si>
    <t>Hon Valutask™ Swivel Chairs</t>
  </si>
  <si>
    <t>Robin Kramer Vaughn</t>
  </si>
  <si>
    <t>Medium</t>
  </si>
  <si>
    <t>Bookcases</t>
  </si>
  <si>
    <t>Bush Westfield Collection Bookcases, Fully Assembled</t>
  </si>
  <si>
    <t>Richland</t>
  </si>
  <si>
    <t>Xerox 1952</t>
  </si>
  <si>
    <t>Allan Shields</t>
  </si>
  <si>
    <t>Maxell Pro 80 Minute CD-R, 10/Pack</t>
  </si>
  <si>
    <t>Florida</t>
  </si>
  <si>
    <t>Seminole</t>
  </si>
  <si>
    <t>Kim Weiss</t>
  </si>
  <si>
    <t>Office Furnishings</t>
  </si>
  <si>
    <t>GE 48" Fluorescent Tube, Cool White Energy Saver, 34 Watts, 30/Box</t>
  </si>
  <si>
    <t>Miami</t>
  </si>
  <si>
    <t>Juanita Coley Knox</t>
  </si>
  <si>
    <t>Watertown</t>
  </si>
  <si>
    <t>Roger Schwartz</t>
  </si>
  <si>
    <t>Xerox 4200 Series MultiUse Premium Copy Paper (20Lb. and 84 Bright)</t>
  </si>
  <si>
    <t>Nebraska</t>
  </si>
  <si>
    <t>Kearney</t>
  </si>
  <si>
    <t>Telephones and Communication</t>
  </si>
  <si>
    <t>T18</t>
  </si>
  <si>
    <t>Ron Newton</t>
  </si>
  <si>
    <t>Dixon Prang® Watercolor Pencils, 10-Color Set with Brush</t>
  </si>
  <si>
    <t>Oregon</t>
  </si>
  <si>
    <t>Lake Oswego</t>
  </si>
  <si>
    <t>Linda Weiss</t>
  </si>
  <si>
    <t>Seattle</t>
  </si>
  <si>
    <t>Anna Burgess</t>
  </si>
  <si>
    <t>Medium Box</t>
  </si>
  <si>
    <t>36X48 HARDFLOOR CHAIRMAT</t>
  </si>
  <si>
    <t>Utah</t>
  </si>
  <si>
    <t>Draper</t>
  </si>
  <si>
    <t>Mary Hewitt</t>
  </si>
  <si>
    <t>Bush Mission Pointe Library</t>
  </si>
  <si>
    <t>Gladstone</t>
  </si>
  <si>
    <t>Beth Dolan</t>
  </si>
  <si>
    <t>Labels</t>
  </si>
  <si>
    <t>Round Specialty Laser Printer Labels</t>
  </si>
  <si>
    <t>Panama City</t>
  </si>
  <si>
    <t>Bevis Round Conference Table Top &amp; Single Column Base</t>
  </si>
  <si>
    <t>Joe Baldwin</t>
  </si>
  <si>
    <t>Troy Casey</t>
  </si>
  <si>
    <t>Xerox 227</t>
  </si>
  <si>
    <t>Edina</t>
  </si>
  <si>
    <t>Lucille Gibbons</t>
  </si>
  <si>
    <t>Peel-Off® China Markers</t>
  </si>
  <si>
    <t>Marshall Sutherland</t>
  </si>
  <si>
    <t>Bush Advantage Collection® Round Conference Table</t>
  </si>
  <si>
    <t>Alabama</t>
  </si>
  <si>
    <t>Phenix City</t>
  </si>
  <si>
    <t>Janice Cole</t>
  </si>
  <si>
    <t>Fellowes Mobile Numeric Keypad, Graphite</t>
  </si>
  <si>
    <t>Louisiana</t>
  </si>
  <si>
    <t>Baton Rouge</t>
  </si>
  <si>
    <t>Polycom ViaVideo™ Desktop Video Communications Unit</t>
  </si>
  <si>
    <t>Staples Wirebound Steno Books, 6" x 9", 12/Pack</t>
  </si>
  <si>
    <t>Miriam Greenberg</t>
  </si>
  <si>
    <t>Riverleaf Stik-Withit® Designer Note Cubes®</t>
  </si>
  <si>
    <t>Valparaiso</t>
  </si>
  <si>
    <t>Matthew Conway</t>
  </si>
  <si>
    <t>Rubber Bands</t>
  </si>
  <si>
    <t>Binder Clips by OIC</t>
  </si>
  <si>
    <t>Ithaca</t>
  </si>
  <si>
    <t>Danny Hong</t>
  </si>
  <si>
    <t>Panasonic KX-P2130 Dot Matrix Printer</t>
  </si>
  <si>
    <t>Layton</t>
  </si>
  <si>
    <t>Eddie Walker</t>
  </si>
  <si>
    <t>Okidata ML320 Series Turbo Dot Matrix Printers</t>
  </si>
  <si>
    <t>Brooklyn Park</t>
  </si>
  <si>
    <t>Maureen Stout</t>
  </si>
  <si>
    <t>Cardinal Poly Pocket Divider Pockets for Ring Binders</t>
  </si>
  <si>
    <t>Texas</t>
  </si>
  <si>
    <t>Pharr</t>
  </si>
  <si>
    <t>"While you Were Out" Message Book, One Form per Page</t>
  </si>
  <si>
    <t>Carol Sherrill</t>
  </si>
  <si>
    <t>Office Star - Professional Matrix Back Chair with 2-to-1 Synchro Tilt and Mesh Fabric Seat</t>
  </si>
  <si>
    <t>Bryan</t>
  </si>
  <si>
    <t>Debbie Dillon</t>
  </si>
  <si>
    <t>Eldon Antistatic Chair Mats for Low to Medium Pile Carpets</t>
  </si>
  <si>
    <t>Roswell</t>
  </si>
  <si>
    <t>Marion Wilcox</t>
  </si>
  <si>
    <t>Burleson</t>
  </si>
  <si>
    <t>Russell Chan</t>
  </si>
  <si>
    <t>Hoover WindTunnel™ Plus Canister Vacuum</t>
  </si>
  <si>
    <t>Waco</t>
  </si>
  <si>
    <t>Billie Fowler</t>
  </si>
  <si>
    <t>Metal Folding Chairs, Beige, 4/Carton</t>
  </si>
  <si>
    <t>Bedford</t>
  </si>
  <si>
    <t>232</t>
  </si>
  <si>
    <t>Betsy Puckett</t>
  </si>
  <si>
    <t>Electrix Halogen Magnifier Lamp</t>
  </si>
  <si>
    <t>Oklahoma</t>
  </si>
  <si>
    <t>Norman</t>
  </si>
  <si>
    <t>Luxo Professional Fluorescent Magnifier Lamp with Clamp-Mount Base</t>
  </si>
  <si>
    <t>Panasonic KX-P1150 Dot Matrix Printer</t>
  </si>
  <si>
    <t>Bobby Powell</t>
  </si>
  <si>
    <t>Memorex 4.7GB DVD+RW, 3/Pack</t>
  </si>
  <si>
    <t>Iowa</t>
  </si>
  <si>
    <t>Fort Dodge</t>
  </si>
  <si>
    <t>3285</t>
  </si>
  <si>
    <t>Guy McDonald</t>
  </si>
  <si>
    <t>Canon S750 Color Inkjet Printer</t>
  </si>
  <si>
    <t>Mount Prospect</t>
  </si>
  <si>
    <t>Joyce Murray</t>
  </si>
  <si>
    <t>GBC Instant Index™ System for Binding Systems</t>
  </si>
  <si>
    <t>Los Altos</t>
  </si>
  <si>
    <t>Avery 514</t>
  </si>
  <si>
    <t>Keith Marsh</t>
  </si>
  <si>
    <t>Carina Double Wide Media Storage Towers in Natural &amp; Black</t>
  </si>
  <si>
    <t>Tennsco Snap-Together Open Shelving Units, Starter Sets and Add-On Units</t>
  </si>
  <si>
    <t>Marion Lindsey</t>
  </si>
  <si>
    <t>Commerce City</t>
  </si>
  <si>
    <t>Elisabeth Shaw</t>
  </si>
  <si>
    <t>Perma STOR-ALL™ Hanging File Box, 13 1/8"W x 12 1/4"D x 10 1/2"H</t>
  </si>
  <si>
    <t>Ormond Beach</t>
  </si>
  <si>
    <t>Ted Dunlap</t>
  </si>
  <si>
    <t>Rediform Wirebound "Phone Memo" Message Book, 11 x 5-3/4</t>
  </si>
  <si>
    <t>Deer Park</t>
  </si>
  <si>
    <t>Melinda Rogers</t>
  </si>
  <si>
    <t>Hon Deluxe Fabric Upholstered Stacking Chairs, Rounded Back</t>
  </si>
  <si>
    <t>Dubuque</t>
  </si>
  <si>
    <t>Derek Jernigan</t>
  </si>
  <si>
    <t>Riverside Palais Royal Lawyers Bookcase, Royale Cherry Finish</t>
  </si>
  <si>
    <t>Galesburg</t>
  </si>
  <si>
    <t>Kyle Fink</t>
  </si>
  <si>
    <t>Sanford EarthWrite® Recycled Pencils, Medium Soft, #2</t>
  </si>
  <si>
    <t>Virginia</t>
  </si>
  <si>
    <t>Petersburg</t>
  </si>
  <si>
    <t>Lawrence Dennis</t>
  </si>
  <si>
    <t>Newell 342</t>
  </si>
  <si>
    <t>San Clemente</t>
  </si>
  <si>
    <t>Carlos Byrd</t>
  </si>
  <si>
    <t>Connecticut</t>
  </si>
  <si>
    <t>Bristol</t>
  </si>
  <si>
    <t>Stacey Lucas</t>
  </si>
  <si>
    <t>Wilson Jones Hanging View Binder, White, 1"</t>
  </si>
  <si>
    <t>Cedar Falls</t>
  </si>
  <si>
    <t>Fellowes Basic 104-Key Keyboard, Platinum</t>
  </si>
  <si>
    <t>Suzanne Cochran</t>
  </si>
  <si>
    <t>Ibico Recycled Linen-Style Covers</t>
  </si>
  <si>
    <t>Cedar Rapids</t>
  </si>
  <si>
    <t>Self-Adhesive Ring Binder Labels</t>
  </si>
  <si>
    <t>Tenex File Box, Personal Filing Tote with Lid, Black</t>
  </si>
  <si>
    <t>Courtney Boyd</t>
  </si>
  <si>
    <t>Tennsco Commercial Shelving</t>
  </si>
  <si>
    <t>Fairfax</t>
  </si>
  <si>
    <t>Anna Wood</t>
  </si>
  <si>
    <t>Utica</t>
  </si>
  <si>
    <t>252</t>
  </si>
  <si>
    <t>Carrie McIntosh</t>
  </si>
  <si>
    <t>GBC VeloBinder Strips</t>
  </si>
  <si>
    <t>Royal Palm Beach</t>
  </si>
  <si>
    <t>G.E. Longer-Life Indoor Recessed Floodlight Bulbs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</si>
  <si>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</si>
  <si>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</si>
  <si>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</si>
  <si>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</si>
  <si>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</si>
  <si>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</si>
  <si>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Leslie Shannon</t>
  </si>
  <si>
    <t>Xerox 1986</t>
  </si>
  <si>
    <t>Montana</t>
  </si>
  <si>
    <t>Butte</t>
  </si>
  <si>
    <t>Glen Robertson</t>
  </si>
  <si>
    <t>Belkin F9M820V08 8 Outlet Surge</t>
  </si>
  <si>
    <t>Coon Rapids</t>
  </si>
  <si>
    <t>Holmes HEPA Air Purifier</t>
  </si>
  <si>
    <t>Ricky Garner</t>
  </si>
  <si>
    <t>BASF Silver 74 Minute CD-R</t>
  </si>
  <si>
    <t>Herndon</t>
  </si>
  <si>
    <t>Xerox 19</t>
  </si>
  <si>
    <t>Howard Rogers</t>
  </si>
  <si>
    <t>Coloredge Poster Frame</t>
  </si>
  <si>
    <t>Michigan</t>
  </si>
  <si>
    <t>Southgate</t>
  </si>
  <si>
    <t>Bonnie Potter</t>
  </si>
  <si>
    <t>SANFORD Liquid Accent™ Tank-Style Highlighters</t>
  </si>
  <si>
    <t>Anacortes</t>
  </si>
  <si>
    <t>Leah Clapp</t>
  </si>
  <si>
    <t>GBC Pre-Punched Binding Paper, Plastic, White, 8-1/2" x 11"</t>
  </si>
  <si>
    <t>Nevada</t>
  </si>
  <si>
    <t>Las Vegas</t>
  </si>
  <si>
    <t>i1000</t>
  </si>
  <si>
    <t>Jackie Capps</t>
  </si>
  <si>
    <t>Master Caster Door Stop, Brown</t>
  </si>
  <si>
    <t>San Carlos</t>
  </si>
  <si>
    <t>Jamie Manning</t>
  </si>
  <si>
    <t>Melrose Park</t>
  </si>
  <si>
    <t>Carole Creech</t>
  </si>
  <si>
    <t>File Shuttle II and Handi-File, Black</t>
  </si>
  <si>
    <t>Lake Worth</t>
  </si>
  <si>
    <t>James Hunter</t>
  </si>
  <si>
    <t>Keytronic French Keyboard</t>
  </si>
  <si>
    <t>Lubbock</t>
  </si>
  <si>
    <t>Don Rogers</t>
  </si>
  <si>
    <t>Avery Reinforcements for Hole-Punch Pages</t>
  </si>
  <si>
    <t>Franklin Square</t>
  </si>
  <si>
    <t>Canon PC1060 Personal Laser Copier</t>
  </si>
  <si>
    <t>Polycom ViewStation™ ISDN Videoconferencing Unit</t>
  </si>
  <si>
    <t>Peter Hardy</t>
  </si>
  <si>
    <t>O'Sullivan Cherrywood Estates Traditional Barrister Bookcase</t>
  </si>
  <si>
    <t>Ohio</t>
  </si>
  <si>
    <t>Stow</t>
  </si>
  <si>
    <t>Andrew Levine</t>
  </si>
  <si>
    <t>Pennsylvania</t>
  </si>
  <si>
    <t>Philadelphia</t>
  </si>
  <si>
    <t>Eugene Clayton</t>
  </si>
  <si>
    <t>GBC DocuBind TL300 Electric Binding System</t>
  </si>
  <si>
    <t>Edmonds</t>
  </si>
  <si>
    <t>Robyn Lyon</t>
  </si>
  <si>
    <t>Avery 491</t>
  </si>
  <si>
    <t>Garfield Heights</t>
  </si>
  <si>
    <t>Executive Impressions 14" Two-Color Numerals Wall Clock</t>
  </si>
  <si>
    <t>Pauline Brooks</t>
  </si>
  <si>
    <t>Fellowes Black Plastic Comb Bindings</t>
  </si>
  <si>
    <t>Maine</t>
  </si>
  <si>
    <t>Sanford</t>
  </si>
  <si>
    <t>Nathan Fox</t>
  </si>
  <si>
    <t>Acco 6 Outlet Guardian Premium Surge Suppressor</t>
  </si>
  <si>
    <t>Myrtle Beach</t>
  </si>
  <si>
    <t>Judy Singer</t>
  </si>
  <si>
    <t>VTech VT20-2481 2.4GHz Two-Line Phone System w/Answering Machine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</si>
  <si>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</si>
  <si>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</si>
  <si>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</si>
  <si>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</si>
  <si>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</si>
  <si>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</si>
  <si>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Melvin Benton</t>
  </si>
  <si>
    <t>Envelopes</t>
  </si>
  <si>
    <t>Staples Brown Kraft Recycled Clasp Envelopes</t>
  </si>
  <si>
    <t>Encinitas</t>
  </si>
  <si>
    <t>4009® Highlighters by Sanford</t>
  </si>
  <si>
    <t>Gerald Love</t>
  </si>
  <si>
    <t>Boston 16765 Mini Stand Up Battery Pencil Sharpener</t>
  </si>
  <si>
    <t>Gilroy</t>
  </si>
  <si>
    <t>Chris F Brandt</t>
  </si>
  <si>
    <t>M70</t>
  </si>
  <si>
    <t>King of Prussia</t>
  </si>
  <si>
    <t>Karl Knowles</t>
  </si>
  <si>
    <t>12 Colored Short Pencils</t>
  </si>
  <si>
    <t>Wisconsin</t>
  </si>
  <si>
    <t>Madison</t>
  </si>
  <si>
    <t>Herbert Holden</t>
  </si>
  <si>
    <t>Avery 05222 Permanent Self-Adhesive File Folder Labels for Typewriters, on Rolls, White, 250/Roll</t>
  </si>
  <si>
    <t>Atlanta</t>
  </si>
  <si>
    <t>Sherri P Stephens</t>
  </si>
  <si>
    <t>Lawton</t>
  </si>
  <si>
    <t>Harry Sellers</t>
  </si>
  <si>
    <t>Acco PRESSTEX® Data Binder with Storage Hooks, Dark Blue, 9 1/2" X 11"</t>
  </si>
  <si>
    <t>Pasadena</t>
  </si>
  <si>
    <t>Newell 337</t>
  </si>
  <si>
    <t>Melanie Knight</t>
  </si>
  <si>
    <t>Newell 339</t>
  </si>
  <si>
    <t>Augusta</t>
  </si>
  <si>
    <t>EcoTones® Memo Sheets</t>
  </si>
  <si>
    <t>Gail Rankin Cole</t>
  </si>
  <si>
    <t>Document Clip Frames</t>
  </si>
  <si>
    <t>District of Columbia</t>
  </si>
  <si>
    <t>Jennifer Siegel</t>
  </si>
  <si>
    <t>Denton</t>
  </si>
  <si>
    <t>Sherri F Vogel</t>
  </si>
  <si>
    <t>Hon Metal Bookcases, Putty</t>
  </si>
  <si>
    <t>East Lansing</t>
  </si>
  <si>
    <t>Newell 309</t>
  </si>
  <si>
    <t>Canon PC1080F Personal Copier</t>
  </si>
  <si>
    <t>Newell 318</t>
  </si>
  <si>
    <t>Philip Hawkins</t>
  </si>
  <si>
    <t>Fellowes Internet Keyboard, Platinum</t>
  </si>
  <si>
    <t>Hazelwood</t>
  </si>
  <si>
    <t>Sylvia Kumar</t>
  </si>
  <si>
    <t>Panasonic KX-P3200 Dot Matrix Printer</t>
  </si>
  <si>
    <t>Kentucky</t>
  </si>
  <si>
    <t>Pleasure Ridge Park</t>
  </si>
  <si>
    <t>Cameron Kendall</t>
  </si>
  <si>
    <t>Imation 3.5, DISKETTE 44766 HGHLD3.52HD/FM, 10/Pack</t>
  </si>
  <si>
    <t>Pittsburgh</t>
  </si>
  <si>
    <t>Tammy Goldman</t>
  </si>
  <si>
    <t>Xerox 1996</t>
  </si>
  <si>
    <t>Lehi</t>
  </si>
  <si>
    <t>Dorothy Buchanan</t>
  </si>
  <si>
    <t>New Jersey</t>
  </si>
  <si>
    <t>Bayonne</t>
  </si>
  <si>
    <t>Vicki Hauser</t>
  </si>
  <si>
    <t>Tennessee</t>
  </si>
  <si>
    <t>Lebanon</t>
  </si>
  <si>
    <t>Marc Nash</t>
  </si>
  <si>
    <t>Massachusetts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</si>
  <si>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</si>
  <si>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</si>
  <si>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</si>
  <si>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</si>
  <si>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</si>
  <si>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</si>
  <si>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</si>
  <si>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</si>
  <si>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Eldon Image Series Black Desk Accessories</t>
  </si>
  <si>
    <t>Hawthorne</t>
  </si>
  <si>
    <t>Tony Doyle</t>
  </si>
  <si>
    <t>Xerox 188</t>
  </si>
  <si>
    <t>Trenton</t>
  </si>
  <si>
    <t>April Henson</t>
  </si>
  <si>
    <t>Maryland</t>
  </si>
  <si>
    <t>Gaithersburg</t>
  </si>
  <si>
    <t>Prang Dustless Chalk Sticks</t>
  </si>
  <si>
    <t>Helen H Murphy</t>
  </si>
  <si>
    <t>Avery 51</t>
  </si>
  <si>
    <t>6185</t>
  </si>
  <si>
    <t>Harriet Hodges</t>
  </si>
  <si>
    <t>Lexmark Z55se Color Inkjet Printer</t>
  </si>
  <si>
    <t>Jordan Berry</t>
  </si>
  <si>
    <t>Altoona</t>
  </si>
  <si>
    <t>Sidney Greenberg</t>
  </si>
  <si>
    <t>3M Polarizing Task Lamp with Clamp Arm, Light Gray</t>
  </si>
  <si>
    <t>Salinas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</si>
  <si>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</si>
  <si>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</si>
  <si>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</si>
  <si>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</si>
  <si>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</si>
  <si>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</si>
  <si>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Robyn Zhou</t>
  </si>
  <si>
    <t>Global Leather Executive Chair</t>
  </si>
  <si>
    <t>Englewood</t>
  </si>
  <si>
    <t>#10- 4 1/8" x 9 1/2" Recycled Envelopes</t>
  </si>
  <si>
    <t>Brites Rubber Bands, 1 1/2 oz. Box</t>
  </si>
  <si>
    <t>Becky Farmer</t>
  </si>
  <si>
    <t>Verbatim DVD-RAM, 5.2GB, Rewritable, Type 1, DS</t>
  </si>
  <si>
    <t>Lansing</t>
  </si>
  <si>
    <t>Elsie Boykin</t>
  </si>
  <si>
    <t>Targus USB Numeric Keypad</t>
  </si>
  <si>
    <t>Fort Thomas</t>
  </si>
  <si>
    <t>Jordan Wilkinson</t>
  </si>
  <si>
    <t>Fellowes Super Stor/Drawer®</t>
  </si>
  <si>
    <t>Florence</t>
  </si>
  <si>
    <t>Craig Liu</t>
  </si>
  <si>
    <t>6120</t>
  </si>
  <si>
    <t>Concord</t>
  </si>
  <si>
    <t>Pauline Finch</t>
  </si>
  <si>
    <t>TDK 4.7GB DVD-R</t>
  </si>
  <si>
    <t>Costa Mesa</t>
  </si>
  <si>
    <t>Sean N Boyer</t>
  </si>
  <si>
    <t>Lynn Hines</t>
  </si>
  <si>
    <t>Eldon® Wave Desk Accessories</t>
  </si>
  <si>
    <t>College Park</t>
  </si>
  <si>
    <t>Gregory Rao</t>
  </si>
  <si>
    <t>Xerox 1910</t>
  </si>
  <si>
    <t>Manteca</t>
  </si>
  <si>
    <t>Katharine Bass</t>
  </si>
  <si>
    <t>Bell Sonecor JB700 Caller ID</t>
  </si>
  <si>
    <t>Henderson</t>
  </si>
  <si>
    <t>Gordon Lyon</t>
  </si>
  <si>
    <t>Hoover Portapower™ Portable Vacuum</t>
  </si>
  <si>
    <t>Pomona</t>
  </si>
  <si>
    <t>Mike G Hartman</t>
  </si>
  <si>
    <t>Xerox 1903</t>
  </si>
  <si>
    <t>Pembroke Pines</t>
  </si>
  <si>
    <t>Phillip Blum</t>
  </si>
  <si>
    <t>i1000plus</t>
  </si>
  <si>
    <t>Troutdale</t>
  </si>
  <si>
    <t>Jean Webster</t>
  </si>
  <si>
    <t>Hoover Commercial Soft Guard Upright Vacuum And Disposable Filtration Bags</t>
  </si>
  <si>
    <t>Allentown</t>
  </si>
  <si>
    <t>Xerox 1939</t>
  </si>
  <si>
    <t>Hewlett-Packard Deskjet 5550 Color Inkjet Printer</t>
  </si>
  <si>
    <t>Newell 336</t>
  </si>
  <si>
    <t>Debbie Stevenson</t>
  </si>
  <si>
    <t>Economy Rollaway Files</t>
  </si>
  <si>
    <t>West Hollywood</t>
  </si>
  <si>
    <t>Clarence Crowder</t>
  </si>
  <si>
    <t>Wirebound Four 2-3/4 x 5 Forms per Page, 400 Sets per Book</t>
  </si>
  <si>
    <t>Lacey</t>
  </si>
  <si>
    <t>Leroy Field</t>
  </si>
  <si>
    <t>Telescoping Adjustable Floor Lamp</t>
  </si>
  <si>
    <t>Idaho</t>
  </si>
  <si>
    <t>Post Falls</t>
  </si>
  <si>
    <t>Harriet Moore</t>
  </si>
  <si>
    <t>Hon 4070 Series Pagoda™ Round Back Stacking Chairs</t>
  </si>
  <si>
    <t>Rexburg</t>
  </si>
  <si>
    <t>Laurence Simon</t>
  </si>
  <si>
    <t>Boston 16801 Nautilus™ Battery Pencil Sharpener</t>
  </si>
  <si>
    <t>Oakville</t>
  </si>
  <si>
    <t>Robyn Crawford</t>
  </si>
  <si>
    <t>1.7 Cubic Foot Compact "Cube" Office Refrigerators</t>
  </si>
  <si>
    <t>Germantown</t>
  </si>
  <si>
    <t>Arthur Gold</t>
  </si>
  <si>
    <t>Tyvek® Side-Opening Peel &amp; Seel® Expanding Envelopes</t>
  </si>
  <si>
    <t>Hendersonville</t>
  </si>
  <si>
    <t>DAX Two-Tone Rosewood/Black Document Frame, Desktop, 5 x 7</t>
  </si>
  <si>
    <t>Kent Kerr</t>
  </si>
  <si>
    <t>Newell 335</t>
  </si>
  <si>
    <t>Knoxville</t>
  </si>
  <si>
    <t>Dawn Larson</t>
  </si>
  <si>
    <t>Newell 346</t>
  </si>
  <si>
    <t>Madison Heights</t>
  </si>
  <si>
    <t>Ernest Barber</t>
  </si>
  <si>
    <t>Memorex 4.7GB DVD+R, 3/Pack</t>
  </si>
  <si>
    <t>Carson City</t>
  </si>
  <si>
    <t>Accessory20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</si>
  <si>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</si>
  <si>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</si>
  <si>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</si>
  <si>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</si>
  <si>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</si>
  <si>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Granger</t>
  </si>
  <si>
    <t>Lori Wolfe</t>
  </si>
  <si>
    <t>6" Cubicle Wall Clock, Black</t>
  </si>
  <si>
    <t>Hattiesburg</t>
  </si>
  <si>
    <t>Tina Evans</t>
  </si>
  <si>
    <t>Hammermill CopyPlus Copy Paper (20Lb. and 84 Bright)</t>
  </si>
  <si>
    <t>Lombard</t>
  </si>
  <si>
    <t>Telephone Message Books with Fax/Mobile Section, 5 1/2" x 3 3/16"</t>
  </si>
  <si>
    <t>Rhonda Ivey</t>
  </si>
  <si>
    <t>Wirebound Message Books, 2 7/8" x 5", 3 Forms per Page</t>
  </si>
  <si>
    <t>West Mifflin</t>
  </si>
  <si>
    <t>Wesley Tate</t>
  </si>
  <si>
    <t>Avery Printable Repositionable Plastic Tabs</t>
  </si>
  <si>
    <t>Chicago</t>
  </si>
  <si>
    <t>Crystal Floyd</t>
  </si>
  <si>
    <t>Battle Creek</t>
  </si>
  <si>
    <t>Patricia Cole Blair</t>
  </si>
  <si>
    <t>Kansas</t>
  </si>
  <si>
    <t>Wichita</t>
  </si>
  <si>
    <t>MicroTAC 650</t>
  </si>
  <si>
    <t>Alex Watkins</t>
  </si>
  <si>
    <t>Stockwell Push Pins</t>
  </si>
  <si>
    <t>Woodmere</t>
  </si>
  <si>
    <t>Bevis Round Conference Table Top, X-Base</t>
  </si>
  <si>
    <t>Courtney Nelson</t>
  </si>
  <si>
    <t>Rubbermaid ClusterMat Chairmats, Mat Size- 66" x 60", Lip 20" x 11" -90 Degree Angle</t>
  </si>
  <si>
    <t>Laurel</t>
  </si>
  <si>
    <t>TOPS Money Receipt Book, Consecutively Numbered in Red,</t>
  </si>
  <si>
    <t>Max Small</t>
  </si>
  <si>
    <t>Imation 3.5" Unformatted DS/HD Diskettes, 10/Box</t>
  </si>
  <si>
    <t>Bartlesville</t>
  </si>
  <si>
    <t>Miriam Mueller</t>
  </si>
  <si>
    <t>Murfreesboro</t>
  </si>
  <si>
    <t>Allison Kirby</t>
  </si>
  <si>
    <t>Dallas</t>
  </si>
  <si>
    <t>Daniel Richmond</t>
  </si>
  <si>
    <t>Premium Writing Pencils, Soft, #2 by Central Association for the Blind</t>
  </si>
  <si>
    <t>Boardman</t>
  </si>
  <si>
    <t>Holly Osborne</t>
  </si>
  <si>
    <t>Fellowes Personal Hanging Folder Files, Navy</t>
  </si>
  <si>
    <t>Hot Springs</t>
  </si>
  <si>
    <t>Kristine Singleton</t>
  </si>
  <si>
    <t>Naperville</t>
  </si>
  <si>
    <t>Assorted Color Push Pins</t>
  </si>
  <si>
    <t>Edith Reynolds</t>
  </si>
  <si>
    <t>North Dakota</t>
  </si>
  <si>
    <t>Mandan</t>
  </si>
  <si>
    <t>Xerox 1906</t>
  </si>
  <si>
    <t>Scissors, Rulers and Trimmers</t>
  </si>
  <si>
    <t>Acme® 8" Straight Scissors</t>
  </si>
  <si>
    <t>Eva Silverman</t>
  </si>
  <si>
    <t>Avery 4027 File Folder Labels for Dot Matrix Printers, 5000 Labels per Box, White</t>
  </si>
  <si>
    <t>Wilmette</t>
  </si>
  <si>
    <t>Joel Huffman</t>
  </si>
  <si>
    <t>Newell 323</t>
  </si>
  <si>
    <t>Woodridge</t>
  </si>
  <si>
    <t>Jon Ayers</t>
  </si>
  <si>
    <t>Avery 508</t>
  </si>
  <si>
    <t>Palm Coast</t>
  </si>
  <si>
    <t>Floyd Dale</t>
  </si>
  <si>
    <t>Super Bands, 12/Pack</t>
  </si>
  <si>
    <t>Troy</t>
  </si>
  <si>
    <t>Patrick Rosenthal</t>
  </si>
  <si>
    <t>Sanyo Counter Height Refrigerator with Crisper, 3.6 Cubic Foot, Stainless Steel/Black</t>
  </si>
  <si>
    <t>Rhode Island</t>
  </si>
  <si>
    <t>Cranston</t>
  </si>
  <si>
    <t>Joy Maxwell</t>
  </si>
  <si>
    <t>Hewlett-Packard 2600DN Business Color Inkjet Printer</t>
  </si>
  <si>
    <t>Arizona</t>
  </si>
  <si>
    <t>Oro Valley</t>
  </si>
  <si>
    <t>Mary Page</t>
  </si>
  <si>
    <t>Verbatim DVD-R, 4.7GB, Spindle, WE, Blank, Ink Jet/Thermal, 20/Spindle</t>
  </si>
  <si>
    <t>Peoria</t>
  </si>
  <si>
    <t>Sandra Berry</t>
  </si>
  <si>
    <t>Holmes Replacement Filter for HEPA Air Cleaner, Large Room</t>
  </si>
  <si>
    <t>Meridian</t>
  </si>
  <si>
    <t>Important Message Pads, 50 4-1/4 x 5-1/2 Forms per Pad</t>
  </si>
  <si>
    <t>Lillian Day</t>
  </si>
  <si>
    <t>Staples Standard Envelopes</t>
  </si>
  <si>
    <t>Shaker Heights</t>
  </si>
  <si>
    <t>Russell W Melton</t>
  </si>
  <si>
    <t>Maxell DVD-RAM Discs</t>
  </si>
  <si>
    <t>Northport</t>
  </si>
  <si>
    <t>Lisa Kim</t>
  </si>
  <si>
    <t>Palm Beach Gardens</t>
  </si>
  <si>
    <t>Xerox 1991</t>
  </si>
  <si>
    <t>Regeneration Desk Collection</t>
  </si>
  <si>
    <t>Amy Hamrick Melvin</t>
  </si>
  <si>
    <t>Security-Tint Envelopes</t>
  </si>
  <si>
    <t>6162</t>
  </si>
  <si>
    <t>Danielle P Rao</t>
  </si>
  <si>
    <t>Moore</t>
  </si>
  <si>
    <t>April Hu</t>
  </si>
  <si>
    <t>Staples® General Use 3-Ring Binders</t>
  </si>
  <si>
    <t>Mesa</t>
  </si>
  <si>
    <t>Xerox 1978</t>
  </si>
  <si>
    <t>Nathan Newton</t>
  </si>
  <si>
    <t>High Point</t>
  </si>
  <si>
    <t>Katharine Hudson</t>
  </si>
  <si>
    <t>Boston Model 1800 Electric Pencil Sharpener, Gray</t>
  </si>
  <si>
    <t>Clarksville</t>
  </si>
  <si>
    <t>Danny Richmond</t>
  </si>
  <si>
    <t>Avery Arch Ring Binders</t>
  </si>
  <si>
    <t>Marsha Roy</t>
  </si>
  <si>
    <t>Peel &amp; Seel® Recycled Catalog Envelopes, Brown</t>
  </si>
  <si>
    <t>Tupelo</t>
  </si>
  <si>
    <t>Priscilla Brandon</t>
  </si>
  <si>
    <t>Willow Grove</t>
  </si>
  <si>
    <t>AT&amp;T Black Trimline Phone, Model 210</t>
  </si>
  <si>
    <t>Derek McCormick</t>
  </si>
  <si>
    <t>Computer Printout Paper with Letter-Trim Perforations</t>
  </si>
  <si>
    <t>Oxford</t>
  </si>
  <si>
    <t>Marjorie Arthur</t>
  </si>
  <si>
    <t>Vermont</t>
  </si>
  <si>
    <t>South Burlington</t>
  </si>
  <si>
    <t>Milton Lindsay</t>
  </si>
  <si>
    <t>Kensington 7 Outlet MasterPiece Power Center with Fax/Phone Line Protection</t>
  </si>
  <si>
    <t>Hamilton</t>
  </si>
  <si>
    <t>Edward Pugh</t>
  </si>
  <si>
    <t>Newell 340</t>
  </si>
  <si>
    <t>New Mexico</t>
  </si>
  <si>
    <t>Santa Fe</t>
  </si>
  <si>
    <t>Julian Keith Mayer</t>
  </si>
  <si>
    <t>Fellowes Smart Surge Ten-Outlet Protector, Platinum</t>
  </si>
  <si>
    <t>Matthew Berman</t>
  </si>
  <si>
    <t>StarTAC 3000</t>
  </si>
  <si>
    <t>Grants Pass</t>
  </si>
  <si>
    <t>Douglas Buck</t>
  </si>
  <si>
    <t>Xerox 21</t>
  </si>
  <si>
    <t>Seatac</t>
  </si>
  <si>
    <t>Advantus Rolling Storage Box</t>
  </si>
  <si>
    <t>Gina McKnight</t>
  </si>
  <si>
    <t>Fellowes PB500 Electric Punch Plastic Comb Binding Machine with Manual Bind</t>
  </si>
  <si>
    <t>Farragut</t>
  </si>
  <si>
    <t>Dennis Boykin Townsend</t>
  </si>
  <si>
    <t>Joe George</t>
  </si>
  <si>
    <t>GBC Standard Plastic Binding Systems' Combs</t>
  </si>
  <si>
    <t>Bossier City</t>
  </si>
  <si>
    <t>Avery 481</t>
  </si>
  <si>
    <t>Paul Puckett</t>
  </si>
  <si>
    <t>Memorex Slim 80 Minute CD-R, 10/Pack</t>
  </si>
  <si>
    <t>Wooster</t>
  </si>
  <si>
    <t>Valerie Siegel</t>
  </si>
  <si>
    <t>TimeportP7382</t>
  </si>
  <si>
    <t>Woodstock</t>
  </si>
  <si>
    <t>Carlos Hess</t>
  </si>
  <si>
    <t>Hon iLevel™ Computer Training Table</t>
  </si>
  <si>
    <t>Cleveland Heights</t>
  </si>
  <si>
    <t>Nicholas Wallace</t>
  </si>
  <si>
    <t>Logitech Cordless Elite Duo</t>
  </si>
  <si>
    <t>Hurst</t>
  </si>
  <si>
    <t>Andrew Gonzalez</t>
  </si>
  <si>
    <t>Memorex 80 Minute CD-R Spindle, 100/Pack</t>
  </si>
  <si>
    <t>Charlotte</t>
  </si>
  <si>
    <t>Fellowes 17-key keypad for PS/2 interface</t>
  </si>
  <si>
    <t>Cindy McLeod</t>
  </si>
  <si>
    <t>Premier Elliptical Ring Binder, Black</t>
  </si>
  <si>
    <t>Sioux City</t>
  </si>
  <si>
    <t>Vicki Womble</t>
  </si>
  <si>
    <t>XtraLife® ClearVue™ Slant-D® Ring Binders by Cardinal</t>
  </si>
  <si>
    <t>Des Moines</t>
  </si>
  <si>
    <t>Deflect-o DuraMat Antistatic Studded Beveled Mat for Medium Pile Carpeting</t>
  </si>
  <si>
    <t>Timothy Currie</t>
  </si>
  <si>
    <t>Woburn</t>
  </si>
  <si>
    <t>Dennis Bowen</t>
  </si>
  <si>
    <t>Avery Premier Heavy-Duty Binder with Round Locking Rings</t>
  </si>
  <si>
    <t>Pottstown</t>
  </si>
  <si>
    <t>Juanita Ballard</t>
  </si>
  <si>
    <t>Super Decoflex Portable Personal File</t>
  </si>
  <si>
    <t>Kent</t>
  </si>
  <si>
    <t>Gregory R Snow</t>
  </si>
  <si>
    <t>Ibico EPK-21 Electric Binding System</t>
  </si>
  <si>
    <t>Greer</t>
  </si>
  <si>
    <t>David Weaver</t>
  </si>
  <si>
    <t>Hon 4700 Series Mobuis™ Mid-Back Task Chairs with Adjustable Arms</t>
  </si>
  <si>
    <t>Holladay</t>
  </si>
  <si>
    <t>Southworth 25% Cotton Premium Laser Paper and Envelopes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</si>
  <si>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</si>
  <si>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</si>
  <si>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</si>
  <si>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</si>
  <si>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</si>
  <si>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</si>
  <si>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Geoffrey Zhu</t>
  </si>
  <si>
    <t>PC Concepts 116 Key Quantum 3000 Keyboard</t>
  </si>
  <si>
    <t>Kingsport</t>
  </si>
  <si>
    <t>Jean Weiss Diaz</t>
  </si>
  <si>
    <t>Carina 42"Hx23 3/4"W Media Storage Unit</t>
  </si>
  <si>
    <t>Elyria</t>
  </si>
  <si>
    <t>Bonnie Matthews Rowland</t>
  </si>
  <si>
    <t>Career Cubicle Clock, 8 1/4", Black</t>
  </si>
  <si>
    <t>Michele Bradshaw</t>
  </si>
  <si>
    <t>8890</t>
  </si>
  <si>
    <t>Dunedin</t>
  </si>
  <si>
    <t>Joan Beach</t>
  </si>
  <si>
    <t>Motorola SB4200 Cable Modem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</si>
  <si>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</si>
  <si>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</si>
  <si>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</si>
  <si>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</si>
  <si>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</si>
  <si>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Sharon Thomas</t>
  </si>
  <si>
    <t>Adams Phone Message Book, Professional, 400 Message Capacity, 5 3/6” x 11”</t>
  </si>
  <si>
    <t>Anna Ellis</t>
  </si>
  <si>
    <t>Mankato</t>
  </si>
  <si>
    <t>Arlene Wiggins Dalton</t>
  </si>
  <si>
    <t>Avery Binder Labels</t>
  </si>
  <si>
    <t>Huntsville</t>
  </si>
  <si>
    <t>Benjamin Gunter</t>
  </si>
  <si>
    <t>Avery 498</t>
  </si>
  <si>
    <t>Hialeah</t>
  </si>
  <si>
    <t>Chromcraft Bull-Nose Wood Round Conference Table Top, Wood Base</t>
  </si>
  <si>
    <t>Amy York</t>
  </si>
  <si>
    <t>Keytronic 105-Key Spanish Keyboard</t>
  </si>
  <si>
    <t>Parkland</t>
  </si>
  <si>
    <t>Rhonda Schroeder</t>
  </si>
  <si>
    <t>Acme Design Line 8" Stainless Steel Bent Scissors w/Champagne Handles, 3-1/8" Cut</t>
  </si>
  <si>
    <t>Newton</t>
  </si>
  <si>
    <t>Melinda Thornton</t>
  </si>
  <si>
    <t>IBM Multi-Purpose Copy Paper, 8 1/2 x 11", Case</t>
  </si>
  <si>
    <t>Reston</t>
  </si>
  <si>
    <t>Lindsay P Ashley</t>
  </si>
  <si>
    <t>Douglas Sutton</t>
  </si>
  <si>
    <t>Wheat Ridge</t>
  </si>
  <si>
    <t>Phillip Pollard</t>
  </si>
  <si>
    <t>Fellowes Command Center 5-outlet power strip</t>
  </si>
  <si>
    <t>Pauline Denton</t>
  </si>
  <si>
    <t>Canon PC-428 Personal Copier</t>
  </si>
  <si>
    <t>Vincennes</t>
  </si>
  <si>
    <t>Dana Sharpe</t>
  </si>
  <si>
    <t>Neil Bailey</t>
  </si>
  <si>
    <t>636</t>
  </si>
  <si>
    <t>Harrisburg</t>
  </si>
  <si>
    <t>Anthony Stanley</t>
  </si>
  <si>
    <t>Eureka The Boss® Cordless Rechargeable Stick Vac</t>
  </si>
  <si>
    <t>Fords</t>
  </si>
  <si>
    <t>Sandy Cannon</t>
  </si>
  <si>
    <t>Eureka Hand Vacuum, Bagless</t>
  </si>
  <si>
    <t>Leawood</t>
  </si>
  <si>
    <t>Nancy Holden</t>
  </si>
  <si>
    <t>Harmony HEPA Quiet Air Purifiers</t>
  </si>
  <si>
    <t>Franklin</t>
  </si>
  <si>
    <t>Roger Blalock Cassidy</t>
  </si>
  <si>
    <t>Recycled Premium Regency Composition Covers</t>
  </si>
  <si>
    <t>Fairfield</t>
  </si>
  <si>
    <t>Charles Cline</t>
  </si>
  <si>
    <t>Tennsco Regal Shelving Units</t>
  </si>
  <si>
    <t>Thousand Oaks</t>
  </si>
  <si>
    <t>T60</t>
  </si>
  <si>
    <t>Jean Khan</t>
  </si>
  <si>
    <t>Eldon Regeneration Recycled Desk Accessories, Smoke</t>
  </si>
  <si>
    <t>Menlo Park</t>
  </si>
  <si>
    <t>Diana Xu</t>
  </si>
  <si>
    <t>Belkin 6 Outlet Metallic Surge Strip</t>
  </si>
  <si>
    <t>Harriet Bowman</t>
  </si>
  <si>
    <t>5170i</t>
  </si>
  <si>
    <t>Arlene Gibbons</t>
  </si>
  <si>
    <t>Nu-Dell Leatherette Frames</t>
  </si>
  <si>
    <t>Muscatine</t>
  </si>
  <si>
    <t>Kristina Collier</t>
  </si>
  <si>
    <t>Allen Park</t>
  </si>
  <si>
    <t>Faye Manning</t>
  </si>
  <si>
    <t>Canon MP41DH Printing Calculator</t>
  </si>
  <si>
    <t>Saint Petersburg</t>
  </si>
  <si>
    <t>Global Stack Chair without Arms, Black</t>
  </si>
  <si>
    <t>Fellowes Neat Ideas® Storage Cubes</t>
  </si>
  <si>
    <t>Pam Patton</t>
  </si>
  <si>
    <t>Xerox 1897</t>
  </si>
  <si>
    <t>Boston</t>
  </si>
  <si>
    <t>Marjorie Owens</t>
  </si>
  <si>
    <t>Farmers Branch</t>
  </si>
  <si>
    <t>Harry Burns</t>
  </si>
  <si>
    <t>Barrel Sharpener</t>
  </si>
  <si>
    <t>Mason City</t>
  </si>
  <si>
    <t>2160i</t>
  </si>
  <si>
    <t>A1228</t>
  </si>
  <si>
    <t>Priscilla Allen</t>
  </si>
  <si>
    <t>Pontiac</t>
  </si>
  <si>
    <t>Edwin Blackburn</t>
  </si>
  <si>
    <t>Rogers® Profile Extra Capacity Storage Tub</t>
  </si>
  <si>
    <t>Agawam</t>
  </si>
  <si>
    <t>Jackie Flynn</t>
  </si>
  <si>
    <t>Winchester</t>
  </si>
  <si>
    <t>Billy Hale</t>
  </si>
  <si>
    <t>Global High-Back Leather Tilter, Burgundy</t>
  </si>
  <si>
    <t>Fort Lee</t>
  </si>
  <si>
    <t>Teresa Wallace</t>
  </si>
  <si>
    <t>Eldon ClusterMat Chair Mat with Cordless Antistatic Protection</t>
  </si>
  <si>
    <t>Mount Lebanon</t>
  </si>
  <si>
    <t>Xerox 1947</t>
  </si>
  <si>
    <t>Oscar Kenney</t>
  </si>
  <si>
    <t>Staples Plastic Wall Frames</t>
  </si>
  <si>
    <t>West Bend</t>
  </si>
  <si>
    <t>Helen Dickerson</t>
  </si>
  <si>
    <t>Joplin</t>
  </si>
  <si>
    <t>Edgar McKenzie</t>
  </si>
  <si>
    <t>Staples 6 Outlet Surge</t>
  </si>
  <si>
    <t>Oswego</t>
  </si>
  <si>
    <t>Lloyd Dolan</t>
  </si>
  <si>
    <t>Newell 338</t>
  </si>
  <si>
    <t>Dickinson</t>
  </si>
  <si>
    <t>Joanna Kenney</t>
  </si>
  <si>
    <t>Boston 1645 Deluxe Heavier-Duty Electric Pencil Sharpener</t>
  </si>
  <si>
    <t>Sandusky</t>
  </si>
  <si>
    <t>OIC Thumb-Tacks</t>
  </si>
  <si>
    <t>Jeff Meadows</t>
  </si>
  <si>
    <t>Avery 48</t>
  </si>
  <si>
    <t>Paducah</t>
  </si>
  <si>
    <t>Judy Hall</t>
  </si>
  <si>
    <t>Newell 343</t>
  </si>
  <si>
    <t>Worcester</t>
  </si>
  <si>
    <t>Kara Allison</t>
  </si>
  <si>
    <t>Alton</t>
  </si>
  <si>
    <t>Array® Memo Cubes</t>
  </si>
  <si>
    <t>Janet McCullough</t>
  </si>
  <si>
    <t>LX 677</t>
  </si>
  <si>
    <t>Coconut Creek</t>
  </si>
  <si>
    <t>Monica Harvey</t>
  </si>
  <si>
    <t>V70</t>
  </si>
  <si>
    <t>Eau Claire</t>
  </si>
  <si>
    <t>Sidney Russell Austin</t>
  </si>
  <si>
    <t>Okidata Pacemark 4410N Wide Format Dot Matrix Printer</t>
  </si>
  <si>
    <t>Redmond</t>
  </si>
  <si>
    <t>Edgar Kumar</t>
  </si>
  <si>
    <t>Billie Stern</t>
  </si>
  <si>
    <t>North Plainfield</t>
  </si>
  <si>
    <t>Edna Thomas</t>
  </si>
  <si>
    <t>Xerox 194</t>
  </si>
  <si>
    <t>Laguna Niguel</t>
  </si>
  <si>
    <t>Belkin 8 Outlet SurgeMaster II Gold Surge Protector</t>
  </si>
  <si>
    <t>Wilson Jones Impact Binders</t>
  </si>
  <si>
    <t>Kristine Connolly</t>
  </si>
  <si>
    <t>Adams Phone Message Book, 200 Message Capacity, 8 1/16” x 11”</t>
  </si>
  <si>
    <t>Kristina Sanders</t>
  </si>
  <si>
    <t>Provo</t>
  </si>
  <si>
    <t>Martin Kirk</t>
  </si>
  <si>
    <t>Chesapeake</t>
  </si>
  <si>
    <t>James Davenport</t>
  </si>
  <si>
    <t>Acco Four Pocket Poly Ring Binder with Label Holder, Smoke, 1"</t>
  </si>
  <si>
    <t>Kansas City</t>
  </si>
  <si>
    <t>Xerox 213</t>
  </si>
  <si>
    <t>Jenny Gold</t>
  </si>
  <si>
    <t>Hon 2090 “Pillow Soft” Series Mid Back Swivel/Tilt Chairs</t>
  </si>
  <si>
    <t>Marianne Carey</t>
  </si>
  <si>
    <t>Atlantic Metals Mobile 2-Shelf Bookcases, Custom Colors</t>
  </si>
  <si>
    <t>North Platte</t>
  </si>
  <si>
    <t>Alfred Singh</t>
  </si>
  <si>
    <t>GBC DocuBind 200 Manual Binding Machine</t>
  </si>
  <si>
    <t>Mechanicsville</t>
  </si>
  <si>
    <t>Jeffrey Mueller</t>
  </si>
  <si>
    <t>Memorex 4.7GB DVD-RAM, 3/Pack</t>
  </si>
  <si>
    <t>Rock Island</t>
  </si>
  <si>
    <t>Edna Monroe Talley</t>
  </si>
  <si>
    <t>Seguin</t>
  </si>
  <si>
    <t>BoxOffice By Design Rectangular and Half-Moon Meeting Room Tables</t>
  </si>
  <si>
    <t>Peggy Chan</t>
  </si>
  <si>
    <t>Sherman</t>
  </si>
  <si>
    <t>Rodney Field</t>
  </si>
  <si>
    <t>Springfield</t>
  </si>
  <si>
    <t>Howard Miller 13" Diameter Goldtone Round Wall Clock</t>
  </si>
  <si>
    <t>Theodore Rubin</t>
  </si>
  <si>
    <t>Franklin Park</t>
  </si>
  <si>
    <t>Irene Li</t>
  </si>
  <si>
    <t>Acme® Elite Stainless Steel Scissors</t>
  </si>
  <si>
    <t>Hanover</t>
  </si>
  <si>
    <t>Lynn Epstein</t>
  </si>
  <si>
    <t>Anderson Hickey Conga Table Tops &amp; Accessories</t>
  </si>
  <si>
    <t>Bangor</t>
  </si>
  <si>
    <t>Constance Flowers</t>
  </si>
  <si>
    <t>US Robotics 56K V.92 Internal PCI Faxmodem</t>
  </si>
  <si>
    <t>San Diego</t>
  </si>
  <si>
    <t>Laurie Howe</t>
  </si>
  <si>
    <t>Office Star - Mid Back Dual function Ergonomic High Back Chair with 2-Way Adjustable Arms</t>
  </si>
  <si>
    <t>Brooklyn Center</t>
  </si>
  <si>
    <t>Rediform S.O.S. Phone Message Books</t>
  </si>
  <si>
    <t>Kelly Byers</t>
  </si>
  <si>
    <t>Peel &amp; Stick Add-On Corner Pockets</t>
  </si>
  <si>
    <t>Woodburn</t>
  </si>
  <si>
    <t>Hewlett-Packard Business Color Inkjet 3000 [N, DTN] Series Printers</t>
  </si>
  <si>
    <t>Xerox 217</t>
  </si>
  <si>
    <t>April Bowers</t>
  </si>
  <si>
    <t>Cedar Hill</t>
  </si>
  <si>
    <t>Marsha P Joyner</t>
  </si>
  <si>
    <t>West Virginia</t>
  </si>
  <si>
    <t>Wheeling</t>
  </si>
  <si>
    <t>Crystal Crabtree</t>
  </si>
  <si>
    <t>West Palm Beach</t>
  </si>
  <si>
    <t>C-Line Peel &amp; Stick Add-On Filing Pockets, 8-3/4 x 5-1/8, 10/Pack</t>
  </si>
  <si>
    <t>Carolyn Fisher</t>
  </si>
  <si>
    <t>Lexmark Z25 Color Inkjet Printer</t>
  </si>
  <si>
    <t>Sherwood</t>
  </si>
  <si>
    <t>Debra Proctor</t>
  </si>
  <si>
    <t>Avery 497</t>
  </si>
  <si>
    <t>Fort Wayne</t>
  </si>
  <si>
    <t>Dana Waller</t>
  </si>
  <si>
    <t>Bush Advantage Collection® Racetrack Conference Table</t>
  </si>
  <si>
    <t>Bozeman</t>
  </si>
  <si>
    <t>Victor Cherry</t>
  </si>
  <si>
    <t>Imation 5.2GB DVD-RAM</t>
  </si>
  <si>
    <t>Farmington Hills</t>
  </si>
  <si>
    <t>Malcolm S Lanier</t>
  </si>
  <si>
    <t>Speediset Carbonless Redi-Letter® 7" x 8 1/2"</t>
  </si>
  <si>
    <t>Flint</t>
  </si>
  <si>
    <t>Denise Carver</t>
  </si>
  <si>
    <t>Laminate Occasional Tables</t>
  </si>
  <si>
    <t>Cuyahoga Falls</t>
  </si>
  <si>
    <t>Mead 1st Gear 2" Zipper Binder, Asst. Colors</t>
  </si>
  <si>
    <t>Annette Boone</t>
  </si>
  <si>
    <t>Burlington</t>
  </si>
  <si>
    <t>Arlene Long</t>
  </si>
  <si>
    <t>Eldon® 200 Class™ Desk Accessories</t>
  </si>
  <si>
    <t>Kevin Smith</t>
  </si>
  <si>
    <t>Lake In The Hills</t>
  </si>
  <si>
    <t>Helen Stein</t>
  </si>
  <si>
    <t>Cincinnati</t>
  </si>
  <si>
    <t>Marc Ray</t>
  </si>
  <si>
    <t>Avery Hi-Liter® Fluorescent Desk Style Markers</t>
  </si>
  <si>
    <t>Mountain View</t>
  </si>
  <si>
    <t>Pamela Wiley</t>
  </si>
  <si>
    <t>Rick Foster Hawkins</t>
  </si>
  <si>
    <t>Hewlett-Packard Deskjet 6122 Color Inkjet Printer</t>
  </si>
  <si>
    <t>San Francisco</t>
  </si>
  <si>
    <t>Wallace Pugh</t>
  </si>
  <si>
    <t>Northbrook</t>
  </si>
  <si>
    <t>Jack Horn</t>
  </si>
  <si>
    <t>Office Star - Ergonomic Mid Back Chair with 2-Way Adjustable Arms</t>
  </si>
  <si>
    <t>Statesboro</t>
  </si>
  <si>
    <t>Robin Tyler</t>
  </si>
  <si>
    <t>i2000</t>
  </si>
  <si>
    <t>Murray</t>
  </si>
  <si>
    <t>Gretchen Ball</t>
  </si>
  <si>
    <t>Accessory27</t>
  </si>
  <si>
    <t>Pueblo</t>
  </si>
  <si>
    <t>Glenda Hunter</t>
  </si>
  <si>
    <t>Twentynine Palms</t>
  </si>
  <si>
    <t>Acme Galleria® Hot Forged Steel Scissors with Colored Handles</t>
  </si>
  <si>
    <t>Nathan Wyatt</t>
  </si>
  <si>
    <t>Pasco</t>
  </si>
  <si>
    <t>Phillip Chappell</t>
  </si>
  <si>
    <t>Redondo Beach</t>
  </si>
  <si>
    <t>Yvonne Clarke</t>
  </si>
  <si>
    <t>Southworth 25% Cotton Antique Laid Paper &amp; Envelopes</t>
  </si>
  <si>
    <t>Oscar Ford</t>
  </si>
  <si>
    <t>Burnsville</t>
  </si>
  <si>
    <t>Tommy Honeycutt</t>
  </si>
  <si>
    <t>Saint Peters</t>
  </si>
  <si>
    <t>Earl Roy</t>
  </si>
  <si>
    <t>Casselberry</t>
  </si>
  <si>
    <t>Advantus Push Pins, Aluminum Head</t>
  </si>
  <si>
    <t>Charlotte L Doyle</t>
  </si>
  <si>
    <t>Coral Gables</t>
  </si>
  <si>
    <t>BPI Conference Tables</t>
  </si>
  <si>
    <t>Larry Langston</t>
  </si>
  <si>
    <t>Avery 493</t>
  </si>
  <si>
    <t>Spartanburg</t>
  </si>
  <si>
    <t>Array® Parchment Paper, Assorted Colors</t>
  </si>
  <si>
    <t>HP Office Paper (20Lb. and 87 Bright)</t>
  </si>
  <si>
    <t>Logitech Cordless Navigator Duo</t>
  </si>
  <si>
    <t>Tara Gold</t>
  </si>
  <si>
    <t>GBC White Gloss Covers, Plain Front</t>
  </si>
  <si>
    <t>Hutchinson</t>
  </si>
  <si>
    <t>Charlotte Patterson</t>
  </si>
  <si>
    <t>Terre Haute</t>
  </si>
  <si>
    <t>Kathy Turner</t>
  </si>
  <si>
    <t>Depew</t>
  </si>
  <si>
    <t>Don Cameron</t>
  </si>
  <si>
    <t>Sanyo 2.5 Cubic Foot Mid-Size Office Refrigerators</t>
  </si>
  <si>
    <t>Annie Horne</t>
  </si>
  <si>
    <t>Post-it® “Important Message” Note Pad, Neon Colors, 50 Sheets/Pad</t>
  </si>
  <si>
    <t>Fort Myers</t>
  </si>
  <si>
    <t>Brian Leach</t>
  </si>
  <si>
    <t>Sanford Colorific Colored Pencils, 12/Box</t>
  </si>
  <si>
    <t>R380</t>
  </si>
  <si>
    <t>Stacy Gould</t>
  </si>
  <si>
    <t>Bay City</t>
  </si>
  <si>
    <t>Danielle Schneider</t>
  </si>
  <si>
    <t>Staples Battery-Operated Desktop Pencil Sharpener</t>
  </si>
  <si>
    <t>Canton</t>
  </si>
  <si>
    <t>Vanessa Boyer</t>
  </si>
  <si>
    <t>Howard Burnett</t>
  </si>
  <si>
    <t>Companion Letter/Legal File, Black</t>
  </si>
  <si>
    <t>Vernon Hirsch Singleton</t>
  </si>
  <si>
    <t>Bretford CR8500 Series Meeting Room Furniture</t>
  </si>
  <si>
    <t>Chico</t>
  </si>
  <si>
    <t>Jimmy Waters</t>
  </si>
  <si>
    <t>Fitchburg</t>
  </si>
  <si>
    <t>Brian Grady</t>
  </si>
  <si>
    <t>Eldon® Expressions™ Wood and Plastic Desk Accessories, Oak</t>
  </si>
  <si>
    <t>Catherine Dorsey Burnett</t>
  </si>
  <si>
    <t>Hewlett-Packard cp1700 [D, PS] Series Color Inkjet Printers</t>
  </si>
  <si>
    <t>East Los Angeles</t>
  </si>
  <si>
    <t>Hot File® 7-Pocket, Floor Stand</t>
  </si>
  <si>
    <t>Samantha Koch</t>
  </si>
  <si>
    <t>Space Solutions Commercial Steel Shelving</t>
  </si>
  <si>
    <t>Tucson</t>
  </si>
  <si>
    <t>Scott Feldman</t>
  </si>
  <si>
    <t>Polycom Soundstation EX Audio-Conferencing Telephone, Black</t>
  </si>
  <si>
    <t>Elizabeth</t>
  </si>
  <si>
    <t>Julie Porter</t>
  </si>
  <si>
    <t>ACCOHIDE® 3-Ring Binder, Blue, 1"</t>
  </si>
  <si>
    <t>Pittsburg</t>
  </si>
  <si>
    <t>Ampad #10 Peel &amp; Seel® Holiday Envelopes</t>
  </si>
  <si>
    <t>Nicole Reid</t>
  </si>
  <si>
    <t>Maxell 3.5" DS/HD IBM-Formatted Diskettes, 10/Pack</t>
  </si>
  <si>
    <t>University City</t>
  </si>
  <si>
    <t>Earl Alston</t>
  </si>
  <si>
    <t>Bevis Round Bullnose 29" High Table Top</t>
  </si>
  <si>
    <t>Greenville</t>
  </si>
  <si>
    <t>Melvin Kendall</t>
  </si>
  <si>
    <t>SouthWestern Bell FA970 Digital Answering Machine with Time/Day Stamp</t>
  </si>
  <si>
    <t>Clovis</t>
  </si>
  <si>
    <t>Lesro Sheffield Collection Coffee Table, End Table, Center Table, Corner Table</t>
  </si>
  <si>
    <t>StarTAC 8000</t>
  </si>
  <si>
    <t>Joel Buckley</t>
  </si>
  <si>
    <t>Lincoln</t>
  </si>
  <si>
    <t>Kathleen Huang Hall</t>
  </si>
  <si>
    <t>Acme® Preferred Stainless Steel Scissors</t>
  </si>
  <si>
    <t>Freeport</t>
  </si>
  <si>
    <t>Kristine Holden</t>
  </si>
  <si>
    <t>Kensington 6 Outlet Guardian Standard Surge Protector</t>
  </si>
  <si>
    <t>Mauldin</t>
  </si>
  <si>
    <t>Adam G Sawyer</t>
  </si>
  <si>
    <t>East Chicago</t>
  </si>
  <si>
    <t>Nelson Hensley</t>
  </si>
  <si>
    <t>Lillian Fischer</t>
  </si>
  <si>
    <t>Avery Trapezoid Extra Heavy Duty 4" Binders</t>
  </si>
  <si>
    <t>Turquoise Lead Holder with Pocket Clip</t>
  </si>
  <si>
    <t>Tonya Proctor</t>
  </si>
  <si>
    <t>Temecula</t>
  </si>
  <si>
    <t>Timeport L7089</t>
  </si>
  <si>
    <t>Xerox 1923</t>
  </si>
  <si>
    <t>Portfile® Personal File Boxes</t>
  </si>
  <si>
    <t>Marjorie Burnette</t>
  </si>
  <si>
    <t>Surelock™ Post Binders</t>
  </si>
  <si>
    <t>Cleveland</t>
  </si>
  <si>
    <t>Eugene Kerr</t>
  </si>
  <si>
    <t>i500plus</t>
  </si>
  <si>
    <t>Central Islip</t>
  </si>
  <si>
    <t>Tammy Buckley</t>
  </si>
  <si>
    <t>Tenex 46" x 60" Computer Anti-Static Chairmat, Rectangular Shaped</t>
  </si>
  <si>
    <t>Wyoming</t>
  </si>
  <si>
    <t>Cheyenne</t>
  </si>
  <si>
    <t>Ross Simpson</t>
  </si>
  <si>
    <t>Donna Craven</t>
  </si>
  <si>
    <t>Randallstown</t>
  </si>
  <si>
    <t>Binder Posts</t>
  </si>
  <si>
    <t>Mitchell Ross</t>
  </si>
  <si>
    <t>Burke</t>
  </si>
  <si>
    <t>Sherry Hurley</t>
  </si>
  <si>
    <t>Fayetteville</t>
  </si>
  <si>
    <t>Brandon E Shepherd</t>
  </si>
  <si>
    <t>South Dakota</t>
  </si>
  <si>
    <t>Sioux Falls</t>
  </si>
  <si>
    <t>Toni Swanson</t>
  </si>
  <si>
    <t>Jimmy Alston Holder</t>
  </si>
  <si>
    <t>Rosemary Branch</t>
  </si>
  <si>
    <t>Sharp EL500L Fraction Calculator</t>
  </si>
  <si>
    <t>Boca Raton</t>
  </si>
  <si>
    <t>Xerox 1894</t>
  </si>
  <si>
    <t>Hon 94000 Series Round Tables</t>
  </si>
  <si>
    <t>Larry Hall</t>
  </si>
  <si>
    <t>Birmingham</t>
  </si>
  <si>
    <t>Denise McIntosh</t>
  </si>
  <si>
    <t>Accessory24</t>
  </si>
  <si>
    <t>Marie Bass</t>
  </si>
  <si>
    <t>Avery Flip-Chart Easel Binder, Black</t>
  </si>
  <si>
    <t>Edward Bynum</t>
  </si>
  <si>
    <t>Chambersburg</t>
  </si>
  <si>
    <t>Maurice Everett</t>
  </si>
  <si>
    <t>Xerox 1930</t>
  </si>
  <si>
    <t>Tennsco Lockers, Gray</t>
  </si>
  <si>
    <t>Thomas Spence</t>
  </si>
  <si>
    <t>Idaho Falls</t>
  </si>
  <si>
    <t>Michael Robbins</t>
  </si>
  <si>
    <t>Euless</t>
  </si>
  <si>
    <t>Kerry Hardy</t>
  </si>
  <si>
    <t>Fort Lauderdale</t>
  </si>
  <si>
    <t>Gerald Raynor</t>
  </si>
  <si>
    <t>Imation 3.5" IBM-Formatted Diskettes, 10/Pack</t>
  </si>
  <si>
    <t>Horn Lake</t>
  </si>
  <si>
    <t>Global Enterprise Series Seating High-Back Swivel/Tilt Chairs</t>
  </si>
  <si>
    <t>Aaron Dillon</t>
  </si>
  <si>
    <t>Weatherford</t>
  </si>
  <si>
    <t>Avery White Multi-Purpose Labels</t>
  </si>
  <si>
    <t>Ultra Door Pull Handle</t>
  </si>
  <si>
    <t>Xerox 1920</t>
  </si>
  <si>
    <t>Alison Jones</t>
  </si>
  <si>
    <t>Talkabout T8097</t>
  </si>
  <si>
    <t>Wilmington</t>
  </si>
  <si>
    <t>Marvin Yang</t>
  </si>
  <si>
    <t>Lexmark Z54se Color Inkjet Printer</t>
  </si>
  <si>
    <t>Pearl</t>
  </si>
  <si>
    <t>Neil Hogan</t>
  </si>
  <si>
    <t>Snap-A-Way® Black Print Carbonless Ruled Speed Letter, Triplicate</t>
  </si>
  <si>
    <t>Tualatin</t>
  </si>
  <si>
    <t>Sarah Ramsey</t>
  </si>
  <si>
    <t>Staples Gold Paper Clips</t>
  </si>
  <si>
    <t>Syracuse</t>
  </si>
  <si>
    <t>StarTAC 7797</t>
  </si>
  <si>
    <t>Lloyd Norris</t>
  </si>
  <si>
    <t>Arlington Heights</t>
  </si>
  <si>
    <t>Gerald Kearney</t>
  </si>
  <si>
    <t>APC 7 Outlet Network SurgeArrest Surge Protector</t>
  </si>
  <si>
    <t>Aurora</t>
  </si>
  <si>
    <t>Andrew Pearce</t>
  </si>
  <si>
    <t>Hon Every-Day® Chair Series Swivel Task Chairs</t>
  </si>
  <si>
    <t>Tony Chandler</t>
  </si>
  <si>
    <t>Self-Adhesive Address Labels for Typewriters by Universal</t>
  </si>
  <si>
    <t>Highland Village</t>
  </si>
  <si>
    <t>Paige Jacobs</t>
  </si>
  <si>
    <t>Accessory28</t>
  </si>
  <si>
    <t>Friendswood</t>
  </si>
  <si>
    <t>Virginia McNeill</t>
  </si>
  <si>
    <t>GBC ProClick Spines for 32-Hole Punch</t>
  </si>
  <si>
    <t>Kenosha</t>
  </si>
  <si>
    <t>Leslie Jacobson</t>
  </si>
  <si>
    <t>El Mirage</t>
  </si>
  <si>
    <t>Stacy Byrne</t>
  </si>
  <si>
    <t>Westerville</t>
  </si>
  <si>
    <t>Herbert Beard</t>
  </si>
  <si>
    <t>Sulphur Springs</t>
  </si>
  <si>
    <t>Fellowes High-Stak® Drawer Files</t>
  </si>
  <si>
    <t>Erika Jordan</t>
  </si>
  <si>
    <t>O'Sullivan Living Dimensions 2-Shelf Bookcases</t>
  </si>
  <si>
    <t>Plum</t>
  </si>
  <si>
    <t>Paul Tate</t>
  </si>
  <si>
    <t>Jim Hinson</t>
  </si>
  <si>
    <t>Rochester Hills</t>
  </si>
  <si>
    <t>Joan Floyd</t>
  </si>
  <si>
    <t>Bevis 36 x 72 Conference Tables</t>
  </si>
  <si>
    <t>Gulfport</t>
  </si>
  <si>
    <t>Betty Giles</t>
  </si>
  <si>
    <t>Hewlett-Packard Deskjet 940 REFURBISHED Color Inkjet Printer</t>
  </si>
  <si>
    <t>Maple Grove</t>
  </si>
  <si>
    <t>Xerox 1997</t>
  </si>
  <si>
    <t>Louise Webster Sharma</t>
  </si>
  <si>
    <t>Xerox 1983</t>
  </si>
  <si>
    <t>Hickory</t>
  </si>
  <si>
    <t>Lawrence Haas</t>
  </si>
  <si>
    <t>Southworth Structures Collection™</t>
  </si>
  <si>
    <t>Port Saint Lucie</t>
  </si>
  <si>
    <t>Marvin Patrick</t>
  </si>
  <si>
    <t>Stanley Bostitch Contemporary Electric Pencil Sharpeners</t>
  </si>
  <si>
    <t>Detroit</t>
  </si>
  <si>
    <t>282</t>
  </si>
  <si>
    <t>Donald Melton</t>
  </si>
  <si>
    <t>Danielle Baird</t>
  </si>
  <si>
    <t>Kleencut® Forged Office Shears by Acme United Corporation</t>
  </si>
  <si>
    <t>Tiffany Merrill</t>
  </si>
  <si>
    <t>Newell 307</t>
  </si>
  <si>
    <t>Oakdale</t>
  </si>
  <si>
    <t>Irene Murphy</t>
  </si>
  <si>
    <t>Pullman</t>
  </si>
  <si>
    <t>Thomas McAllister</t>
  </si>
  <si>
    <t>80 Minute Slim Jewel Case CD-R , 10/Pack - Staples</t>
  </si>
  <si>
    <t>Pikesville</t>
  </si>
  <si>
    <t>Accessory34</t>
  </si>
  <si>
    <t>Glen Caldwell</t>
  </si>
  <si>
    <t>Edith Forbes</t>
  </si>
  <si>
    <t>2180</t>
  </si>
  <si>
    <t>Tewksbury</t>
  </si>
  <si>
    <t>Tenex Traditional Chairmats for Medium Pile Carpet, Standard Lip, 36" x 48"</t>
  </si>
  <si>
    <t>Lois Rowland</t>
  </si>
  <si>
    <t>Chromcraft Rectangular Conference Tables</t>
  </si>
  <si>
    <t>Santa Maria</t>
  </si>
  <si>
    <t>Neal Wolfe</t>
  </si>
  <si>
    <t>Julie Edwards</t>
  </si>
  <si>
    <t>Wesley Corbett</t>
  </si>
  <si>
    <t>Conroe</t>
  </si>
  <si>
    <t>Marcus Dunlap</t>
  </si>
  <si>
    <t>Roselle</t>
  </si>
  <si>
    <t>Doris Fitzpatrick</t>
  </si>
  <si>
    <t>Durable Pressboard Binders</t>
  </si>
  <si>
    <t>Carmel</t>
  </si>
  <si>
    <t>Adams Telephone Message Book w/Frequently-Called Numbers Space, 400 Messages per Book</t>
  </si>
  <si>
    <t>Bretford “Just In Time” Height-Adjustable Multi-Task Work Tables</t>
  </si>
  <si>
    <t>Geoffrey H Wong</t>
  </si>
  <si>
    <t>Rome</t>
  </si>
  <si>
    <t>Accessory15</t>
  </si>
  <si>
    <t>Jonathan Crabtree</t>
  </si>
  <si>
    <t>Addison</t>
  </si>
  <si>
    <t>Accessory37</t>
  </si>
  <si>
    <t>Shawn Combs</t>
  </si>
  <si>
    <t>Filing/Storage Totes and Swivel Casters</t>
  </si>
  <si>
    <t>Auburn</t>
  </si>
  <si>
    <t>Electrix 20W Halogen Replacement Bulb for Zoom-In Desk Lamp</t>
  </si>
  <si>
    <t>210 Trimline Phone, White</t>
  </si>
  <si>
    <t>Edna Michael</t>
  </si>
  <si>
    <t>Port Charlotte</t>
  </si>
  <si>
    <t>Jordan Womble</t>
  </si>
  <si>
    <t>Hays</t>
  </si>
  <si>
    <t>Global Leather Task Chair, Black</t>
  </si>
  <si>
    <t>Clyde Burnett</t>
  </si>
  <si>
    <t>Howard Miller 12-3/4 Diameter Accuwave DS ™ Wall Clock</t>
  </si>
  <si>
    <t>Coachella</t>
  </si>
  <si>
    <t>Canon Imageclass D680 Copier / Fax</t>
  </si>
  <si>
    <t>Ronnie Nolan</t>
  </si>
  <si>
    <t>Waterville</t>
  </si>
  <si>
    <t>Malcolm Floyd</t>
  </si>
  <si>
    <t>The Colony</t>
  </si>
  <si>
    <t>Hazel Jennings</t>
  </si>
  <si>
    <t>Imation 3.5", DISKETTE 44766 HGHLD3.52HD/FM, 10/Pack</t>
  </si>
  <si>
    <t>Patrick Byrne</t>
  </si>
  <si>
    <t>Molly Browning</t>
  </si>
  <si>
    <t>Hon 2111 Invitation™ Series Corner Table</t>
  </si>
  <si>
    <t>Glen Cove</t>
  </si>
  <si>
    <t>BOSTON® Ranger® #55 Pencil Sharpener, Black</t>
  </si>
  <si>
    <t>Robyn Garner</t>
  </si>
  <si>
    <t>Adams Telephone Message Books, 5 1/4” x 11”</t>
  </si>
  <si>
    <t>Redlands</t>
  </si>
  <si>
    <t>Chris Pritchard</t>
  </si>
  <si>
    <t>Deflect-o Glass Clear Studded Chair Mats</t>
  </si>
  <si>
    <t>West Valley City</t>
  </si>
  <si>
    <t>John Merritt</t>
  </si>
  <si>
    <t>White Dual Perf Computer Printout Paper, 2700 Sheets, 1 Part, Heavyweight, 20 lbs., 14 7/8 x 11</t>
  </si>
  <si>
    <t>Keller</t>
  </si>
  <si>
    <t>Vicki Bond</t>
  </si>
  <si>
    <t>Burbank</t>
  </si>
  <si>
    <t>Maureen Whitley</t>
  </si>
  <si>
    <t>DS/HD IBM Formatted Diskettes, 200/Pack - Staples</t>
  </si>
  <si>
    <t>Tamarac</t>
  </si>
  <si>
    <t>Molly Webster</t>
  </si>
  <si>
    <t>Wilson Jones Custom Binder Spines &amp; Labels</t>
  </si>
  <si>
    <t>Durango</t>
  </si>
  <si>
    <t>Sharp 1540cs Digital Laser Copier</t>
  </si>
  <si>
    <t>Multi-Use Personal File Cart and Caster Set, Three Stacking Bins</t>
  </si>
  <si>
    <t>Wallace Werner</t>
  </si>
  <si>
    <t>Vallejo</t>
  </si>
  <si>
    <t>Shawn Meyer</t>
  </si>
  <si>
    <t>5165</t>
  </si>
  <si>
    <t>Corsicana</t>
  </si>
  <si>
    <t>Geoffrey Koch</t>
  </si>
  <si>
    <t>Kankakee</t>
  </si>
  <si>
    <t>Gail Currin</t>
  </si>
  <si>
    <t>Xerox 1971</t>
  </si>
  <si>
    <t>Oxnard</t>
  </si>
  <si>
    <t>Cindy Harvey</t>
  </si>
  <si>
    <t>80 Minute CD-R Spindle, 100/Pack - Staples</t>
  </si>
  <si>
    <t>Tooele</t>
  </si>
  <si>
    <t>Monica Howard</t>
  </si>
  <si>
    <t>X-Rack™ File for Hanging Folders</t>
  </si>
  <si>
    <t>El Centro</t>
  </si>
  <si>
    <t>3390</t>
  </si>
  <si>
    <t>Samuel Newman</t>
  </si>
  <si>
    <t>Desktop 3-Pocket Hot File®</t>
  </si>
  <si>
    <t>Summerville</t>
  </si>
  <si>
    <t>Vincent Hale</t>
  </si>
  <si>
    <t>Newell 315</t>
  </si>
  <si>
    <t>Francis Kendall</t>
  </si>
  <si>
    <t>Albuquerque</t>
  </si>
  <si>
    <t>Wausau Papers Astrobrights® Colored Envelopes</t>
  </si>
  <si>
    <t>Eureka Disposable Bags for Sanitaire® Vibra Groomer I® Upright Vac</t>
  </si>
  <si>
    <t>Avery 510</t>
  </si>
  <si>
    <t>Dana Swing-Arm Lamps</t>
  </si>
  <si>
    <t>Gretchen McKinney</t>
  </si>
  <si>
    <t>Parma</t>
  </si>
  <si>
    <t>Michael Shaffer</t>
  </si>
  <si>
    <t>Executive Impressions 13" Clairmont Wall Clock</t>
  </si>
  <si>
    <t>Kissimmee</t>
  </si>
  <si>
    <t>Michele Bullard</t>
  </si>
  <si>
    <t>Orland Park</t>
  </si>
  <si>
    <t>Eldon Expressions™ Desk Accessory, Wood Pencil Holder, Oak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</si>
  <si>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</si>
  <si>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</si>
  <si>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</si>
  <si>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</si>
  <si>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</si>
  <si>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Wesley Waller</t>
  </si>
  <si>
    <t>Zoom V.92 USB External Faxmodem</t>
  </si>
  <si>
    <t>Phillip Holmes</t>
  </si>
  <si>
    <t>Arlington</t>
  </si>
  <si>
    <t>Sean McKenna</t>
  </si>
  <si>
    <t>Office Star Flex Back Scooter Chair with Aluminum Finish Frame</t>
  </si>
  <si>
    <t>Hobbs</t>
  </si>
  <si>
    <t>Erika Fink</t>
  </si>
  <si>
    <t>Eureka Sanitaire ® Multi-Pro Heavy-Duty Upright, Disposable Bags</t>
  </si>
  <si>
    <t>Salt Lake City</t>
  </si>
  <si>
    <t>CF 688</t>
  </si>
  <si>
    <t>Ricky Sanders</t>
  </si>
  <si>
    <t>Joliet</t>
  </si>
  <si>
    <t>Walter Young</t>
  </si>
  <si>
    <t>Pleasant Grove</t>
  </si>
  <si>
    <t>Lee Hancock</t>
  </si>
  <si>
    <t>Global Leather &amp; Oak Executive Chair, Burgundy</t>
  </si>
  <si>
    <t>Hunt Boston® Vacuum Mount KS Pencil Sharpener</t>
  </si>
  <si>
    <t>Carrie Lewis</t>
  </si>
  <si>
    <t>Eaton Premium Continuous-Feed Paper, 25% Cotton, Letter Size, White, 1000 Shts/Box</t>
  </si>
  <si>
    <t>Kettering</t>
  </si>
  <si>
    <t>Paula Hubbard</t>
  </si>
  <si>
    <t>Xerox 1938</t>
  </si>
  <si>
    <t>Kearns</t>
  </si>
  <si>
    <t>Shawn McIntyre</t>
  </si>
  <si>
    <t>Okidata ML390 Turbo Dot Matrix Printers</t>
  </si>
  <si>
    <t>Louisville</t>
  </si>
  <si>
    <t>Monica Law Thompson</t>
  </si>
  <si>
    <t>Texarkana</t>
  </si>
  <si>
    <t>Leo Kane</t>
  </si>
  <si>
    <t>Derby</t>
  </si>
  <si>
    <t>Hand-Finished Solid Wood Document Frame</t>
  </si>
  <si>
    <t>Miriam Bowman</t>
  </si>
  <si>
    <t>Wirebound Service Call Books, 5 1/2" x 4"</t>
  </si>
  <si>
    <t>Hollywood</t>
  </si>
  <si>
    <t>Iceberg OfficeWorks 42" Round Tables</t>
  </si>
  <si>
    <t>Ricky W Clements</t>
  </si>
  <si>
    <t>Vestavia Hills</t>
  </si>
  <si>
    <t>Roberta Mitchell</t>
  </si>
  <si>
    <t>9-3/4 Diameter Round Wall Clock</t>
  </si>
  <si>
    <t>Paris</t>
  </si>
  <si>
    <t>Fellowes Bases and Tops For Staxonsteel®/High-Stak® Systems</t>
  </si>
  <si>
    <t>Cameron Owens</t>
  </si>
  <si>
    <t>Covington</t>
  </si>
  <si>
    <t>Benjamin Porter</t>
  </si>
  <si>
    <t>Livonia</t>
  </si>
  <si>
    <t>Kathryn Tate</t>
  </si>
  <si>
    <t>Staples Copy Paper (20Lb. and 84 Bright)</t>
  </si>
  <si>
    <t>Marshall Brandt Briggs</t>
  </si>
  <si>
    <t>Maryville</t>
  </si>
  <si>
    <t>Roy Hardison</t>
  </si>
  <si>
    <t>Belkin Premiere Surge Master II 8-outlet surge protector</t>
  </si>
  <si>
    <t>Maureen Herbert Hood</t>
  </si>
  <si>
    <t>Global Leather and Oak Executive Chair, Black</t>
  </si>
  <si>
    <t>Appleton</t>
  </si>
  <si>
    <t>Nathan Jenkins</t>
  </si>
  <si>
    <t>T28 WORLD</t>
  </si>
  <si>
    <t>Pine Bluff</t>
  </si>
  <si>
    <t>Ray Grady</t>
  </si>
  <si>
    <t>Eagle Pass</t>
  </si>
  <si>
    <t>Benjamin Chan</t>
  </si>
  <si>
    <t>Redwood City</t>
  </si>
  <si>
    <t>Julian F Wolfe</t>
  </si>
  <si>
    <t>Hanover Park</t>
  </si>
  <si>
    <t>Louis Parrish</t>
  </si>
  <si>
    <t>Ibico Laser Imprintable Binding System Covers</t>
  </si>
  <si>
    <t>Dixon Ticonderoga Core-Lock Colored Pencils, 48-Color Set</t>
  </si>
  <si>
    <t>Edward Lamm</t>
  </si>
  <si>
    <t>Eldon® Gobal File Keepers</t>
  </si>
  <si>
    <t>New Hampshire</t>
  </si>
  <si>
    <t>Nashua</t>
  </si>
  <si>
    <t>Beth English</t>
  </si>
  <si>
    <t>Elmwood Park</t>
  </si>
  <si>
    <t>Faye Wolf</t>
  </si>
  <si>
    <t>South Orange</t>
  </si>
  <si>
    <t>Vincent Daniel</t>
  </si>
  <si>
    <t>Fruit Cove</t>
  </si>
  <si>
    <t>Helen H Heller</t>
  </si>
  <si>
    <t>Dana Fluorescent Magnifying Lamp, White, 36"</t>
  </si>
  <si>
    <t>Hacienda Heights</t>
  </si>
  <si>
    <t>Avery 494</t>
  </si>
  <si>
    <t>Sharon Ellis</t>
  </si>
  <si>
    <t>Deflect-o SuperTray™ Unbreakable Stackable Tray, Letter, Black</t>
  </si>
  <si>
    <t>Shoreview</t>
  </si>
  <si>
    <t>Rachel Casey</t>
  </si>
  <si>
    <t>Accessory41</t>
  </si>
  <si>
    <t>Marvin Rollins</t>
  </si>
  <si>
    <t>Stamford</t>
  </si>
  <si>
    <t>Paige Mason</t>
  </si>
  <si>
    <t>Hon GuestStacker Chair</t>
  </si>
  <si>
    <t>Norfolk</t>
  </si>
  <si>
    <t>Wilson Jones 14 Line Acrylic Coated Pressboard Data Binders</t>
  </si>
  <si>
    <t>Wilson Jones Ledger-Size, Piano-Hinge Binder, 2", Blue</t>
  </si>
  <si>
    <t>Vanessa Winstead</t>
  </si>
  <si>
    <t>Deluxe Rollaway Locking File with Drawer</t>
  </si>
  <si>
    <t>Pekin</t>
  </si>
  <si>
    <t>Elsie Pridgen</t>
  </si>
  <si>
    <t>Telephone Message Books with Fax/Mobile Section, 4 1/4" x 6"</t>
  </si>
  <si>
    <t>Laguna Hills</t>
  </si>
  <si>
    <t>Dana Burgess</t>
  </si>
  <si>
    <t>Xerox 1985</t>
  </si>
  <si>
    <t>Heather Stern</t>
  </si>
  <si>
    <t>Newington</t>
  </si>
  <si>
    <t>Hazel Khan</t>
  </si>
  <si>
    <t>Ann Steele</t>
  </si>
  <si>
    <t>Kirkland</t>
  </si>
  <si>
    <t>Sharp AL-1530CS Digital Copier</t>
  </si>
  <si>
    <t>Marcia Feldman</t>
  </si>
  <si>
    <t>TI 30X Scientific Calculator</t>
  </si>
  <si>
    <t>Little Rock</t>
  </si>
  <si>
    <t>Lloyd Dickson</t>
  </si>
  <si>
    <t>Xerox 1893</t>
  </si>
  <si>
    <t>Buffalo Grove</t>
  </si>
  <si>
    <t>Erin Ballard</t>
  </si>
  <si>
    <t>Gayle Pearson</t>
  </si>
  <si>
    <t>David Wrenn</t>
  </si>
  <si>
    <t>O'Sullivan Elevations Bookcase, Cherry Finish</t>
  </si>
  <si>
    <t>Georgetown</t>
  </si>
  <si>
    <t>Nelson Hong</t>
  </si>
  <si>
    <t>Hewlett-Packard 4.7GB DVD+R Discs</t>
  </si>
  <si>
    <t>Torrance</t>
  </si>
  <si>
    <t>600 Series Flip</t>
  </si>
  <si>
    <t>Gilbert Godfrey</t>
  </si>
  <si>
    <t>Economy Binders</t>
  </si>
  <si>
    <t>Sault Sainte Marie</t>
  </si>
  <si>
    <t>Nu-Form 106-Key Ergonomic Keyboard w/ Touchpad</t>
  </si>
  <si>
    <t>Xerox 1989</t>
  </si>
  <si>
    <t>Gregory Holden</t>
  </si>
  <si>
    <t>Global Commerce™ Series High-Back Swivel/Tilt Chairs</t>
  </si>
  <si>
    <t>Riverside</t>
  </si>
  <si>
    <t>Jennifer Stanton</t>
  </si>
  <si>
    <t>Winter Garden</t>
  </si>
  <si>
    <t>Gordon Brandt</t>
  </si>
  <si>
    <t>Lorraine Boykin</t>
  </si>
  <si>
    <t>Shirley</t>
  </si>
  <si>
    <t>Glenda Simon</t>
  </si>
  <si>
    <t>GBC VeloBinder Electric Binding Machine</t>
  </si>
  <si>
    <t>Camarillo</t>
  </si>
  <si>
    <t>Imation 3.5 IBM Formatted Diskettes, 10/Box</t>
  </si>
  <si>
    <t>V3682</t>
  </si>
  <si>
    <t>Eugene H Walsh</t>
  </si>
  <si>
    <t>Xerox 20</t>
  </si>
  <si>
    <t>Manitowoc</t>
  </si>
  <si>
    <t>Dwight Robinson</t>
  </si>
  <si>
    <t>1726 Digital Answering Machine</t>
  </si>
  <si>
    <t>Lynne Griffith</t>
  </si>
  <si>
    <t>Hagerstown</t>
  </si>
  <si>
    <t>Fiskars 8" Scissors, 2/Pack</t>
  </si>
  <si>
    <t>Stephen Lam</t>
  </si>
  <si>
    <t>Pahrump</t>
  </si>
  <si>
    <t>Fellowes Stor/Drawer® Steel Plus™ Storage Drawers</t>
  </si>
  <si>
    <t>Michael Tanner</t>
  </si>
  <si>
    <t>Fellowes EZ Multi-Media Keyboard</t>
  </si>
  <si>
    <t>Serrated Blade or Curved Handle Hand Letter Openers</t>
  </si>
  <si>
    <t>Faye Hanna</t>
  </si>
  <si>
    <t>El Dorado Hills</t>
  </si>
  <si>
    <t>Denise Parks</t>
  </si>
  <si>
    <t>Theresa Winters</t>
  </si>
  <si>
    <t>Bryant</t>
  </si>
  <si>
    <t>KF 788</t>
  </si>
  <si>
    <t>Josephine Rao</t>
  </si>
  <si>
    <t>Hammond</t>
  </si>
  <si>
    <t>Harold Albright</t>
  </si>
  <si>
    <t>Caroline Stone</t>
  </si>
  <si>
    <t>Memo Book, 100 Message Capacity, 5 3/8” x 11”</t>
  </si>
  <si>
    <t>Edwin Coley</t>
  </si>
  <si>
    <t>Staples 1 Part Blank Computer Paper</t>
  </si>
  <si>
    <t>Mansfield</t>
  </si>
  <si>
    <t>12-1/2 Diameter Round Wall Clock</t>
  </si>
  <si>
    <t>Tracy Buckley</t>
  </si>
  <si>
    <t>Executive Impressions 14" Contract Wall Clock</t>
  </si>
  <si>
    <t>North Little Rock</t>
  </si>
  <si>
    <t>Judith Shepherd</t>
  </si>
  <si>
    <t>Muskego</t>
  </si>
  <si>
    <t>Donna Braun</t>
  </si>
  <si>
    <t>Hoover</t>
  </si>
  <si>
    <t>Anita Kent</t>
  </si>
  <si>
    <t>Linden</t>
  </si>
  <si>
    <t>Jacob Hirsch</t>
  </si>
  <si>
    <t>Epson LQ-870 Dot Matrix Printer</t>
  </si>
  <si>
    <t>Barrington</t>
  </si>
  <si>
    <t>Sidney Gilliam</t>
  </si>
  <si>
    <t>Rush Hierlooms Collection 1" Thick Stackable Bookcases</t>
  </si>
  <si>
    <t>Riverview</t>
  </si>
  <si>
    <t>Lynn Morrow</t>
  </si>
  <si>
    <t>Avery 501</t>
  </si>
  <si>
    <t>Salem</t>
  </si>
  <si>
    <t>Shannon Aldridge</t>
  </si>
  <si>
    <t>North Olmsted</t>
  </si>
  <si>
    <t>Susan Carroll Berman</t>
  </si>
  <si>
    <t>Carole Miller</t>
  </si>
  <si>
    <t>Austintown</t>
  </si>
  <si>
    <t>Lynn O'Donnell</t>
  </si>
  <si>
    <t>Elgin</t>
  </si>
  <si>
    <t>Manila Recycled Extra-Heavyweight Clasp Envelopes, 6" x 9"</t>
  </si>
  <si>
    <t>Peter McConnell</t>
  </si>
  <si>
    <t>Columbus</t>
  </si>
  <si>
    <t>3M Organizer Strips</t>
  </si>
  <si>
    <t>Imation 3.5 IBM Diskettes, 10/Box</t>
  </si>
  <si>
    <t>GE 4 Foot Flourescent Tube, 40 Watt</t>
  </si>
  <si>
    <t>300 Series Non-Flip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</si>
  <si>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</si>
  <si>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</si>
  <si>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</si>
  <si>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</si>
  <si>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</si>
  <si>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</si>
  <si>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Sally Dunn</t>
  </si>
  <si>
    <t>Tenex Contemporary Contur Chairmats for Low and Medium Pile Carpet, Computer, 39" x 49"</t>
  </si>
  <si>
    <t>Tuscaloosa</t>
  </si>
  <si>
    <t>Debra Batchelor</t>
  </si>
  <si>
    <t>Moscow</t>
  </si>
  <si>
    <t>Eldon Shelf Savers™ Cubes and Bins</t>
  </si>
  <si>
    <t>Lewis Baldwin</t>
  </si>
  <si>
    <t>Montclair</t>
  </si>
  <si>
    <t>Elsie Lane</t>
  </si>
  <si>
    <t>Presstex Flexible Ring Binders</t>
  </si>
  <si>
    <t>Midland</t>
  </si>
  <si>
    <t>Erica R Fuller</t>
  </si>
  <si>
    <t>Clayton</t>
  </si>
  <si>
    <t>Roy Rouse</t>
  </si>
  <si>
    <t>Coeur D Alene</t>
  </si>
  <si>
    <t>Heavy-Duty E-Z-D® Binders</t>
  </si>
  <si>
    <t>Kerry Green</t>
  </si>
  <si>
    <t>Staples #10 Laser &amp; Inkjet Envelopes, 4 1/8" x 9 1/2", 100/Box</t>
  </si>
  <si>
    <t>Indianapolis</t>
  </si>
  <si>
    <t>Frances Jackson</t>
  </si>
  <si>
    <t>Jeffersonville</t>
  </si>
  <si>
    <t>Cynthia Khan</t>
  </si>
  <si>
    <t>Xerox 1950</t>
  </si>
  <si>
    <t>Xerox 224</t>
  </si>
  <si>
    <t>Penny Rich</t>
  </si>
  <si>
    <t>Xerox 1896</t>
  </si>
  <si>
    <t>Minnetonka Mills</t>
  </si>
  <si>
    <t>Ashley Reese</t>
  </si>
  <si>
    <t>Avery® Durable Slant Ring Binders With Label Holder</t>
  </si>
  <si>
    <t>Saint Louis</t>
  </si>
  <si>
    <t>Eileen Riddle</t>
  </si>
  <si>
    <t>Xerox 204</t>
  </si>
  <si>
    <t>Roy</t>
  </si>
  <si>
    <t>Penny O Caldwell</t>
  </si>
  <si>
    <t>Bush® Cubix Conference Tables, Fully Assembled</t>
  </si>
  <si>
    <t>Jeff Spivey</t>
  </si>
  <si>
    <t>Euro Pro Shark Stick Mini Vacuum</t>
  </si>
  <si>
    <t>Stephanie Sun Perry</t>
  </si>
  <si>
    <t>GBC Wire Binding Strips</t>
  </si>
  <si>
    <t>Saratoga</t>
  </si>
  <si>
    <t>Bob Gibson</t>
  </si>
  <si>
    <t>Hon Comfortask® Task/Swivel Chairs</t>
  </si>
  <si>
    <t>Port Huron</t>
  </si>
  <si>
    <t>Panasonic KX-P3626 Dot Matrix Printer</t>
  </si>
  <si>
    <t>Jesse Hutchinson</t>
  </si>
  <si>
    <t>Zebra Zazzle Fluorescent Highlighters</t>
  </si>
  <si>
    <t>Goleta</t>
  </si>
  <si>
    <t>Holmes Cool Mist Humidifier for the Whole House with 8-Gallon Output per Day, Extended Life Filter</t>
  </si>
  <si>
    <t>Allen Nash</t>
  </si>
  <si>
    <t>Waynesboro</t>
  </si>
  <si>
    <t>Joel Burnette</t>
  </si>
  <si>
    <t>Dunwoody</t>
  </si>
  <si>
    <t>Leslie Hawley</t>
  </si>
  <si>
    <t>Canon MP25DIII Desktop Whisper-Quiet Printing Calculator</t>
  </si>
  <si>
    <t>Tulsa</t>
  </si>
  <si>
    <t>Richard McClure</t>
  </si>
  <si>
    <t>Thornton</t>
  </si>
  <si>
    <t>Bush Heritage Pine Collection 5-Shelf Bookcase, Albany Pine Finish, *Special Order</t>
  </si>
  <si>
    <t>i470</t>
  </si>
  <si>
    <t>Kathy Shah</t>
  </si>
  <si>
    <t>Garner</t>
  </si>
  <si>
    <t>Theodore Tyson</t>
  </si>
  <si>
    <t>Romeoville</t>
  </si>
  <si>
    <t>Nicole Pope</t>
  </si>
  <si>
    <t>#10- 4 1/8" x 9 1/2" Security-Tint Envelopes</t>
  </si>
  <si>
    <t>Rocky Mount</t>
  </si>
  <si>
    <t>Hewlett-Packard Deskjet 1220Cse Color Inkjet Printer</t>
  </si>
  <si>
    <t>Rick Ellis</t>
  </si>
  <si>
    <t>AT&amp;T 2230 Dual Handset Phone With Caller ID/Call Waiting</t>
  </si>
  <si>
    <t>Angela Rose</t>
  </si>
  <si>
    <t>Xerox 1961</t>
  </si>
  <si>
    <t>Lorraine Kelly</t>
  </si>
  <si>
    <t>6160</t>
  </si>
  <si>
    <t>Puyallup</t>
  </si>
  <si>
    <t>Elisabeth Massey</t>
  </si>
  <si>
    <t>Avery 479</t>
  </si>
  <si>
    <t>Prescott</t>
  </si>
  <si>
    <t>Kate Lehman</t>
  </si>
  <si>
    <t>Westinghouse Clip-On Gooseneck Lamps</t>
  </si>
  <si>
    <t>Dundalk</t>
  </si>
  <si>
    <t>Gloria Jacobs</t>
  </si>
  <si>
    <t>Eldon® 200 Class™ Desk Accessories, Burgundy</t>
  </si>
  <si>
    <t>Elmira</t>
  </si>
  <si>
    <t>Laurence Hull</t>
  </si>
  <si>
    <t>Portage</t>
  </si>
  <si>
    <t>Alison Stewart</t>
  </si>
  <si>
    <t>US Robotics 56K V.92 External Faxmodem</t>
  </si>
  <si>
    <t>Des Plaines</t>
  </si>
  <si>
    <t>Fellowes Staxonsteel® Drawer Files</t>
  </si>
  <si>
    <t>Accessory39</t>
  </si>
  <si>
    <t>Andrea Shaw</t>
  </si>
  <si>
    <t>Crate-A-Files™</t>
  </si>
  <si>
    <t>Danville</t>
  </si>
  <si>
    <t>Avery Hanging File Binders</t>
  </si>
  <si>
    <t>Amanda Conner</t>
  </si>
  <si>
    <t>Papillion</t>
  </si>
  <si>
    <t>Anne Bland</t>
  </si>
  <si>
    <t>Channelview</t>
  </si>
  <si>
    <t>Xerox 1973</t>
  </si>
  <si>
    <t>Brian Bennett</t>
  </si>
  <si>
    <t>Cheektowaga</t>
  </si>
  <si>
    <t>Anne Schultz</t>
  </si>
  <si>
    <t>Accessory4</t>
  </si>
  <si>
    <t>Athens</t>
  </si>
  <si>
    <t>Megan York</t>
  </si>
  <si>
    <t>Caldwell</t>
  </si>
  <si>
    <t>Yvonne Fox</t>
  </si>
  <si>
    <t>Tenex B1-RE Series Chair Mats for Low Pile Carpets</t>
  </si>
  <si>
    <t>Watauga</t>
  </si>
  <si>
    <t>Francis Spivey</t>
  </si>
  <si>
    <t>Lynda Herman</t>
  </si>
  <si>
    <t>Rodney Kearney</t>
  </si>
  <si>
    <t>Metairie</t>
  </si>
  <si>
    <t>Kent Burton</t>
  </si>
  <si>
    <t>Delaware</t>
  </si>
  <si>
    <t>Jessica Huffman</t>
  </si>
  <si>
    <t>Dublin</t>
  </si>
  <si>
    <t>Rhonda Stein</t>
  </si>
  <si>
    <t>i270</t>
  </si>
  <si>
    <t>Salisbury</t>
  </si>
  <si>
    <t>Vickie Morse</t>
  </si>
  <si>
    <t>Xerox 210</t>
  </si>
  <si>
    <t>Reisterstown</t>
  </si>
  <si>
    <t>Arnold Floyd Blair</t>
  </si>
  <si>
    <t>Rock Hill</t>
  </si>
  <si>
    <t>Rhonda Bryant</t>
  </si>
  <si>
    <t>Xerox 216</t>
  </si>
  <si>
    <t>Winter Haven</t>
  </si>
  <si>
    <t>Fellowes Recycled Storage Drawers</t>
  </si>
  <si>
    <t>Alison Peters Wooten</t>
  </si>
  <si>
    <t>West Islip</t>
  </si>
  <si>
    <t>Neal Weber</t>
  </si>
  <si>
    <t>Rita Barton</t>
  </si>
  <si>
    <t>Ridgewood</t>
  </si>
  <si>
    <t>Lynn Bell</t>
  </si>
  <si>
    <t>Linden® 12" Wall Clock With Oak Frame</t>
  </si>
  <si>
    <t>Bennington</t>
  </si>
  <si>
    <t>Colleen Marsh</t>
  </si>
  <si>
    <t>Global Leather Highback Executive Chair with Pneumatic Height Adjustment, Black</t>
  </si>
  <si>
    <t>Ken H Frazier</t>
  </si>
  <si>
    <t>StarTAC 7760</t>
  </si>
  <si>
    <t>Oakton</t>
  </si>
  <si>
    <t>Ricky Allred</t>
  </si>
  <si>
    <t>Columbia</t>
  </si>
  <si>
    <t>Jeanne Werner</t>
  </si>
  <si>
    <t>O'Sullivan Living Dimensions 3-Shelf Bookcases</t>
  </si>
  <si>
    <t>Sandra Sharma</t>
  </si>
  <si>
    <t>Morristown</t>
  </si>
  <si>
    <t>Laurie Petty</t>
  </si>
  <si>
    <t>Jupiter</t>
  </si>
  <si>
    <t>Charlie Moore</t>
  </si>
  <si>
    <t>Anderson</t>
  </si>
  <si>
    <t>Edgar Stone</t>
  </si>
  <si>
    <t>Peggy Lanier</t>
  </si>
  <si>
    <t>Angle-D Binders with Locking Rings, Label Holders</t>
  </si>
  <si>
    <t>Roseville</t>
  </si>
  <si>
    <t>Dorothy Holt</t>
  </si>
  <si>
    <t>Advantus Employee of the Month Certificate Frame, 11 x 13-1/2</t>
  </si>
  <si>
    <t>Irving</t>
  </si>
  <si>
    <t>Beverly Cooke Brooks</t>
  </si>
  <si>
    <t>SC7868i</t>
  </si>
  <si>
    <t>Stratford</t>
  </si>
  <si>
    <t>Lindsay Link</t>
  </si>
  <si>
    <t>Belkin 107-key enhanced keyboard, USB/PS/2 interface</t>
  </si>
  <si>
    <t>Lewiston</t>
  </si>
  <si>
    <t>Emma Bloom</t>
  </si>
  <si>
    <t>Seth Thomas 14" Putty-Colored Wall Clock</t>
  </si>
  <si>
    <t>Rock Springs</t>
  </si>
  <si>
    <t>Marvin Parrott</t>
  </si>
  <si>
    <t>Newell 310</t>
  </si>
  <si>
    <t>Duluth</t>
  </si>
  <si>
    <t>Sandy Ellington</t>
  </si>
  <si>
    <t>Reno</t>
  </si>
  <si>
    <t>Eugene Brewer Knox</t>
  </si>
  <si>
    <t>Acco® Hot Clips™ Clips to Go</t>
  </si>
  <si>
    <t>Bethpage</t>
  </si>
  <si>
    <t>Leah Davenport</t>
  </si>
  <si>
    <t>Storex DuraTech Recycled Plastic Frosted Binders</t>
  </si>
  <si>
    <t>Hesperia</t>
  </si>
  <si>
    <t>Brett Ingram</t>
  </si>
  <si>
    <t>Harker Heights</t>
  </si>
  <si>
    <t>Emma Buckley</t>
  </si>
  <si>
    <t>Holmes Replacement Filter for HEPA Air Cleaner, Very Large Room, HEPA Filter</t>
  </si>
  <si>
    <t>Boston 1730 StandUp Electric Pencil Sharpener</t>
  </si>
  <si>
    <t>Erik Barr</t>
  </si>
  <si>
    <t>Xerox 1982</t>
  </si>
  <si>
    <t>Calumet City</t>
  </si>
  <si>
    <t>Tom Hoyle Honeycutt</t>
  </si>
  <si>
    <t>Eldon Cleatmat® Chair Mats for Medium Pile Carpets</t>
  </si>
  <si>
    <t>Warren</t>
  </si>
  <si>
    <t>Bradley Schroeder</t>
  </si>
  <si>
    <t>Fellowes PB300 Plastic Comb Binding Machine</t>
  </si>
  <si>
    <t>Sharon Long</t>
  </si>
  <si>
    <t>Master Giant Foot® Doorstop, Safety Yellow</t>
  </si>
  <si>
    <t>Marietta</t>
  </si>
  <si>
    <t>Lindsay O'Connell</t>
  </si>
  <si>
    <t>Canon BP1200DH 12-Digit Bubble Jet Printing Calculator</t>
  </si>
  <si>
    <t>688</t>
  </si>
  <si>
    <t>Teresa Bishop</t>
  </si>
  <si>
    <t>Staples Surge Protector 6 outlet</t>
  </si>
  <si>
    <t>Bakersfield</t>
  </si>
  <si>
    <t>Eldon Radial Chair Mat for Low to Medium Pile Carpets</t>
  </si>
  <si>
    <t>Bobby Clements</t>
  </si>
  <si>
    <t>Joyce Knox</t>
  </si>
  <si>
    <t>Imation Neon Mac Format Diskettes, 10/Pack</t>
  </si>
  <si>
    <t>Parkersburg</t>
  </si>
  <si>
    <t>Chris Ford</t>
  </si>
  <si>
    <t>Camp Springs</t>
  </si>
  <si>
    <t>Anthony Foley</t>
  </si>
  <si>
    <t>Joyce Kern</t>
  </si>
  <si>
    <t>Xerox 1974</t>
  </si>
  <si>
    <t>Sterling Heights</t>
  </si>
  <si>
    <t>Jenny Hawkins</t>
  </si>
  <si>
    <t>Stevens Point</t>
  </si>
  <si>
    <t>Grace McNeill Hunt</t>
  </si>
  <si>
    <t>Sudbury</t>
  </si>
  <si>
    <t>Quality Park Security Envelopes</t>
  </si>
  <si>
    <t>Beverly Cameron</t>
  </si>
  <si>
    <t>Apex</t>
  </si>
  <si>
    <t>Carolyn Hoffman</t>
  </si>
  <si>
    <t>Honeywell Quietcare HEPA Air Cleaner</t>
  </si>
  <si>
    <t>Xerox 1908</t>
  </si>
  <si>
    <t>Arnold Gay</t>
  </si>
  <si>
    <t>Bush Cubix Collection Bookcases, Fully Assembled</t>
  </si>
  <si>
    <t>Chandler</t>
  </si>
  <si>
    <t>Edward Leonard</t>
  </si>
  <si>
    <t>Avery 49</t>
  </si>
  <si>
    <t>Fresno</t>
  </si>
  <si>
    <t>Renee Alston</t>
  </si>
  <si>
    <t>Pressboard Data Binder, Crimson, 12" X 8 1/2"</t>
  </si>
  <si>
    <t>Drexel Hill</t>
  </si>
  <si>
    <t>8860</t>
  </si>
  <si>
    <t>Geraldine Puckett</t>
  </si>
  <si>
    <t>Deborah Paul</t>
  </si>
  <si>
    <t>West Linn</t>
  </si>
  <si>
    <t>Brother DCP1000 Digital 3 in 1 Multifunction Machine</t>
  </si>
  <si>
    <t>Toni Owens Poe</t>
  </si>
  <si>
    <t>GBC Standard Therm-A-Bind Covers</t>
  </si>
  <si>
    <t>Munster</t>
  </si>
  <si>
    <t>Staples Premium Bright 1-Part Blank Computer Paper</t>
  </si>
  <si>
    <t>Robyn Hayes</t>
  </si>
  <si>
    <t>Sanford 52201 APSCO Electric Pencil Sharpener</t>
  </si>
  <si>
    <t>Brentwood</t>
  </si>
  <si>
    <t>Bob Berg</t>
  </si>
  <si>
    <t>Panasonic KP-310 Heavy-Duty Electric Pencil Sharpener</t>
  </si>
  <si>
    <t>North Miami</t>
  </si>
  <si>
    <t>Stuart C Robinson</t>
  </si>
  <si>
    <t>North Ridgeville</t>
  </si>
  <si>
    <t>Diane Lu</t>
  </si>
  <si>
    <t>Tallahassee</t>
  </si>
  <si>
    <t>Joy Kaplan McNeill</t>
  </si>
  <si>
    <t>Xerox 23</t>
  </si>
  <si>
    <t>Carlsbad</t>
  </si>
  <si>
    <t>Erika Morgan</t>
  </si>
  <si>
    <t>Seymour</t>
  </si>
  <si>
    <t>Marianne Connor</t>
  </si>
  <si>
    <t>Lawrence Hester</t>
  </si>
  <si>
    <t>Xerox 1976</t>
  </si>
  <si>
    <t>Alexander O'Brien</t>
  </si>
  <si>
    <t>Houston</t>
  </si>
  <si>
    <t>Christopher Bryant</t>
  </si>
  <si>
    <t>Rush Hierlooms Collection Rich Wood Bookcases</t>
  </si>
  <si>
    <t>Santa Clara</t>
  </si>
  <si>
    <t>Ruby Gibbons</t>
  </si>
  <si>
    <t>High Speed Automatic Electric Letter Opener</t>
  </si>
  <si>
    <t>Forest Park</t>
  </si>
  <si>
    <t>Benjamin Kaufman</t>
  </si>
  <si>
    <t>Belkin 105-Key Black Keyboard</t>
  </si>
  <si>
    <t>Belchertown</t>
  </si>
  <si>
    <t>Amy Shea</t>
  </si>
  <si>
    <t>Ottumwa</t>
  </si>
  <si>
    <t>Xerox 1891</t>
  </si>
  <si>
    <t>Jeanne Nguyen</t>
  </si>
  <si>
    <t>DAX Wood Document Frame.</t>
  </si>
  <si>
    <t>Fairborn</t>
  </si>
  <si>
    <t>Connie Bunn</t>
  </si>
  <si>
    <t>Marshalltown</t>
  </si>
  <si>
    <t>Daniel Huff</t>
  </si>
  <si>
    <t>West Allis</t>
  </si>
  <si>
    <t>Nu-Dell Executive Frame</t>
  </si>
  <si>
    <t>Alicia Curtis</t>
  </si>
  <si>
    <t>Xerox 200</t>
  </si>
  <si>
    <t>Tacoma</t>
  </si>
  <si>
    <t>Danielle Daniel</t>
  </si>
  <si>
    <t>Malcolm French</t>
  </si>
  <si>
    <t>Acme Kleencut® Forged Steel Scissors</t>
  </si>
  <si>
    <t>Merrimack</t>
  </si>
  <si>
    <t>Tenex Personal Project File with Scoop Front Design, Black</t>
  </si>
  <si>
    <t>Lee Xu</t>
  </si>
  <si>
    <t>Gretchen Best Wilkins</t>
  </si>
  <si>
    <t>Fellowes Smart Design 104-Key Enhanced Keyboard, PS/2 Adapter, Platinum</t>
  </si>
  <si>
    <t>Lynnwood</t>
  </si>
  <si>
    <t>Norman Shields</t>
  </si>
  <si>
    <t>Vacaville</t>
  </si>
  <si>
    <t>Cathy Simon</t>
  </si>
  <si>
    <t>Council Bluffs</t>
  </si>
  <si>
    <t>Epson DFX5000+ Dot Matrix Printer</t>
  </si>
  <si>
    <t>Newell 320</t>
  </si>
  <si>
    <t>Franklin Spencer</t>
  </si>
  <si>
    <t>Adesso Programmable 142-Key Keyboard</t>
  </si>
  <si>
    <t>Emporia</t>
  </si>
  <si>
    <t>Eileen McDonald</t>
  </si>
  <si>
    <t>Sally House</t>
  </si>
  <si>
    <t>Tara Powers Underwood</t>
  </si>
  <si>
    <t>Laurie Moon</t>
  </si>
  <si>
    <t>Ossining</t>
  </si>
  <si>
    <t>Fellowes Mighty 8 Compact Surge Protector</t>
  </si>
  <si>
    <t>Phyllis Little</t>
  </si>
  <si>
    <t>Bartlett</t>
  </si>
  <si>
    <t>Ellen Sparks</t>
  </si>
  <si>
    <t>Accessory21</t>
  </si>
  <si>
    <t>Neenah</t>
  </si>
  <si>
    <t>Patsy Harmon</t>
  </si>
  <si>
    <t>Lufkin</t>
  </si>
  <si>
    <t>Joe D Dean</t>
  </si>
  <si>
    <t>Beverly Roberts</t>
  </si>
  <si>
    <t>Savannah</t>
  </si>
  <si>
    <t>Christopher Norton Patterson</t>
  </si>
  <si>
    <t>Staples SlimLine Pencil Sharpener</t>
  </si>
  <si>
    <t>Macon</t>
  </si>
  <si>
    <t>Robert Cowan</t>
  </si>
  <si>
    <t>Pueblo West</t>
  </si>
  <si>
    <t>Edwin Chung</t>
  </si>
  <si>
    <t>Natick</t>
  </si>
  <si>
    <t>Tiffany Grossman Hardin</t>
  </si>
  <si>
    <t>Sandwich</t>
  </si>
  <si>
    <t>Larry Church</t>
  </si>
  <si>
    <t>Tennsco Industrial Shelving</t>
  </si>
  <si>
    <t>Highland</t>
  </si>
  <si>
    <t>Laurence Cummings</t>
  </si>
  <si>
    <t>Lehigh Acres</t>
  </si>
  <si>
    <t>Gene Gilliam</t>
  </si>
  <si>
    <t>Balt Split Level Computer Training Table</t>
  </si>
  <si>
    <t>Willie Robinson</t>
  </si>
  <si>
    <t>Coram</t>
  </si>
  <si>
    <t>Advantus Map Pennant Flags and Round Head Tacks</t>
  </si>
  <si>
    <t>Novimex Turbo Task Chair</t>
  </si>
  <si>
    <t>Kara Foster</t>
  </si>
  <si>
    <t>Lock-Up Easel 'Spel-Binder'</t>
  </si>
  <si>
    <t>Marion</t>
  </si>
  <si>
    <t>Neil Song</t>
  </si>
  <si>
    <t>Decoflex Hanging Personal Folder File</t>
  </si>
  <si>
    <t>Pflugerville</t>
  </si>
  <si>
    <t>Kimberly Reilly</t>
  </si>
  <si>
    <t>Killeen</t>
  </si>
  <si>
    <t>Ellen Beck</t>
  </si>
  <si>
    <t>Scottsdale</t>
  </si>
  <si>
    <t>Xerox 1964</t>
  </si>
  <si>
    <t>Nina Bowles</t>
  </si>
  <si>
    <t>Bionaire Personal Warm Mist Humidifier/Vaporizer</t>
  </si>
  <si>
    <t>Eldon Expressions Punched Metal &amp; Wood Desk Accessories, Pewter &amp; Cherry</t>
  </si>
  <si>
    <t>David Hoyle</t>
  </si>
  <si>
    <t>Tensor Computer Mounted Lamp</t>
  </si>
  <si>
    <t>Bloomington</t>
  </si>
  <si>
    <t>Gladys Holloway</t>
  </si>
  <si>
    <t>Accessory17</t>
  </si>
  <si>
    <t>Oakland Park</t>
  </si>
  <si>
    <t>DMI Eclipse Executive Suite Bookcases</t>
  </si>
  <si>
    <t>James Nicholson</t>
  </si>
  <si>
    <t>Annandale</t>
  </si>
  <si>
    <t>Joseph Hurst</t>
  </si>
  <si>
    <t>Ibico Presentation Index for Binding Systems</t>
  </si>
  <si>
    <t>Levittown</t>
  </si>
  <si>
    <t>Xerox 207</t>
  </si>
  <si>
    <t>Sara O'Connor</t>
  </si>
  <si>
    <t>Loveland</t>
  </si>
  <si>
    <t>Xerox 1933</t>
  </si>
  <si>
    <t>Tim Connolly</t>
  </si>
  <si>
    <t>Sauder Forest Hills Library, Woodland Oak Finish</t>
  </si>
  <si>
    <t>Inver Grove Heights</t>
  </si>
  <si>
    <t>Talkabout T8367</t>
  </si>
  <si>
    <t>Robert Rollins</t>
  </si>
  <si>
    <t>Microsoft Natural Multimedia Keyboard</t>
  </si>
  <si>
    <t>Newnan</t>
  </si>
  <si>
    <t>Sanford Liquid Accent Highlighters</t>
  </si>
  <si>
    <t>Annette McIntyre</t>
  </si>
  <si>
    <t>Xerox 1936</t>
  </si>
  <si>
    <t>Kennesaw</t>
  </si>
  <si>
    <t>Claudia Webb</t>
  </si>
  <si>
    <t>Iris® 3-Drawer Stacking Bin, Black</t>
  </si>
  <si>
    <t>Indian Trail</t>
  </si>
  <si>
    <t>Sandra Faulkner</t>
  </si>
  <si>
    <t>Holmes Harmony HEPA Air Purifier for 17 x 20 Room</t>
  </si>
  <si>
    <t>Portsmouth</t>
  </si>
  <si>
    <t>Christina Zhu</t>
  </si>
  <si>
    <t>Lumber Crayons</t>
  </si>
  <si>
    <t>Canon P1-DHIII Palm Printing Calculator</t>
  </si>
  <si>
    <t>Jessie Kelly</t>
  </si>
  <si>
    <t>Logitech Access Keyboard</t>
  </si>
  <si>
    <t>Johnny Reid</t>
  </si>
  <si>
    <t>Crown Point</t>
  </si>
  <si>
    <t>Deflect-o EconoMat Nonstudded, No Bevel Mat</t>
  </si>
  <si>
    <t>Xerox 1882</t>
  </si>
  <si>
    <t>Letter/Legal File Tote with Clear Snap-On Lid, Black Granite</t>
  </si>
  <si>
    <t>Executive Impressions 13-1/2" Indoor/Outdoor Wall Clock</t>
  </si>
  <si>
    <t>Marion Owens</t>
  </si>
  <si>
    <t>Bethlehem</t>
  </si>
  <si>
    <t>Marvin MacDonald</t>
  </si>
  <si>
    <t>Recycled Desk Saver Line "While You Were Out" Book, 5 1/2" X 4"</t>
  </si>
  <si>
    <t>Sara Faulkner</t>
  </si>
  <si>
    <t>Avery 487</t>
  </si>
  <si>
    <t>Calexico</t>
  </si>
  <si>
    <t>Carlos Hanson</t>
  </si>
  <si>
    <t>Executive Impressions 8-1/2" Career Panel/Partition Cubicle Clock</t>
  </si>
  <si>
    <t>Rapid City</t>
  </si>
  <si>
    <t>Xerox 1962</t>
  </si>
  <si>
    <t>Cheryl Guthrie</t>
  </si>
  <si>
    <t>Dean Solomon</t>
  </si>
  <si>
    <t>Gastonia</t>
  </si>
  <si>
    <t>Grace Black</t>
  </si>
  <si>
    <t>North Miami Beach</t>
  </si>
  <si>
    <t>StarTAC Analog</t>
  </si>
  <si>
    <t>Wilson Jones DublLock® D-Ring Binders</t>
  </si>
  <si>
    <t>Janet Zhang</t>
  </si>
  <si>
    <t>Apple Valley</t>
  </si>
  <si>
    <t>Mitchell Goldberg</t>
  </si>
  <si>
    <t>Accessory9</t>
  </si>
  <si>
    <t>7160</t>
  </si>
  <si>
    <t>Marguerite Rodgers</t>
  </si>
  <si>
    <t>SANFORD Major Accent™ Highlighters</t>
  </si>
  <si>
    <t>Commack</t>
  </si>
  <si>
    <t>HP Office Recycled Paper (20Lb. and 87 Bright)</t>
  </si>
  <si>
    <t>Eva Simpson</t>
  </si>
  <si>
    <t>Eldon® Expressions™ Wood Desk Accessories, Oak</t>
  </si>
  <si>
    <t>Carrollton</t>
  </si>
  <si>
    <t>Marvin Reid</t>
  </si>
  <si>
    <t>Faye Silver</t>
  </si>
  <si>
    <t>Xerox 220</t>
  </si>
  <si>
    <t>Crofton</t>
  </si>
  <si>
    <t>Milton Harrell</t>
  </si>
  <si>
    <t>Rotterdam</t>
  </si>
  <si>
    <t>Alvin Mullins</t>
  </si>
  <si>
    <t>Dana Rankin</t>
  </si>
  <si>
    <t>Microsoft Natural Keyboard Elite</t>
  </si>
  <si>
    <t>Twin Falls</t>
  </si>
  <si>
    <t>Wilson Jones® Four-Pocket Poly Binders</t>
  </si>
  <si>
    <t>Sam Rouse</t>
  </si>
  <si>
    <t>Accessory6</t>
  </si>
  <si>
    <t>Adam Saunders Gray</t>
  </si>
  <si>
    <t>Acco Pressboard Covers with Storage Hooks, 14 7/8" x 11", Light Blue</t>
  </si>
  <si>
    <t>Colorado Springs</t>
  </si>
  <si>
    <t>Clifford Webb</t>
  </si>
  <si>
    <t>Townsend</t>
  </si>
  <si>
    <t>Hazel Dale</t>
  </si>
  <si>
    <t>Accessory36</t>
  </si>
  <si>
    <t>Claudia White</t>
  </si>
  <si>
    <t>Novimex Fabric Task Chair</t>
  </si>
  <si>
    <t>Gallatin</t>
  </si>
  <si>
    <t>Jenny Petty</t>
  </si>
  <si>
    <t>Xerox 212</t>
  </si>
  <si>
    <t>Manchester</t>
  </si>
  <si>
    <t>Terry Klein</t>
  </si>
  <si>
    <t>Rutland</t>
  </si>
  <si>
    <t>Michelle Steele</t>
  </si>
  <si>
    <t>Enterprise</t>
  </si>
  <si>
    <t>Wanda Harris</t>
  </si>
  <si>
    <t>Hudson</t>
  </si>
  <si>
    <t>Catalog Binders with Expanding Posts</t>
  </si>
  <si>
    <t>Claire Warren</t>
  </si>
  <si>
    <t>Holmes Replacement Filter for HEPA Air Cleaner, Medium Room</t>
  </si>
  <si>
    <t>New London</t>
  </si>
  <si>
    <t>Brad H Blake</t>
  </si>
  <si>
    <t>Letter Size Cart</t>
  </si>
  <si>
    <t>Gainesville</t>
  </si>
  <si>
    <t>Samantha Weaver</t>
  </si>
  <si>
    <t>Overland Park</t>
  </si>
  <si>
    <t>Leroy Blanchard</t>
  </si>
  <si>
    <t>Pat Baker</t>
  </si>
  <si>
    <t>Kensington 6 Outlet MasterPiece® HOMEOFFICE Power Control Center</t>
  </si>
  <si>
    <t>Lakewood</t>
  </si>
  <si>
    <t>Colleen Andrews</t>
  </si>
  <si>
    <t>Global Push Button Manager's Chair, Indigo</t>
  </si>
  <si>
    <t>Mint Hill</t>
  </si>
  <si>
    <t>Francis I Davis</t>
  </si>
  <si>
    <t>Milwaukee</t>
  </si>
  <si>
    <t>Luis Kerr</t>
  </si>
  <si>
    <t>Atlantic Metals Mobile 5-Shelf Bookcases, Custom Colors</t>
  </si>
  <si>
    <t>Yucaipa</t>
  </si>
  <si>
    <t>Epson DFX-8500 Dot Matrix Printer</t>
  </si>
  <si>
    <t>Advantus 10-Drawer Portable Organizer, Chrome Metal Frame, Smoke Drawers</t>
  </si>
  <si>
    <t>Kathryn Wolfe</t>
  </si>
  <si>
    <t>GBC Plastic Binding Combs</t>
  </si>
  <si>
    <t>Plainview</t>
  </si>
  <si>
    <t>Arthur Lowe Nash</t>
  </si>
  <si>
    <t>Potomac</t>
  </si>
  <si>
    <t>Francis Evans</t>
  </si>
  <si>
    <t>Hoover Replacement Belt for Commercial Guardsman Heavy-Duty Upright Vacuum</t>
  </si>
  <si>
    <t>Hannah Tyson</t>
  </si>
  <si>
    <t>Avery® 3 1/2" Diskette Storage Pages, 10/Pack</t>
  </si>
  <si>
    <t>Paragould</t>
  </si>
  <si>
    <t>Wayne Bass</t>
  </si>
  <si>
    <t>Accessory31</t>
  </si>
  <si>
    <t>Joan Bowers</t>
  </si>
  <si>
    <t>York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</si>
  <si>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</si>
  <si>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</si>
  <si>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</si>
  <si>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</si>
  <si>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</si>
  <si>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Kenneth Capps</t>
  </si>
  <si>
    <t>Howard Miller 16" Diameter Gallery Wall Clock</t>
  </si>
  <si>
    <t>Melbourne</t>
  </si>
  <si>
    <t>Natalie Aldridge</t>
  </si>
  <si>
    <t>Merritt Island</t>
  </si>
  <si>
    <t>Florence Gold</t>
  </si>
  <si>
    <t>Eldon Expressions Punched Metal &amp; Wood Desk Accessories, Black &amp; Cherry</t>
  </si>
  <si>
    <t>Fairmont</t>
  </si>
  <si>
    <t>Nina Horne Kelly</t>
  </si>
  <si>
    <t>Christopher Meadows</t>
  </si>
  <si>
    <t>Harrison</t>
  </si>
  <si>
    <t>Penny Leach</t>
  </si>
  <si>
    <t>Hackensack</t>
  </si>
  <si>
    <t>Gina Curry</t>
  </si>
  <si>
    <t>Iselin</t>
  </si>
  <si>
    <t>Juan Justice</t>
  </si>
  <si>
    <t>Saint Paul</t>
  </si>
  <si>
    <t>Sauder Facets Collection Locker/File Cabinet, Sky Alder Finish</t>
  </si>
  <si>
    <t>Lois Hansen</t>
  </si>
  <si>
    <t>G.E. Halogen Desk Lamp Bulbs</t>
  </si>
  <si>
    <t>Henry O'Connell</t>
  </si>
  <si>
    <t>Leander</t>
  </si>
  <si>
    <t>Steve Raynor</t>
  </si>
  <si>
    <t>Taylors</t>
  </si>
  <si>
    <t>Gretchen Levine</t>
  </si>
  <si>
    <t>Chromcraft 48" x 96" Racetrack Double Pedestal Table</t>
  </si>
  <si>
    <t>Lima</t>
  </si>
  <si>
    <t>Allan Dickinson</t>
  </si>
  <si>
    <t>Van Buren</t>
  </si>
  <si>
    <t>Ruth Dudley</t>
  </si>
  <si>
    <t>Advantus Push Pins</t>
  </si>
  <si>
    <t>Calvin Conway</t>
  </si>
  <si>
    <t>Old Bridge</t>
  </si>
  <si>
    <t>Julia Reynolds</t>
  </si>
  <si>
    <t>Arvada</t>
  </si>
  <si>
    <t>Kelly Sawyer</t>
  </si>
  <si>
    <t>Lafayette</t>
  </si>
  <si>
    <t>June Roberts</t>
  </si>
  <si>
    <t>Martin-Yale Premier Letter Opener</t>
  </si>
  <si>
    <t>Gerald Petty</t>
  </si>
  <si>
    <t>600 Series Non-Flip</t>
  </si>
  <si>
    <t>Lancaster</t>
  </si>
  <si>
    <t>Fellowes Officeware™ Wire Shelving</t>
  </si>
  <si>
    <t>Maurice Kelly</t>
  </si>
  <si>
    <t>Lakeland</t>
  </si>
  <si>
    <t>Stephanie Hawkins</t>
  </si>
  <si>
    <t>Greenfield</t>
  </si>
  <si>
    <t>Marian Willis</t>
  </si>
  <si>
    <t>La Vista</t>
  </si>
  <si>
    <t>Caroline Johnston</t>
  </si>
  <si>
    <t>Lois Hamilton</t>
  </si>
  <si>
    <t>Dover</t>
  </si>
  <si>
    <t>Jason Bray</t>
  </si>
  <si>
    <t>Mission Viejo</t>
  </si>
  <si>
    <t>Kerry Wilkerson</t>
  </si>
  <si>
    <t>Ted Crowder</t>
  </si>
  <si>
    <t>Micro Innovations Media Access Pro Keyboard</t>
  </si>
  <si>
    <t>James Beck</t>
  </si>
  <si>
    <t>Flagstaff</t>
  </si>
  <si>
    <t>Eldon Executive Woodline II Cherry Finish Desk Accessories</t>
  </si>
  <si>
    <t>Eleanor Swain</t>
  </si>
  <si>
    <t>Keytronic Designer 104- Key Black Keyboard</t>
  </si>
  <si>
    <t>Seth Merrill</t>
  </si>
  <si>
    <t>Executive Impressions 12" Wall Clock</t>
  </si>
  <si>
    <t>Charles Ward</t>
  </si>
  <si>
    <t>g520</t>
  </si>
  <si>
    <t>Moreno Valley</t>
  </si>
  <si>
    <t>Gene Heath Cross</t>
  </si>
  <si>
    <t>Belkin MediaBoard 104- Keyboard</t>
  </si>
  <si>
    <t>Jamestown</t>
  </si>
  <si>
    <t>Fellowes Strictly Business® Drawer File, Letter/Legal Size</t>
  </si>
  <si>
    <t>Evan Kelley</t>
  </si>
  <si>
    <t>Garden City</t>
  </si>
  <si>
    <t>Max Hubbard</t>
  </si>
  <si>
    <t>Avery 485</t>
  </si>
  <si>
    <t>Winter Park</t>
  </si>
  <si>
    <t>Helen Ferguson</t>
  </si>
  <si>
    <t>Winter Springs</t>
  </si>
  <si>
    <t>Timothy Reese</t>
  </si>
  <si>
    <t>Grip Seal Envelopes</t>
  </si>
  <si>
    <t>Smithtown</t>
  </si>
  <si>
    <t>Diana Coble Hubbard</t>
  </si>
  <si>
    <t>Grand Prairie</t>
  </si>
  <si>
    <t>Benjamin Lam</t>
  </si>
  <si>
    <t>Prang Colored Pencils</t>
  </si>
  <si>
    <t>Xerox 1932</t>
  </si>
  <si>
    <t>Wayne Lutz</t>
  </si>
  <si>
    <t>TDK 4.7GB DVD-R Spindle, 15/Pack</t>
  </si>
  <si>
    <t>Hopkinton</t>
  </si>
  <si>
    <t>Meredith Humphrey</t>
  </si>
  <si>
    <t>Jet-Pak Recycled Peel 'N' Seal Padded Mailers</t>
  </si>
  <si>
    <t>Cary</t>
  </si>
  <si>
    <t>Personal Creations™ Ink Jet Cards and Labels</t>
  </si>
  <si>
    <t>Aluminum Document Frame</t>
  </si>
  <si>
    <t>Karen Warren</t>
  </si>
  <si>
    <t>Fridley</t>
  </si>
  <si>
    <t>Marcia Greenberg</t>
  </si>
  <si>
    <t>Hon Metal Bookcases, Black</t>
  </si>
  <si>
    <t>Bullhead City</t>
  </si>
  <si>
    <t>Shawn Stern</t>
  </si>
  <si>
    <t>Acme® Office Executive Series Stainless Steel Trimmers</t>
  </si>
  <si>
    <t>Tysons Corner</t>
  </si>
  <si>
    <t>Glenda Herbert</t>
  </si>
  <si>
    <t>Huntington Beach</t>
  </si>
  <si>
    <t>Gary Hester</t>
  </si>
  <si>
    <t>Flower Mound</t>
  </si>
  <si>
    <t>Sandy Hunt</t>
  </si>
  <si>
    <t>Altamonte Springs</t>
  </si>
  <si>
    <t>Kara Patton</t>
  </si>
  <si>
    <t>Carpentersville</t>
  </si>
  <si>
    <t>Gordon Walker</t>
  </si>
  <si>
    <t>Cabot</t>
  </si>
  <si>
    <t>Dwight M Carr</t>
  </si>
  <si>
    <t>Fuji Slim Jewel Case CD-R</t>
  </si>
  <si>
    <t>Mcminnville</t>
  </si>
  <si>
    <t>Annie Sherrill</t>
  </si>
  <si>
    <t>5185</t>
  </si>
  <si>
    <t>Odessa</t>
  </si>
  <si>
    <t>Joanne Church</t>
  </si>
  <si>
    <t>La Mesa</t>
  </si>
  <si>
    <t>StarTAC ST7762</t>
  </si>
  <si>
    <t>Katherine W Epstein</t>
  </si>
  <si>
    <t>Hewlett-Packard Deskjet 3820 Color Inkjet Printer</t>
  </si>
  <si>
    <t>Jackson</t>
  </si>
  <si>
    <t>Vanessa Day</t>
  </si>
  <si>
    <t>Collierville</t>
  </si>
  <si>
    <t>DAX Solid Wood Frames</t>
  </si>
  <si>
    <t>Frank Hess</t>
  </si>
  <si>
    <t>Waldorf</t>
  </si>
  <si>
    <t>Tyvek ® Top-Opening Peel &amp; Seel ® Envelopes, Gray</t>
  </si>
  <si>
    <t>DAX Value U-Channel Document Frames, Easel Back</t>
  </si>
  <si>
    <t>Staples Metal Binder Clips</t>
  </si>
  <si>
    <t>Sidney Bowling</t>
  </si>
  <si>
    <t>Omaha</t>
  </si>
  <si>
    <t>Timothy Ross</t>
  </si>
  <si>
    <t>Kim McCarthy</t>
  </si>
  <si>
    <t>Fiskars® Softgrip Scissors</t>
  </si>
  <si>
    <t>Oak Park</t>
  </si>
  <si>
    <t>Jacob Murray</t>
  </si>
  <si>
    <t>DAX Cubicle Frames - 8x10</t>
  </si>
  <si>
    <t>Medina</t>
  </si>
  <si>
    <t>Carrie High</t>
  </si>
  <si>
    <t>Troy Moon</t>
  </si>
  <si>
    <t>Oakland</t>
  </si>
  <si>
    <t>Regina Langley</t>
  </si>
  <si>
    <t>Hunt BOSTON® Vista® Battery-Operated Pencil Sharpener, Black</t>
  </si>
  <si>
    <t>Martinez</t>
  </si>
  <si>
    <t>Melvin Duke</t>
  </si>
  <si>
    <t>Frankfort</t>
  </si>
  <si>
    <t>Judy Barrett</t>
  </si>
  <si>
    <t>14-7/8 x 11 Blue Bar Computer Printout Paper</t>
  </si>
  <si>
    <t>Kerry Jernigan</t>
  </si>
  <si>
    <t>Steel Personal Filing/Posting Tote</t>
  </si>
  <si>
    <t>Rancho Cucamonga</t>
  </si>
  <si>
    <t>Tracy Livingston</t>
  </si>
  <si>
    <t>Redding</t>
  </si>
  <si>
    <t>Fellowes Twister Kit, Gray/Clear, 3/pkg</t>
  </si>
  <si>
    <t>Helen Lyons</t>
  </si>
  <si>
    <t>Epson C82 Color Inkjet Printer</t>
  </si>
  <si>
    <t>Prescott Valley</t>
  </si>
  <si>
    <t>Sean Pugh</t>
  </si>
  <si>
    <t>Sunrise</t>
  </si>
  <si>
    <t>Christina Matthews</t>
  </si>
  <si>
    <t>Advantus Panel Wall Certificate Holder - 8.5x11</t>
  </si>
  <si>
    <t>Sherri Kramer</t>
  </si>
  <si>
    <t>Imation Neon 80 Minute CD-R Spindle, 50/Pack</t>
  </si>
  <si>
    <t>Janice Boswell</t>
  </si>
  <si>
    <t>Port Orange</t>
  </si>
  <si>
    <t>Sally Liu</t>
  </si>
  <si>
    <t>Microsoft Multimedia Keyboard</t>
  </si>
  <si>
    <t>New Berlin</t>
  </si>
  <si>
    <t>Alvin Hoover</t>
  </si>
  <si>
    <t>State College</t>
  </si>
  <si>
    <t>Albert Maxwell</t>
  </si>
  <si>
    <t>New Milford</t>
  </si>
  <si>
    <t>Faye Dyer</t>
  </si>
  <si>
    <t>Bradley Pollock</t>
  </si>
  <si>
    <t>Acco Keyboard-In-A-Box®</t>
  </si>
  <si>
    <t>Goffstown</t>
  </si>
  <si>
    <t>Zachary Maynard</t>
  </si>
  <si>
    <t>Blacksburg</t>
  </si>
  <si>
    <t>Xerox 1922</t>
  </si>
  <si>
    <t>Thelma Murray</t>
  </si>
  <si>
    <t>Grove City</t>
  </si>
  <si>
    <t>Tripp Lite Isotel 8 Ultra 8 Outlet Metal Surge</t>
  </si>
  <si>
    <t>GBC Clear Cover, 8-1/2 x 11, unpunched, 25 covers per pack</t>
  </si>
  <si>
    <t>Ian Hall</t>
  </si>
  <si>
    <t>Dearborn</t>
  </si>
  <si>
    <t>3M Polarizing Light Filter Sleeves</t>
  </si>
  <si>
    <t>Jon Kendall</t>
  </si>
  <si>
    <t>Ann Katz</t>
  </si>
  <si>
    <t>Wilson Jones Suede Grain Vinyl Binders</t>
  </si>
  <si>
    <t>Mildred Chase</t>
  </si>
  <si>
    <t>Woodland</t>
  </si>
  <si>
    <t>Jackie Burke</t>
  </si>
  <si>
    <t>Carol City</t>
  </si>
  <si>
    <t>Dana Teague</t>
  </si>
  <si>
    <t>Oscar Bowers</t>
  </si>
  <si>
    <t>Space Solutions™ Industrial Galvanized Steel Shelving.</t>
  </si>
  <si>
    <t>Smead Adjustable Mobile File Trolley with Lockable Top</t>
  </si>
  <si>
    <t>Sylvia Bush</t>
  </si>
  <si>
    <t>3M Office Air Cleaner</t>
  </si>
  <si>
    <t>Batavia</t>
  </si>
  <si>
    <t>James Dickinson Ball</t>
  </si>
  <si>
    <t>Carol Saunders</t>
  </si>
  <si>
    <t>Bowling Green</t>
  </si>
  <si>
    <t>Office Star - Contemporary Task Swivel chair with 2-way adjustable arms, Plum</t>
  </si>
  <si>
    <t>Hammermill Color Copier Paper (28Lb. and 96 Bright)</t>
  </si>
  <si>
    <t>Xerox 1937</t>
  </si>
  <si>
    <t>Sean Burton</t>
  </si>
  <si>
    <t>Saginaw</t>
  </si>
  <si>
    <t>Kate Peck</t>
  </si>
  <si>
    <t>Gould Plastics 9-Pocket Panel Bin, 18-3/8w x 5-1/4d x 20-1/2h, Black</t>
  </si>
  <si>
    <t>Bettendorf</t>
  </si>
  <si>
    <t>Bush Westfield Collection Bookcases, Dark Cherry Finish, Fully Assembled</t>
  </si>
  <si>
    <t>Patsy Shea</t>
  </si>
  <si>
    <t>Gyration Ultra Professional Cordless Optical Suite</t>
  </si>
  <si>
    <t>Tracy Dyer</t>
  </si>
  <si>
    <t>Ultra Commercial Grade Dual Valve Door Closer</t>
  </si>
  <si>
    <t>Mount Pleasant</t>
  </si>
  <si>
    <t>Gyration RF Keyboard</t>
  </si>
  <si>
    <t>Dwight Albright Huffman</t>
  </si>
  <si>
    <t>Herbert Williamson</t>
  </si>
  <si>
    <t>San Gabriel</t>
  </si>
  <si>
    <t>Stacy Chang</t>
  </si>
  <si>
    <t>Catonsville</t>
  </si>
  <si>
    <t>Eldon Cleatmat Plus™ Chair Mats for High Pile Carpets</t>
  </si>
  <si>
    <t>William Crawford</t>
  </si>
  <si>
    <t>OIC Colored Binder Clips, Assorted Sizes</t>
  </si>
  <si>
    <t>Garland</t>
  </si>
  <si>
    <t>Edna Freeman</t>
  </si>
  <si>
    <t>Xerox 1905</t>
  </si>
  <si>
    <t>Virginia Beach</t>
  </si>
  <si>
    <t>Eva Decker</t>
  </si>
  <si>
    <t>GBC ProClick™ 150 Presentation Binding System</t>
  </si>
  <si>
    <t>La Grange</t>
  </si>
  <si>
    <t>Keith Hobbs</t>
  </si>
  <si>
    <t>Colored Envelopes</t>
  </si>
  <si>
    <t>Jack Hatcher</t>
  </si>
  <si>
    <t>Hon Pagoda™ Stacking Chairs</t>
  </si>
  <si>
    <t>StarTAC 6500</t>
  </si>
  <si>
    <t>Debbie Hsu</t>
  </si>
  <si>
    <t>Randall Montgomery</t>
  </si>
  <si>
    <t>Tonawanda</t>
  </si>
  <si>
    <t>Gilbert Scarborough</t>
  </si>
  <si>
    <t>Xerox Blank Computer Paper</t>
  </si>
  <si>
    <t>Fountain</t>
  </si>
  <si>
    <t>Amy Ellis Holder</t>
  </si>
  <si>
    <t>Grand Junction</t>
  </si>
  <si>
    <t>Lynn Payne</t>
  </si>
  <si>
    <t>Rose Hill</t>
  </si>
  <si>
    <t>William Woodard</t>
  </si>
  <si>
    <t>Kendall</t>
  </si>
  <si>
    <t>Peter Adams</t>
  </si>
  <si>
    <t>Kathy Hinton</t>
  </si>
  <si>
    <t>Jill Clements</t>
  </si>
  <si>
    <t>Xerox 1951</t>
  </si>
  <si>
    <t>Boston KS Multi-Size Manual Pencil Sharpener</t>
  </si>
  <si>
    <t>Martha Bowers</t>
  </si>
  <si>
    <t>Whitehall</t>
  </si>
  <si>
    <t>Scott McKenna</t>
  </si>
  <si>
    <t>Steubenville</t>
  </si>
  <si>
    <t>Staples Vinyl Coated Paper Clips</t>
  </si>
  <si>
    <t>Phyllis Hull</t>
  </si>
  <si>
    <t>Xerox 1880</t>
  </si>
  <si>
    <t>Laurie Case Daniel</t>
  </si>
  <si>
    <t>Stoneham</t>
  </si>
  <si>
    <t>Emily Sims</t>
  </si>
  <si>
    <t>Newell® 3-Hole Punched Plastic Slotted Magazine Holders for Binders</t>
  </si>
  <si>
    <t>Nashville</t>
  </si>
  <si>
    <t>Wirebound Message Book, 4 per Page</t>
  </si>
  <si>
    <t>Edward McKenzie</t>
  </si>
  <si>
    <t>Decoflex Hanging Personal Folder File, Blue</t>
  </si>
  <si>
    <t>Evan Adkins</t>
  </si>
  <si>
    <t>Waterbury</t>
  </si>
  <si>
    <t>Arnold Johnson</t>
  </si>
  <si>
    <t>Acco Perma® 2700 Stacking Storage Drawers</t>
  </si>
  <si>
    <t>Rachel Bates</t>
  </si>
  <si>
    <t>*Staples* Packaging Labels</t>
  </si>
  <si>
    <t>Vickie Coates</t>
  </si>
  <si>
    <t>Cedar Park</t>
  </si>
  <si>
    <t>Global Ergonomic Managers Chair</t>
  </si>
  <si>
    <t>Xerox 1954</t>
  </si>
  <si>
    <t>Kelly O'Connor</t>
  </si>
  <si>
    <t>Santa Rosa</t>
  </si>
  <si>
    <t>Sherri McIntosh</t>
  </si>
  <si>
    <t>Avery 507</t>
  </si>
  <si>
    <t>West Jordan</t>
  </si>
  <si>
    <t>Ryan Foster</t>
  </si>
  <si>
    <t>Letter Slitter</t>
  </si>
  <si>
    <t>Diane Barr</t>
  </si>
  <si>
    <t>DIXON Ticonderoga® Erasable Checking Pencils</t>
  </si>
  <si>
    <t>Coos Bay</t>
  </si>
  <si>
    <t>Southworth 25% Cotton Linen-Finish Paper &amp; Envelopes</t>
  </si>
  <si>
    <t>Leon Peele</t>
  </si>
  <si>
    <t>GBC Laser Imprintable Binding System Covers, Desert Sand</t>
  </si>
  <si>
    <t>Dix Hills</t>
  </si>
  <si>
    <t>Carolyn Bowling</t>
  </si>
  <si>
    <t>Imation DVD-RAM discs</t>
  </si>
  <si>
    <t>Carolyn Greer</t>
  </si>
  <si>
    <t>Sunnyvale</t>
  </si>
  <si>
    <t>Yvonne Stephens</t>
  </si>
  <si>
    <t>Davis</t>
  </si>
  <si>
    <t>Global Troy™ Executive Leather Low-Back Tilter</t>
  </si>
  <si>
    <t>DAX Copper Panel Document Frame, 5 x 7 Size</t>
  </si>
  <si>
    <t>Deflect-O® Glasstique™ Clear Desk Accessories</t>
  </si>
  <si>
    <t>Rosemary O'Brien</t>
  </si>
  <si>
    <t>June Herbert</t>
  </si>
  <si>
    <t>Melanie Burgess</t>
  </si>
  <si>
    <t>Webster Groves</t>
  </si>
  <si>
    <t>Maria Block</t>
  </si>
  <si>
    <t>Lisa Branch</t>
  </si>
  <si>
    <t>Grand Rapids</t>
  </si>
  <si>
    <t>Geoffrey Saunders</t>
  </si>
  <si>
    <t>Sue Drake</t>
  </si>
  <si>
    <t>Searcy</t>
  </si>
  <si>
    <t>Stuart Holloway</t>
  </si>
  <si>
    <t>Vancouver</t>
  </si>
  <si>
    <t>Alicia Maynard</t>
  </si>
  <si>
    <t>Kyle Kaufman</t>
  </si>
  <si>
    <t>Euclid</t>
  </si>
  <si>
    <t>Tammy Raynor</t>
  </si>
  <si>
    <t>Honeywell Enviracaire Portable HEPA Air Cleaner for 17' x 22' Room</t>
  </si>
  <si>
    <t>Xerox 1941</t>
  </si>
  <si>
    <t>Annie Livingston</t>
  </si>
  <si>
    <t>Rochester</t>
  </si>
  <si>
    <t>Xerox 1917</t>
  </si>
  <si>
    <t>Hannah Carver</t>
  </si>
  <si>
    <t>Grand Forks</t>
  </si>
  <si>
    <t>Jeffrey Cheng</t>
  </si>
  <si>
    <t>Wauwatosa</t>
  </si>
  <si>
    <t>Eldon Spacemaker® Box, Quick-Snap Lid, Clear</t>
  </si>
  <si>
    <t>Billy Perry Browning</t>
  </si>
  <si>
    <t>Ken Cash</t>
  </si>
  <si>
    <t>Pawtucket</t>
  </si>
  <si>
    <t>Elsie Hwang</t>
  </si>
  <si>
    <t>Patrick Lowry</t>
  </si>
  <si>
    <t>Edgewood</t>
  </si>
  <si>
    <t>Accessory25</t>
  </si>
  <si>
    <t>Sarah N Becker</t>
  </si>
  <si>
    <t>Home/Office Personal File Carts</t>
  </si>
  <si>
    <t>Whittier</t>
  </si>
  <si>
    <t>Marianne Goldstein</t>
  </si>
  <si>
    <t>New Smyrna Beach</t>
  </si>
  <si>
    <t>Jeffrey Lloyd</t>
  </si>
  <si>
    <t>Bevis Steel Folding Chairs</t>
  </si>
  <si>
    <t>Brett Schultz</t>
  </si>
  <si>
    <t>Park Ridge™ Embossed Executive Business Envelopes</t>
  </si>
  <si>
    <t>Acco PRESSTEX® Data Binder with Storage Hooks, Dark Blue, 14 7/8" X 11"</t>
  </si>
  <si>
    <t>1/4 Fold Party Design Invitations &amp; White Envelopes, 24 8-1/2" X 11" Cards, 25 Env./Pack</t>
  </si>
  <si>
    <t>Brooke Shepherd</t>
  </si>
  <si>
    <t>Santa Cruz</t>
  </si>
  <si>
    <t>KH 688</t>
  </si>
  <si>
    <t>Bagged Rubber Bands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</si>
  <si>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</si>
  <si>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</si>
  <si>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</si>
  <si>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</si>
  <si>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</si>
  <si>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</si>
  <si>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Juan Gold</t>
  </si>
  <si>
    <t>Pensacola</t>
  </si>
  <si>
    <t>Vivian Clarke</t>
  </si>
  <si>
    <t>Vivian Goldstein</t>
  </si>
  <si>
    <t>Brandon</t>
  </si>
  <si>
    <t>Max Hurley</t>
  </si>
  <si>
    <t>North Las Vegas</t>
  </si>
  <si>
    <t>Sanford Pocket Accent® Highlighters</t>
  </si>
  <si>
    <t>Tina Monroe</t>
  </si>
  <si>
    <t>Fellowes Binding Cases</t>
  </si>
  <si>
    <t>Sandy Springs</t>
  </si>
  <si>
    <t>Erika Clapp</t>
  </si>
  <si>
    <t>Chattanooga</t>
  </si>
  <si>
    <t>Christina Hanna</t>
  </si>
  <si>
    <t>Eldon Pizzaz™ Desk Accessories</t>
  </si>
  <si>
    <t>Danielle Watts</t>
  </si>
  <si>
    <t>Sidney Brewer</t>
  </si>
  <si>
    <t>Immokalee</t>
  </si>
  <si>
    <t>David Powell</t>
  </si>
  <si>
    <t>Cranford</t>
  </si>
  <si>
    <t>Renee McKenzie</t>
  </si>
  <si>
    <t>Upper Arlington</t>
  </si>
  <si>
    <t>Avery 506</t>
  </si>
  <si>
    <t>Calvin Parsons Walter</t>
  </si>
  <si>
    <t>San Juan</t>
  </si>
  <si>
    <t>Kent Gill</t>
  </si>
  <si>
    <t>Opelika</t>
  </si>
  <si>
    <t>Balt Solid Wood Rectangular Table</t>
  </si>
  <si>
    <t>Rick Houston</t>
  </si>
  <si>
    <t>Atascadero</t>
  </si>
  <si>
    <t>Guy Gallagher</t>
  </si>
  <si>
    <t>Carmen Elmore</t>
  </si>
  <si>
    <t>Executive Impressions 13" Chairman Wall Clock</t>
  </si>
  <si>
    <t>Recycled Eldon Regeneration Jumbo File</t>
  </si>
  <si>
    <t>Esther Whitaker</t>
  </si>
  <si>
    <t>Staples Colored Interoffice Envelopes</t>
  </si>
  <si>
    <t>Electrix Fluorescent Magnifier Lamps &amp; Weighted Base</t>
  </si>
  <si>
    <t>Eddie House Mueller</t>
  </si>
  <si>
    <t>Max McKenna</t>
  </si>
  <si>
    <t>Manhattan</t>
  </si>
  <si>
    <t>Roberta Daniel</t>
  </si>
  <si>
    <t>Alamogordo</t>
  </si>
  <si>
    <t>Curtis O'Connell</t>
  </si>
  <si>
    <t>Medford</t>
  </si>
  <si>
    <t>Jacqueline Noble</t>
  </si>
  <si>
    <t>Avery Hi-Liter GlideStik Fluorescent Highlighter, Yellow Ink</t>
  </si>
  <si>
    <t>Rosemary English</t>
  </si>
  <si>
    <t>Portland</t>
  </si>
  <si>
    <t>Ryan Herman</t>
  </si>
  <si>
    <t>Joanne Chu</t>
  </si>
  <si>
    <t>Baldwin</t>
  </si>
  <si>
    <t>Marlene Gray</t>
  </si>
  <si>
    <t>Avery 496</t>
  </si>
  <si>
    <t>Clifton</t>
  </si>
  <si>
    <t>Lloyd Cannon</t>
  </si>
  <si>
    <t>Carolyn Proctor</t>
  </si>
  <si>
    <t>Jackie McCullough</t>
  </si>
  <si>
    <t>Micro Innovations 104 Keyboard</t>
  </si>
  <si>
    <t>Jacksonville</t>
  </si>
  <si>
    <t>Richard Tan</t>
  </si>
  <si>
    <t>Eagle</t>
  </si>
  <si>
    <t>2190</t>
  </si>
  <si>
    <t>Ralph Woods Scott</t>
  </si>
  <si>
    <t>Avery Binding System Hidden Tab™ Executive Style Index Sets</t>
  </si>
  <si>
    <t>Creve Coeur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</si>
  <si>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</si>
  <si>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</si>
  <si>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</si>
  <si>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</si>
  <si>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</si>
  <si>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Mildred Briggs</t>
  </si>
  <si>
    <t>GBC Therma-A-Bind 250T Electric Binding System</t>
  </si>
  <si>
    <t>Kimberly McCarthy</t>
  </si>
  <si>
    <t>Sidney Larson</t>
  </si>
  <si>
    <t>South Portland</t>
  </si>
  <si>
    <t>Marianne Weiner Ennis</t>
  </si>
  <si>
    <t>Littleton</t>
  </si>
  <si>
    <t>Betsy Gibson</t>
  </si>
  <si>
    <t>Wesley Cho</t>
  </si>
  <si>
    <t>Richmond</t>
  </si>
  <si>
    <t>Lynda Rosenthal</t>
  </si>
  <si>
    <t>Eldon Jumbo ProFile™ Portable File Boxes Graphite/Black</t>
  </si>
  <si>
    <t>Vickie Gonzalez</t>
  </si>
  <si>
    <t>Broomfield</t>
  </si>
  <si>
    <t>Renee Huang</t>
  </si>
  <si>
    <t>Coral Springs</t>
  </si>
  <si>
    <t>Linda Blake</t>
  </si>
  <si>
    <t>Hilliard</t>
  </si>
  <si>
    <t>Leonard Strauss</t>
  </si>
  <si>
    <t>Wirebound Voice Message Log Book</t>
  </si>
  <si>
    <t>Earl Donnelly</t>
  </si>
  <si>
    <t>Slidell</t>
  </si>
  <si>
    <t>Constance Robertson</t>
  </si>
  <si>
    <t>Tampa</t>
  </si>
  <si>
    <t>Lynne Reid</t>
  </si>
  <si>
    <t>Strongsville</t>
  </si>
  <si>
    <t>Joanne Spivey</t>
  </si>
  <si>
    <t>Brown Kraft Recycled Envelopes</t>
  </si>
  <si>
    <t>Independence</t>
  </si>
  <si>
    <t>Frank Cross</t>
  </si>
  <si>
    <t>Todd D Norris</t>
  </si>
  <si>
    <t>Newport News</t>
  </si>
  <si>
    <t>Sean Herbert</t>
  </si>
  <si>
    <t>Racine</t>
  </si>
  <si>
    <t>Lindsay Webb</t>
  </si>
  <si>
    <t>Xerox 1928</t>
  </si>
  <si>
    <t>Sheboygan</t>
  </si>
  <si>
    <t>George Terry</t>
  </si>
  <si>
    <t>Los Gatos</t>
  </si>
  <si>
    <t>Micro Innovations Micro Digital Wireless Keyboard and Mouse, Gray</t>
  </si>
  <si>
    <t>Colleen Fletcher</t>
  </si>
  <si>
    <t>Acme Hot Forged Carbon Steel Scissors with Nickel-Plated Handles, 3 7/8" Cut, 8"L</t>
  </si>
  <si>
    <t>Saint Charles</t>
  </si>
  <si>
    <t>Stuart Sharma</t>
  </si>
  <si>
    <t>Pam Gilbert</t>
  </si>
  <si>
    <t>Xerox 193</t>
  </si>
  <si>
    <t>Round Rock</t>
  </si>
  <si>
    <t>Dan Lamm</t>
  </si>
  <si>
    <t>Sony MFD2HD Formatted Diskettes, 10/Pack</t>
  </si>
  <si>
    <t>Asheboro</t>
  </si>
  <si>
    <t>Theodore Moran</t>
  </si>
  <si>
    <t>Ray Oakley</t>
  </si>
  <si>
    <t>West Lafayette</t>
  </si>
  <si>
    <t>Lloyd Spencer</t>
  </si>
  <si>
    <t>West Scarborough</t>
  </si>
  <si>
    <t>Chad Henson</t>
  </si>
  <si>
    <t>Huntington</t>
  </si>
  <si>
    <t>Newell 329</t>
  </si>
  <si>
    <t>Jerry Ennis</t>
  </si>
  <si>
    <t>Sacramento</t>
  </si>
  <si>
    <t>Hon Rectangular Conference Tables</t>
  </si>
  <si>
    <t>#10 White Business Envelopes,4 1/8 x 9 1/2</t>
  </si>
  <si>
    <t>Shirley Riley</t>
  </si>
  <si>
    <t>GBC DocuBind TL200 Manual Binding Machine</t>
  </si>
  <si>
    <t>Gwendolyn F Tyson</t>
  </si>
  <si>
    <t>Newell 321</t>
  </si>
  <si>
    <t>Newell 351</t>
  </si>
  <si>
    <t>Wirebound Message Books, Four 2 3/4" x 5" Forms per Page, 600 Sets per Book</t>
  </si>
  <si>
    <t>Imation 3.5" DS/HD IBM Formatted Diskettes, 10/Pack</t>
  </si>
  <si>
    <t>Evan K Bullard</t>
  </si>
  <si>
    <t>Multimedia Mailers</t>
  </si>
  <si>
    <t>Naugatuck</t>
  </si>
  <si>
    <t>Marlene Abrams</t>
  </si>
  <si>
    <t>Kathryn Patrick</t>
  </si>
  <si>
    <t>William Larson</t>
  </si>
  <si>
    <t>Sharon Marcus</t>
  </si>
  <si>
    <t>Longview</t>
  </si>
  <si>
    <t>Steve McKee</t>
  </si>
  <si>
    <t>Carla Hauser</t>
  </si>
  <si>
    <t>Bonnie Chambers</t>
  </si>
  <si>
    <t>Glendale</t>
  </si>
  <si>
    <t>Xerox 1898</t>
  </si>
  <si>
    <t>Alice Coley</t>
  </si>
  <si>
    <t>GBC Recycled Regency Composition Covers</t>
  </si>
  <si>
    <t>Urbana</t>
  </si>
  <si>
    <t>Ruth Lamm</t>
  </si>
  <si>
    <t>Accessory29</t>
  </si>
  <si>
    <t>Vernon Hills</t>
  </si>
  <si>
    <t>Pam Bennett</t>
  </si>
  <si>
    <t>Boston 16701 Slimline Battery Pencil Sharpener</t>
  </si>
  <si>
    <t>Carbondale</t>
  </si>
  <si>
    <t>Glen Newman</t>
  </si>
  <si>
    <t>Wilkinsburg</t>
  </si>
  <si>
    <t>Vinyl Sectional Post Binders</t>
  </si>
  <si>
    <t>Laurie Hanna</t>
  </si>
  <si>
    <t>DAX Natural Wood-Tone Poster Frame</t>
  </si>
  <si>
    <t>Helena</t>
  </si>
  <si>
    <t>Tony Wilkins Winters</t>
  </si>
  <si>
    <t>Belkin ErgoBoard™ Keyboard</t>
  </si>
  <si>
    <t>Ross Frederick</t>
  </si>
  <si>
    <t>Xerox 214</t>
  </si>
  <si>
    <t>San Antonio</t>
  </si>
  <si>
    <t>Carrie Duke</t>
  </si>
  <si>
    <t>*Staples* vLetter Openers, 2/Pack</t>
  </si>
  <si>
    <t>Dale Gillespie</t>
  </si>
  <si>
    <t>Petaluma</t>
  </si>
  <si>
    <t>Jerome Burch</t>
  </si>
  <si>
    <t>Yuba City</t>
  </si>
  <si>
    <t>Hazel Jones</t>
  </si>
  <si>
    <t>Wirebound Message Forms, Four 2 3/4 x 5 Forms per Page, Pink Paper</t>
  </si>
  <si>
    <t>Stockton</t>
  </si>
  <si>
    <t>Jennifer Zimmerman</t>
  </si>
  <si>
    <t>Eldon Simplefile® Box Office®</t>
  </si>
  <si>
    <t>Jonesboro</t>
  </si>
  <si>
    <t>Tommy Lutz</t>
  </si>
  <si>
    <t>Universal Premium White Copier/Laser Paper (20Lb. and 87 Bright)</t>
  </si>
  <si>
    <t>Kelly Collins</t>
  </si>
  <si>
    <t>Eastpointe</t>
  </si>
  <si>
    <t>Lynne Wilcox</t>
  </si>
  <si>
    <t>Prismacolor Color Pencil Set</t>
  </si>
  <si>
    <t>Victoria Baker Hoover</t>
  </si>
  <si>
    <t>REDIFORM Incoming/Outgoing Call Register, 11" X 8 1/2", 100 Messages</t>
  </si>
  <si>
    <t>Terrytown</t>
  </si>
  <si>
    <t>Sharp EL501VB Scientific Calculator, Battery Operated, 10-Digit Display, Hard Case</t>
  </si>
  <si>
    <t>Penny Tuttle</t>
  </si>
  <si>
    <t>Ibico EB-19 Dual Function Manual Binding System</t>
  </si>
  <si>
    <t>Amy Hall</t>
  </si>
  <si>
    <t>Lorain</t>
  </si>
  <si>
    <t>Jerry Webster</t>
  </si>
  <si>
    <t>Anita Kang</t>
  </si>
  <si>
    <t>Acco Smartsocket™ Table Surge Protector, 6 Color-Coded Adapter Outlets</t>
  </si>
  <si>
    <t>Mundelein</t>
  </si>
  <si>
    <t>Wayne English</t>
  </si>
  <si>
    <t>GBC Recycled Grain Textured Covers</t>
  </si>
  <si>
    <t>New Iberia</t>
  </si>
  <si>
    <t>Xerox 1881</t>
  </si>
  <si>
    <t>Panasonic KP-350BK Electric Pencil Sharpener with Auto Stop</t>
  </si>
  <si>
    <t>Jon Ward</t>
  </si>
  <si>
    <t>Revere Boxed Rubber Bands by Revere</t>
  </si>
  <si>
    <t>Ted Durham</t>
  </si>
  <si>
    <t>Zoom V.92 V.44 PCI Internal Controllerless FaxModem</t>
  </si>
  <si>
    <t>North Port</t>
  </si>
  <si>
    <t>Molly Vincent</t>
  </si>
  <si>
    <t>Ronnie Creech</t>
  </si>
  <si>
    <t>Eileen Cheek</t>
  </si>
  <si>
    <t>Norwood</t>
  </si>
  <si>
    <t>Tennsco Lockers, Sand</t>
  </si>
  <si>
    <t>Troy Cassidy</t>
  </si>
  <si>
    <t>Lindsay Tate</t>
  </si>
  <si>
    <t>Midwest City</t>
  </si>
  <si>
    <t>Becky Puckett</t>
  </si>
  <si>
    <t>Eureka</t>
  </si>
  <si>
    <t>O'Sullivan 3-Shelf Heavy-Duty Bookcases</t>
  </si>
  <si>
    <t>Arlene Weeks</t>
  </si>
  <si>
    <t>Union City</t>
  </si>
  <si>
    <t>Carole Rosen</t>
  </si>
  <si>
    <t>Boise</t>
  </si>
  <si>
    <t>Joseph Grossman</t>
  </si>
  <si>
    <t>Maxine Collier Grady</t>
  </si>
  <si>
    <t>Dwight Bishop</t>
  </si>
  <si>
    <t>Robert Brantley</t>
  </si>
  <si>
    <t>Dearborn Heights</t>
  </si>
  <si>
    <t>Wesley Field</t>
  </si>
  <si>
    <t>Xerox 1979</t>
  </si>
  <si>
    <t>Westland</t>
  </si>
  <si>
    <t>Brenda Jain</t>
  </si>
  <si>
    <t>Hon Non-Folding Utility Tables</t>
  </si>
  <si>
    <t>Sharon</t>
  </si>
  <si>
    <t>Storex Dura Pro™ Binders</t>
  </si>
  <si>
    <t>Xerox 231</t>
  </si>
  <si>
    <t>Dolores Abrams</t>
  </si>
  <si>
    <t>5180</t>
  </si>
  <si>
    <t>Lucille Rankin</t>
  </si>
  <si>
    <t>Vickie Andrews</t>
  </si>
  <si>
    <t>Belleville</t>
  </si>
  <si>
    <t>Marvin Hunt</t>
  </si>
  <si>
    <t>Abilene</t>
  </si>
  <si>
    <t>June Frank Hammond</t>
  </si>
  <si>
    <t>South Vineland</t>
  </si>
  <si>
    <t>Acme® Forged Steel Scissors with Black Enamel Handles</t>
  </si>
  <si>
    <t>Joanna Keith</t>
  </si>
  <si>
    <t>Lake Jackson</t>
  </si>
  <si>
    <t>Catherine Mullins</t>
  </si>
  <si>
    <t>Avery Hi-Liter® Smear-Safe Highlighters</t>
  </si>
  <si>
    <t>Walla Walla</t>
  </si>
  <si>
    <t>Marlene Davidson</t>
  </si>
  <si>
    <t>Avery Legal 4-Ring Binder</t>
  </si>
  <si>
    <t>Benjamin Strauss</t>
  </si>
  <si>
    <t>El Paso</t>
  </si>
  <si>
    <t>Jim Rodgers</t>
  </si>
  <si>
    <t>Hewlett Packard 6S Scientific Calculator</t>
  </si>
  <si>
    <t>Missoula</t>
  </si>
  <si>
    <t>Advantus Plastic Paper Clips</t>
  </si>
  <si>
    <t>Lifetime Advantage™ Folding Chairs, 4/Carton</t>
  </si>
  <si>
    <t>Janice Frye</t>
  </si>
  <si>
    <t>Las Cruces</t>
  </si>
  <si>
    <t>Cardinal Holdit Business Card Pockets</t>
  </si>
  <si>
    <t>Alex Harrell</t>
  </si>
  <si>
    <t>Hayes Optima 56K V.90 Internal Voice Modem</t>
  </si>
  <si>
    <t>Fred Barber</t>
  </si>
  <si>
    <t>Oak Creek</t>
  </si>
  <si>
    <t>Lester Woodward Maynard</t>
  </si>
  <si>
    <t>Boston 1799 Powerhouse™ Electric Pencil Sharpener</t>
  </si>
  <si>
    <t>Lindenhurst</t>
  </si>
  <si>
    <t>Derek Sweeney</t>
  </si>
  <si>
    <t>Gretchen Orr</t>
  </si>
  <si>
    <t>Lake Charles</t>
  </si>
  <si>
    <t>Jesse Williamson</t>
  </si>
  <si>
    <t>Spanish Fork</t>
  </si>
  <si>
    <t>Nicole Goldstein</t>
  </si>
  <si>
    <t>Wilson Jones Elliptical Ring 3 1/2" Capacity Binders, 800 sheets</t>
  </si>
  <si>
    <t>Annapolis</t>
  </si>
  <si>
    <t>Anne Armstrong</t>
  </si>
  <si>
    <t>Tenex Personal Self-Stacking Standard File Box, Black/Gray</t>
  </si>
  <si>
    <t>Millville</t>
  </si>
  <si>
    <t>Bruce Stark</t>
  </si>
  <si>
    <t>Dayton</t>
  </si>
  <si>
    <t>Soundgear Copyboard Conference Phone, Optional Battery</t>
  </si>
  <si>
    <t>Albert Tyson</t>
  </si>
  <si>
    <t>Olive Branch</t>
  </si>
  <si>
    <t>Tonya Miller</t>
  </si>
  <si>
    <t>Newell 31</t>
  </si>
  <si>
    <t>Janesville</t>
  </si>
  <si>
    <t>Barbara McNamara</t>
  </si>
  <si>
    <t>Kingman</t>
  </si>
  <si>
    <t>Malcolm Robertson</t>
  </si>
  <si>
    <t>Amarillo</t>
  </si>
  <si>
    <t>Patrick Adcock</t>
  </si>
  <si>
    <t>GBC Prepunched Paper, 19-Hole, for Binding Systems, 24-lb</t>
  </si>
  <si>
    <t>Schererville</t>
  </si>
  <si>
    <t>Mike Howard</t>
  </si>
  <si>
    <t>Kensington 6 Outlet SmartSocket Surge Protector</t>
  </si>
  <si>
    <t>Bevis Boat-Shaped Conference Table</t>
  </si>
  <si>
    <t>Dana Boyle</t>
  </si>
  <si>
    <t>Veronica Peck</t>
  </si>
  <si>
    <t>South Lake Tahoe</t>
  </si>
  <si>
    <t>Global Airflow Leather Mesh Back Chair, Black</t>
  </si>
  <si>
    <t>Thelma Abrams</t>
  </si>
  <si>
    <t>Priscilla Frank</t>
  </si>
  <si>
    <t>Self-Adhesive Removable Labels</t>
  </si>
  <si>
    <t>Gorham</t>
  </si>
  <si>
    <t>Mary Norman</t>
  </si>
  <si>
    <t>Granite Bay</t>
  </si>
  <si>
    <t>Sheryl Marsh</t>
  </si>
  <si>
    <t>Polycom VoiceStation 100</t>
  </si>
  <si>
    <t>Phone 918</t>
  </si>
  <si>
    <t>Tommy Ellis Ritchie</t>
  </si>
  <si>
    <t>Westlake</t>
  </si>
  <si>
    <t>Gordon Boswell</t>
  </si>
  <si>
    <t>Cloverleaf</t>
  </si>
  <si>
    <t>Brenda Ross</t>
  </si>
  <si>
    <t>#10-4 1/8" x 9 1/2" Premium Diagonal Seam Envelopes</t>
  </si>
  <si>
    <t>Keith R Atkinson</t>
  </si>
  <si>
    <t>Surprise</t>
  </si>
  <si>
    <t>Xerox 1883</t>
  </si>
  <si>
    <t>Jacob McNeill</t>
  </si>
  <si>
    <t>Imation Primaris 3.5" 2HD Unformatted Diskettes, 10/Pack</t>
  </si>
  <si>
    <t>Oceanside</t>
  </si>
  <si>
    <t>Tyvek ® Top-Opening Peel &amp; Seel Envelopes, Plain White</t>
  </si>
  <si>
    <t>Brandon Beach</t>
  </si>
  <si>
    <t>Kirkwood</t>
  </si>
  <si>
    <t>Leslie Woodard</t>
  </si>
  <si>
    <t>Avery Heavy-Duty EZD ™ Binder With Locking Rings</t>
  </si>
  <si>
    <t>Charleston</t>
  </si>
  <si>
    <t>Leah Pollock</t>
  </si>
  <si>
    <t>270c</t>
  </si>
  <si>
    <t>Leslie Rowland</t>
  </si>
  <si>
    <t>Los Banos</t>
  </si>
  <si>
    <t>Sam Oh</t>
  </si>
  <si>
    <t>Roberta Mullins Peters</t>
  </si>
  <si>
    <t>Everett</t>
  </si>
  <si>
    <t>Brenda Nelson Blanchard</t>
  </si>
  <si>
    <t>DIXON Oriole® Pencils</t>
  </si>
  <si>
    <t>Richfield</t>
  </si>
  <si>
    <t>StarTAC Series</t>
  </si>
  <si>
    <t>Aaron Day</t>
  </si>
  <si>
    <t>Trav-L-File Heavy-Duty Shuttle II, Black</t>
  </si>
  <si>
    <t>Greeneville</t>
  </si>
  <si>
    <t>Tracy Schultz</t>
  </si>
  <si>
    <t>Dixon My First Ticonderoga Pencil, #2</t>
  </si>
  <si>
    <t>Lindenwold</t>
  </si>
  <si>
    <t>Stanley Steele</t>
  </si>
  <si>
    <t>Ellicott City</t>
  </si>
  <si>
    <t>Hilda Bennett</t>
  </si>
  <si>
    <t>DAX Clear Channel Poster Frame</t>
  </si>
  <si>
    <t>Rosemary Stark</t>
  </si>
  <si>
    <t>TI 36X Solar Scientific Calculator</t>
  </si>
  <si>
    <t>Yvonne Mann</t>
  </si>
  <si>
    <t>Model L Table or Wall-Mount Pencil Sharpener</t>
  </si>
  <si>
    <t>Lloyd Fuller</t>
  </si>
  <si>
    <t>Bernice F Day</t>
  </si>
  <si>
    <t>Quincy</t>
  </si>
  <si>
    <t>Roger Meyer</t>
  </si>
  <si>
    <t>Staples Bulldog Clip</t>
  </si>
  <si>
    <t>Seth Thomas 13 1/2" Wall Clock</t>
  </si>
  <si>
    <t>Scott Moore</t>
  </si>
  <si>
    <t>Bravo II™ Megaboss® 12-Amp Hard Body Upright, Replacement Belts, 2 Belts per Pack</t>
  </si>
  <si>
    <t>Neil Barbee</t>
  </si>
  <si>
    <t>Moline</t>
  </si>
  <si>
    <t>Jack Morse</t>
  </si>
  <si>
    <t>Paul W French</t>
  </si>
  <si>
    <t>Plymouth Boxed Rubber Bands by Plymouth</t>
  </si>
  <si>
    <t>Newark</t>
  </si>
  <si>
    <t>Accessory32</t>
  </si>
  <si>
    <t>Artistic Insta-Plaque</t>
  </si>
  <si>
    <t>Jerome McIntosh</t>
  </si>
  <si>
    <t>Dixon Ticonderoga Core-Lock Colored Pencils</t>
  </si>
  <si>
    <t>Carol Wood</t>
  </si>
  <si>
    <t>Avery 482</t>
  </si>
  <si>
    <t>Alexandria</t>
  </si>
  <si>
    <t>Binney &amp; Smith inkTank™ Erasable Pocket Highlighter, Chisel Tip, Yellow</t>
  </si>
  <si>
    <t>Brooke Weeks Taylor</t>
  </si>
  <si>
    <t>Ansonia</t>
  </si>
  <si>
    <t>Marguerite Moss</t>
  </si>
  <si>
    <t>Yarmouth</t>
  </si>
  <si>
    <t>Norman Adams</t>
  </si>
  <si>
    <t>GBC Binding covers</t>
  </si>
  <si>
    <t>Rubber Band Ball</t>
  </si>
  <si>
    <t>Seth Thomas 8 1/2" Cubicle Clock</t>
  </si>
  <si>
    <t>Jamie Ward</t>
  </si>
  <si>
    <t>Odenton</t>
  </si>
  <si>
    <t>Jessie Houston</t>
  </si>
  <si>
    <t>5125</t>
  </si>
  <si>
    <t>Michelle Bryant Phillips</t>
  </si>
  <si>
    <t>Tucker</t>
  </si>
  <si>
    <t>Carlos Adkins</t>
  </si>
  <si>
    <t>Land O Lakes</t>
  </si>
  <si>
    <t>Marguerite Yu</t>
  </si>
  <si>
    <t>Weslaco</t>
  </si>
  <si>
    <t>Danielle Myers</t>
  </si>
  <si>
    <t>Newell 308</t>
  </si>
  <si>
    <t>Judy Frazier</t>
  </si>
  <si>
    <t>East Massapequa</t>
  </si>
  <si>
    <t>Bevis Rectangular Conference Tables</t>
  </si>
  <si>
    <t>Kathleen P Bloom</t>
  </si>
  <si>
    <t>Corvallis</t>
  </si>
  <si>
    <t>Dixon Ticonderoga® Erasable Colored Pencil Set, 12-Color</t>
  </si>
  <si>
    <t>Calvin Boyette</t>
  </si>
  <si>
    <t>Gilbert</t>
  </si>
  <si>
    <t>Tenex Antistatic Computer Chair Mats</t>
  </si>
  <si>
    <t>Mark Ritchie</t>
  </si>
  <si>
    <t>Alfred Harmon</t>
  </si>
  <si>
    <t>Xerox 1984</t>
  </si>
  <si>
    <t>Cheshire</t>
  </si>
  <si>
    <t>Jeanette Davies</t>
  </si>
  <si>
    <t>Leo E Underwood</t>
  </si>
  <si>
    <t>Sandy Mueller</t>
  </si>
  <si>
    <t>Providence</t>
  </si>
  <si>
    <t>Harriet Wooten</t>
  </si>
  <si>
    <t>Okidata ML395C Color Dot Matrix Printer</t>
  </si>
  <si>
    <t>Staples Pen Style Liquid Stix; Assorted (yellow, pink, green, blue, orange), 5/Pack</t>
  </si>
  <si>
    <t>Pam Anthony</t>
  </si>
  <si>
    <t>Winthrop</t>
  </si>
  <si>
    <t>Jordan Beard</t>
  </si>
  <si>
    <t>Xerox 1995</t>
  </si>
  <si>
    <t>Leavenworth</t>
  </si>
  <si>
    <t>Leigh Burnette Hurley</t>
  </si>
  <si>
    <t>Xerox 1994</t>
  </si>
  <si>
    <t>Alfred Barber</t>
  </si>
  <si>
    <t>Mehlville</t>
  </si>
  <si>
    <t>Eileen Dalton</t>
  </si>
  <si>
    <t>Hon Olson Stacker Stools</t>
  </si>
  <si>
    <t>Fluorescent Highlighters by Dixon</t>
  </si>
  <si>
    <t>IBM 80 Minute CD-R Spindle, 50/Pack</t>
  </si>
  <si>
    <t>Earl Buck</t>
  </si>
  <si>
    <t>Acco Smartsocket® Color-Coded Six-Outlet AC Adapter Model Surge Protectors</t>
  </si>
  <si>
    <t>Danny Vaughn</t>
  </si>
  <si>
    <t>Bloomfield</t>
  </si>
  <si>
    <t>George McLamb</t>
  </si>
  <si>
    <t>Sidney Scarborough</t>
  </si>
  <si>
    <t>Charlottesville</t>
  </si>
  <si>
    <t>Wendy Pridgen Pearce</t>
  </si>
  <si>
    <t>Okidata ML520 Series Dot Matrix Printers</t>
  </si>
  <si>
    <t>Holland</t>
  </si>
  <si>
    <t>TOPS Voice Message Log Book, Flash Format</t>
  </si>
  <si>
    <t>Ernest Peele</t>
  </si>
  <si>
    <t>Teresa Watts</t>
  </si>
  <si>
    <t>Alicia Wood Shah</t>
  </si>
  <si>
    <t>Gyration Ultra Cordless Optical Suite</t>
  </si>
  <si>
    <t>Alison Sharp</t>
  </si>
  <si>
    <t>Ibico Hi-Tech Manual Binding System</t>
  </si>
  <si>
    <t>Laconia</t>
  </si>
  <si>
    <t>Seth Matthews</t>
  </si>
  <si>
    <t>Inkster</t>
  </si>
  <si>
    <t>Edna Huang</t>
  </si>
  <si>
    <t>South Hadley</t>
  </si>
  <si>
    <t>Frances Saunders</t>
  </si>
  <si>
    <t>Brenda May</t>
  </si>
  <si>
    <t>Quartet Alpha® White Chalk, 12/Pack</t>
  </si>
  <si>
    <t>Marlene Phillips</t>
  </si>
  <si>
    <t>Imation 3.5" DS-HD Macintosh Formatted Diskettes, 10/Pack</t>
  </si>
  <si>
    <t>Brett Hawkins</t>
  </si>
  <si>
    <t>Global Adaptabilities™ Conference Tables</t>
  </si>
  <si>
    <t>Highlands Ranch</t>
  </si>
  <si>
    <t>Alexandra Wise</t>
  </si>
  <si>
    <t>GBC Standard Plastic Binding Systems Combs</t>
  </si>
  <si>
    <t>Debra P May</t>
  </si>
  <si>
    <t>Danielle Kramer</t>
  </si>
  <si>
    <t>Altus</t>
  </si>
  <si>
    <t>Jacob Burgess</t>
  </si>
  <si>
    <t>Wilson</t>
  </si>
  <si>
    <t>Peter Brooks</t>
  </si>
  <si>
    <t>Wesley Reid</t>
  </si>
  <si>
    <t>Leo J Olson</t>
  </si>
  <si>
    <t>Josephine Dalton</t>
  </si>
  <si>
    <t>T65</t>
  </si>
  <si>
    <t>Xerox 1892</t>
  </si>
  <si>
    <t>Kate McKenna</t>
  </si>
  <si>
    <t>Toledo</t>
  </si>
  <si>
    <t>Eileen Schwartz</t>
  </si>
  <si>
    <t>Xerox 199</t>
  </si>
  <si>
    <t>Liberal</t>
  </si>
  <si>
    <t>Bretford Rectangular Conference Table Tops</t>
  </si>
  <si>
    <t>Snap-A-Way® Black Print Carbonless Speed Message, No Reply Area, Duplicate</t>
  </si>
  <si>
    <t>Angela Howe</t>
  </si>
  <si>
    <t>Grand Island</t>
  </si>
  <si>
    <t>Francis Sherrill</t>
  </si>
  <si>
    <t>Asheville</t>
  </si>
  <si>
    <t>Helen Simpson</t>
  </si>
  <si>
    <t>Enid</t>
  </si>
  <si>
    <t>Bernard Thompson</t>
  </si>
  <si>
    <t>Raleigh</t>
  </si>
  <si>
    <t>Vicki Zhu Daniels</t>
  </si>
  <si>
    <t>Clearfield</t>
  </si>
  <si>
    <t>Marie Pittman</t>
  </si>
  <si>
    <t>Owatonna</t>
  </si>
  <si>
    <t>2160</t>
  </si>
  <si>
    <t>Xerox 1916</t>
  </si>
  <si>
    <t>Lester Sawyer</t>
  </si>
  <si>
    <t>Kevin Wolfe</t>
  </si>
  <si>
    <t>Kensington 7 Outlet MasterPiece Power Center</t>
  </si>
  <si>
    <t>East Point</t>
  </si>
  <si>
    <t>Logitech Internet Navigator Keyboard</t>
  </si>
  <si>
    <t>Kay Schultz</t>
  </si>
  <si>
    <t>College Station</t>
  </si>
  <si>
    <t>Ronnie Proctor</t>
  </si>
  <si>
    <t>Randall Boykin</t>
  </si>
  <si>
    <t>Xerox 1888</t>
  </si>
  <si>
    <t>Earl Watts</t>
  </si>
  <si>
    <t>Hopkins</t>
  </si>
  <si>
    <t>Lester Copeland</t>
  </si>
  <si>
    <t>Titusville</t>
  </si>
  <si>
    <t>Sam Woodward</t>
  </si>
  <si>
    <t>Marlene Kirk</t>
  </si>
  <si>
    <t>South Bend</t>
  </si>
  <si>
    <t>Henry Ball</t>
  </si>
  <si>
    <t>Morgantown</t>
  </si>
  <si>
    <t>Daniel Christian</t>
  </si>
  <si>
    <t>New Orleans</t>
  </si>
  <si>
    <t>Gina B Hess</t>
  </si>
  <si>
    <t>Webster</t>
  </si>
  <si>
    <t>Ricky Hensley</t>
  </si>
  <si>
    <t>Gresham</t>
  </si>
  <si>
    <t>Meredith Walters</t>
  </si>
  <si>
    <t>Peggy Rowe</t>
  </si>
  <si>
    <t>Stacey Hale</t>
  </si>
  <si>
    <t>Summit</t>
  </si>
  <si>
    <t>Sheryl Reese</t>
  </si>
  <si>
    <t>Owensboro</t>
  </si>
  <si>
    <t>Frances Holt</t>
  </si>
  <si>
    <t>Cambridge</t>
  </si>
  <si>
    <t>Jon Hale</t>
  </si>
  <si>
    <t>Belle Glade</t>
  </si>
  <si>
    <t>Geoffrey Rivera</t>
  </si>
  <si>
    <t>Deflect-o EconoMat Studded, No Bevel Mat for Low Pile Carpeting</t>
  </si>
  <si>
    <t>Donna Block</t>
  </si>
  <si>
    <t>Dalton</t>
  </si>
  <si>
    <t>Don Beard</t>
  </si>
  <si>
    <t>Ozark</t>
  </si>
  <si>
    <t>Pauline Boyette</t>
  </si>
  <si>
    <t>Virginia Gay</t>
  </si>
  <si>
    <t>ACCOHIDE® Binder by Acco</t>
  </si>
  <si>
    <t>Shawnee</t>
  </si>
  <si>
    <t>Robin High</t>
  </si>
  <si>
    <t>Howard Miller 13-3/4" Diameter Brushed Chrome Round Wall Clock</t>
  </si>
  <si>
    <t>Shakopee</t>
  </si>
  <si>
    <t>Dwight Stephenson</t>
  </si>
  <si>
    <t>Katherine Kearney</t>
  </si>
  <si>
    <t>Lemon Grove</t>
  </si>
  <si>
    <t>Monica McCormick</t>
  </si>
  <si>
    <t>Albemarle</t>
  </si>
  <si>
    <t>Xerox 1929</t>
  </si>
  <si>
    <t>Vickie Martinez</t>
  </si>
  <si>
    <t>William Sharma</t>
  </si>
  <si>
    <t>Maplewood</t>
  </si>
  <si>
    <t>Wayne Bean</t>
  </si>
  <si>
    <t>3M Hangers With Command Adhesive</t>
  </si>
  <si>
    <t>Kristin George</t>
  </si>
  <si>
    <t>Chromcraft Bull-Nose Wood Oval Conference Tables &amp; Bases</t>
  </si>
  <si>
    <t>Saco</t>
  </si>
  <si>
    <t>Justin Frank</t>
  </si>
  <si>
    <t>Herbert Donnelly Swanson</t>
  </si>
  <si>
    <t>Londonderry</t>
  </si>
  <si>
    <t>Ray Silverman</t>
  </si>
  <si>
    <t>Ponte Vedra Beach</t>
  </si>
  <si>
    <t>Kerry Beach</t>
  </si>
  <si>
    <t>Cumberland</t>
  </si>
  <si>
    <t>Randy Jiang</t>
  </si>
  <si>
    <t>Norwich</t>
  </si>
  <si>
    <t>Lynda Banks</t>
  </si>
  <si>
    <t>Avery 492</t>
  </si>
  <si>
    <t>Kalamazoo</t>
  </si>
  <si>
    <t>Kenneth Pollock</t>
  </si>
  <si>
    <t>Harrisonburg</t>
  </si>
  <si>
    <t>Newell 326</t>
  </si>
  <si>
    <t>Pat Kinney</t>
  </si>
  <si>
    <t>Steve O'Brien</t>
  </si>
  <si>
    <t>Bolingbrook</t>
  </si>
  <si>
    <t>Holly Pate</t>
  </si>
  <si>
    <t>Xerox 1993</t>
  </si>
  <si>
    <t>Mustang</t>
  </si>
  <si>
    <t>Joseph Dawson</t>
  </si>
  <si>
    <t>Muncie</t>
  </si>
  <si>
    <t>V 3600 Series</t>
  </si>
  <si>
    <t>Frances Johnson</t>
  </si>
  <si>
    <t>Iris Project Case</t>
  </si>
  <si>
    <t>Middle River</t>
  </si>
  <si>
    <t>Alice Berger McIntyre</t>
  </si>
  <si>
    <t>Lunenburg</t>
  </si>
  <si>
    <t>Kurt O'Connor</t>
  </si>
  <si>
    <t>Edinburg</t>
  </si>
  <si>
    <t>Lucille McGee</t>
  </si>
  <si>
    <t>Greensburg</t>
  </si>
  <si>
    <t>Claudia Boyle</t>
  </si>
  <si>
    <t>Biddeford</t>
  </si>
  <si>
    <t>Avery Durable Binders</t>
  </si>
  <si>
    <t>Tom McFarland</t>
  </si>
  <si>
    <t>Lodi</t>
  </si>
  <si>
    <t>Aaron Riggs</t>
  </si>
  <si>
    <t>Newell 333</t>
  </si>
  <si>
    <t>Megan Woods</t>
  </si>
  <si>
    <t>Green Bay</t>
  </si>
  <si>
    <t>John Bray</t>
  </si>
  <si>
    <t>Canon Image Class D660 Copier</t>
  </si>
  <si>
    <t>Christopher High</t>
  </si>
  <si>
    <t>Massillon</t>
  </si>
  <si>
    <t>Clara Kaplan</t>
  </si>
  <si>
    <t>Jay Simon</t>
  </si>
  <si>
    <t>Rogers</t>
  </si>
  <si>
    <t>Prang Drawing Pencil Set</t>
  </si>
  <si>
    <t>Laurence Flowers</t>
  </si>
  <si>
    <t>Biloxi</t>
  </si>
  <si>
    <t>Cathy Burgess</t>
  </si>
  <si>
    <t>Shreveport</t>
  </si>
  <si>
    <t>Valerie Moon</t>
  </si>
  <si>
    <t>Brooke Lancaster</t>
  </si>
  <si>
    <t>Frances Powers</t>
  </si>
  <si>
    <t>KI Conference Tables</t>
  </si>
  <si>
    <t>Reynoldsburg</t>
  </si>
  <si>
    <t>Steven Long</t>
  </si>
  <si>
    <t>Adrian</t>
  </si>
  <si>
    <t>Karen O'Donnell</t>
  </si>
  <si>
    <t>Jeanne Walker</t>
  </si>
  <si>
    <t>Kelly Shaw</t>
  </si>
  <si>
    <t>Gerald Crabtree</t>
  </si>
  <si>
    <t>Aberdeen</t>
  </si>
  <si>
    <t>Natalie Watts</t>
  </si>
  <si>
    <t>West Des Moines</t>
  </si>
  <si>
    <t>Xerox 196</t>
  </si>
  <si>
    <t>Elsie Floyd</t>
  </si>
  <si>
    <t>Beverly Hills</t>
  </si>
  <si>
    <t>Epson C62 Color Inkjet Printer</t>
  </si>
  <si>
    <t>Xerox 197</t>
  </si>
  <si>
    <t>Eric West</t>
  </si>
  <si>
    <t>Hempstead</t>
  </si>
  <si>
    <t>John Morse</t>
  </si>
  <si>
    <t>New Britain</t>
  </si>
  <si>
    <t>Judy Merritt</t>
  </si>
  <si>
    <t>Jimmy Wang</t>
  </si>
  <si>
    <t>Bionaire 99.97% HEPA Air Cleaner</t>
  </si>
  <si>
    <t>Verbatim DVD-R, 3.95GB, SR, Mitsubishi Branded, Jewel</t>
  </si>
  <si>
    <t>Melanie Morrow</t>
  </si>
  <si>
    <t>Quartet Omega® Colored Chalk, 12/Pack</t>
  </si>
  <si>
    <t>Dennis Welch</t>
  </si>
  <si>
    <t>Laredo</t>
  </si>
  <si>
    <t>Becky O'Brien</t>
  </si>
  <si>
    <t>Springville</t>
  </si>
  <si>
    <t>Staples Vinyl Coated Paper Clips, 800/Box</t>
  </si>
  <si>
    <t>Teresa Hill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</si>
  <si>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</si>
  <si>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</si>
  <si>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</si>
  <si>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</si>
  <si>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</si>
  <si>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Gary Frazier</t>
  </si>
  <si>
    <t>North Royalton</t>
  </si>
  <si>
    <t>Dennis Block Richardson</t>
  </si>
  <si>
    <t>Niagara Falls</t>
  </si>
  <si>
    <t>Customer ID</t>
  </si>
  <si>
    <t>Customer Name</t>
  </si>
  <si>
    <t>Order Priority</t>
  </si>
  <si>
    <t>Discount</t>
  </si>
  <si>
    <t>Unit Price</t>
  </si>
  <si>
    <t>Shipping Cost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</si>
  <si>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</si>
  <si>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</si>
  <si>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</si>
  <si>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</si>
  <si>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</si>
  <si>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</si>
  <si>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</si>
  <si>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</si>
  <si>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</si>
  <si>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</si>
  <si>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</si>
  <si>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</si>
  <si>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</si>
  <si>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</si>
  <si>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</si>
  <si>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</si>
  <si>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</si>
  <si>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</si>
  <si>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Total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</si>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</sst>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6F1881-28B2-48D0-AE2E-83828FA3DCFB}" autoFormatId="16" applyNumberFormats="0" applyBorderFormats="0" applyFontFormats="0" applyPatternFormats="0" applyAlignmentFormats="0" applyWidthHeightFormats="0">
  <queryTableRefresh nextId="27" unboundColumnsRight="2">
    <queryTableFields count="26">
      <queryTableField id="1" name="Customer ID" tableColumnId="1"/>
      <queryTableField id="2" name="Customer Name" tableColumnId="2"/>
      <queryTableField id="3" name="Order Priority" tableColumnId="3"/>
      <queryTableField id="4" name="Discount" tableColumnId="4"/>
      <queryTableField id="5" name="Unit Price" tableColumnId="5"/>
      <queryTableField id="6" name="Shipping Cost" tableColumnId="6"/>
      <queryTableField id="7" name="Ship Mode" tableColumnId="7"/>
      <queryTableField id="8" name="Customer Segment" tableColumnId="8"/>
      <queryTableField id="9" name="Product Category" tableColumnId="9"/>
      <queryTableField id="10" name="Product Sub-Category" tableColumnId="10"/>
      <queryTableField id="11" name="Product Container" tableColumnId="11"/>
      <queryTableField id="12" name="Product Name" tableColumnId="12"/>
      <queryTableField id="13" name="Product Base Margin" tableColumnId="13"/>
      <queryTableField id="14" name="Country" tableColumnId="14"/>
      <queryTableField id="15" name="Region" tableColumnId="15"/>
      <queryTableField id="16" name="State or Province" tableColumnId="16"/>
      <queryTableField id="17" name="City" tableColumnId="17"/>
      <queryTableField id="18" name="Postal Code" tableColumnId="18"/>
      <queryTableField id="19" name="Order Date" tableColumnId="19"/>
      <queryTableField id="20" name="Ship Date" tableColumnId="20"/>
      <queryTableField id="21" name="Profit" tableColumnId="21"/>
      <queryTableField id="22" name="Quantity ordered new" tableColumnId="22"/>
      <queryTableField id="23" name="Sales" tableColumnId="23"/>
      <queryTableField id="24" name="Order ID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D9D71-72E1-4B8D-802B-904D954D3BC8}" name="cleaneddata" displayName="cleaneddata" ref="A1:Z1938" tableType="queryTable" totalsRowCount="1">
  <autoFilter ref="A1:Z1937" xr:uid="{860D9D71-72E1-4B8D-802B-904D954D3BC8}"/>
  <sortState xmlns:xlrd2="http://schemas.microsoft.com/office/spreadsheetml/2017/richdata2" ref="A2:Y1937">
    <sortCondition ref="S1:S1937"/>
  </sortState>
  <tableColumns count="26">
    <tableColumn id="1" xr3:uid="{2E774F07-5F59-4A5C-804B-B8819DE2B391}" uniqueName="1" name="Customer ID" queryTableFieldId="1"/>
    <tableColumn id="2" xr3:uid="{141809B9-F22E-4C37-8340-8BE0F40B0A9C}" uniqueName="2" name="Customer Name" queryTableFieldId="2" dataDxfId="29" totalsRowDxfId="30"/>
    <tableColumn id="3" xr3:uid="{3C880B9C-C6E0-4A55-A1AF-D63728A4751D}" uniqueName="3" name="Order Priority" queryTableFieldId="3" dataDxfId="27" totalsRowDxfId="28"/>
    <tableColumn id="4" xr3:uid="{35C0A35D-CB59-47CF-B8EE-26CECA03E2F9}" uniqueName="4" name="Discount" queryTableFieldId="4"/>
    <tableColumn id="5" xr3:uid="{F0ADEE0B-629C-498F-9FDE-F0D61B8B5975}" uniqueName="5" name="Unit Price" queryTableFieldId="5"/>
    <tableColumn id="6" xr3:uid="{F893C6ED-D9A0-406C-BB01-D0D5913FE8D9}" uniqueName="6" name="Shipping Cost" queryTableFieldId="6"/>
    <tableColumn id="7" xr3:uid="{DF4A1BEE-DE2C-4B20-8D26-3A50E9056C98}" uniqueName="7" name="Ship Mode" queryTableFieldId="7" dataDxfId="25" totalsRowDxfId="26"/>
    <tableColumn id="8" xr3:uid="{AA5E3D48-091B-46F3-B9D5-8A79EA020D5C}" uniqueName="8" name="Customer Segment" queryTableFieldId="8" dataDxfId="23" totalsRowDxfId="24"/>
    <tableColumn id="9" xr3:uid="{84F0E5A8-0A20-4F53-A50C-5ED389023D4D}" uniqueName="9" name="Product Category" queryTableFieldId="9" dataDxfId="21" totalsRowDxfId="22"/>
    <tableColumn id="10" xr3:uid="{ACF4E7C4-B23A-4EE3-A798-A84E828837BD}" uniqueName="10" name="Product Sub-Category" totalsRowFunction="custom" queryTableFieldId="10" dataDxfId="19" totalsRowDxfId="20">
      <totalsRowFormula>COUNT(cleaneddata[Product Sub-Category])</totalsRowFormula>
    </tableColumn>
    <tableColumn id="11" xr3:uid="{8DEE8DCA-B301-4107-AD8A-926B8B7F2717}" uniqueName="11" name="Product Container" queryTableFieldId="11" dataDxfId="17" totalsRowDxfId="18"/>
    <tableColumn id="12" xr3:uid="{F0A74BE9-29F1-431B-9CA4-FC53CBFFF77D}" uniqueName="12" name="Product Name" queryTableFieldId="12" dataDxfId="15" totalsRowDxfId="16"/>
    <tableColumn id="13" xr3:uid="{5410998B-E5F3-4982-845D-1ED552293496}" uniqueName="13" name="Product Base Margin" queryTableFieldId="13"/>
    <tableColumn id="14" xr3:uid="{2382CD31-6BC8-43AE-AE41-C6AAE2130E9C}" uniqueName="14" name="Country" queryTableFieldId="14" dataDxfId="13" totalsRowDxfId="14"/>
    <tableColumn id="15" xr3:uid="{7D76D125-1F12-4CFC-BC0A-0DDF831C4E34}" uniqueName="15" name="Region" queryTableFieldId="15" dataDxfId="11" totalsRowDxfId="12"/>
    <tableColumn id="16" xr3:uid="{CF00E633-EA88-4032-AC5C-E83AD08DFB2F}" uniqueName="16" name="State or Province" queryTableFieldId="16" dataDxfId="9" totalsRowDxfId="10"/>
    <tableColumn id="17" xr3:uid="{14FF2D3F-A37D-48D9-A219-D811EC968410}" uniqueName="17" name="City" queryTableFieldId="17" dataDxfId="7" totalsRowDxfId="8"/>
    <tableColumn id="18" xr3:uid="{2A552494-BF4F-4C4B-8BF2-16A119682FCB}" uniqueName="18" name="Postal Code" queryTableFieldId="18"/>
    <tableColumn id="19" xr3:uid="{28E39F32-9C05-4FD4-9434-239AC228B8F8}" uniqueName="19" name="Order Date" queryTableFieldId="19" dataDxfId="5" totalsRowDxfId="6"/>
    <tableColumn id="20" xr3:uid="{5979E5B7-3D9F-42D6-A4EC-D3B40C52662D}" uniqueName="20" name="Ship Date" queryTableFieldId="20" dataDxfId="3" totalsRowDxfId="4"/>
    <tableColumn id="21" xr3:uid="{EA202B10-E4DB-4707-9915-62C1A06C9F78}" uniqueName="21" name="Profit" totalsRowFunction="custom" queryTableFieldId="21">
      <totalsRowFormula>SUM(cleaneddata[Profit])</totalsRowFormula>
    </tableColumn>
    <tableColumn id="22" xr3:uid="{D463D98D-AE56-4083-B16E-3B060F4B9BF0}" uniqueName="22" name="Quantity ordered new" queryTableFieldId="22"/>
    <tableColumn id="23" xr3:uid="{C0F03B0A-B500-4B51-83DB-DE863A8C0874}" uniqueName="23" name="Sales" queryTableFieldId="23"/>
    <tableColumn id="24" xr3:uid="{7CD094AB-B701-4ECD-AACC-745C5859CA88}" uniqueName="24" name="Order ID" queryTableFieldId="24"/>
    <tableColumn id="25" xr3:uid="{FBBF053D-726C-415A-BF81-3BD7AEA6391E}" uniqueName="25" name="Total" queryTableFieldId="25" dataDxfId="1" totalsRowDxfId="2">
      <calculatedColumnFormula>cleaneddata[[#This Row],[Unit Price]]-cleaneddata[[#This Row],[Discount]]</calculatedColumnFormula>
    </tableColumn>
    <tableColumn id="26" xr3:uid="{9B30C463-6472-4315-AD34-11952C8B2AC5}" uniqueName="26" name="Manager" queryTableFieldId="26" dataDxfId="0">
      <calculatedColumnFormula>_xlfn.IFS(cleaneddata[[#This Row],[Region]]="Central","Chris",cleaneddata[[#This Row],[Region]]="East","Erin",cleaneddata[[#This Row],[Region]]="South","Sam",cleaneddata[[#This Row],[Region]]="West","William")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647E-E188-4F67-825C-DCBEF8502423}">
  <dimension ref="A1:Z1938"/>
  <sheetViews>
    <sheetView tabSelected="1" workbookViewId="0">
      <selection activeCell="C3" sqref="C3"/>
    </sheetView>
  </sheetViews>
  <sheetFormatPr defaultRowHeight="14.4" x14ac:dyDescent="0.3"/>
  <cols>
    <col min="19" max="19" width="12.21875" bestFit="1" customWidth="1"/>
    <col min="20" max="20" width="11.21875" bestFit="1" customWidth="1"/>
    <col min="21" max="21" width="12.6640625" bestFit="1" customWidth="1"/>
    <col min="22" max="22" width="21.109375" bestFit="1" customWidth="1"/>
  </cols>
  <sheetData>
    <row r="1" spans="1:26" x14ac:dyDescent="0.3">
      <c r="A1" t="s">
        <v>2987</v>
      </c>
      <c r="B1" t="s">
        <v>2988</v>
      </c>
      <c r="C1" t="s">
        <v>2989</v>
      </c>
      <c r="D1" t="s">
        <v>2990</v>
      </c>
      <c r="E1" t="s">
        <v>2991</v>
      </c>
      <c r="F1" t="s">
        <v>2992</v>
      </c>
      <c r="G1" t="s">
        <v>2993</v>
      </c>
      <c r="H1" t="s">
        <v>2994</v>
      </c>
      <c r="I1" t="s">
        <v>2995</v>
      </c>
      <c r="J1" t="s">
        <v>2996</v>
      </c>
      <c r="K1" t="s">
        <v>2997</v>
      </c>
      <c r="L1" t="s">
        <v>2998</v>
      </c>
      <c r="M1" t="s">
        <v>2999</v>
      </c>
      <c r="N1" t="s">
        <v>3000</v>
      </c>
      <c r="O1" t="s">
        <v>3001</v>
      </c>
      <c r="P1" t="s">
        <v>3002</v>
      </c>
      <c r="Q1" t="s">
        <v>3003</v>
      </c>
      <c r="R1" t="s">
        <v>3004</v>
      </c>
      <c r="S1" t="s">
        <v>3005</v>
      </c>
      <c r="T1" t="s">
        <v>3006</v>
      </c>
      <c r="U1" t="s">
        <v>3007</v>
      </c>
      <c r="V1" t="s">
        <v>3008</v>
      </c>
      <c r="W1" t="s">
        <v>3009</v>
      </c>
      <c r="X1" t="s">
        <v>3010</v>
      </c>
      <c r="Y1" t="s">
        <v>3011</v>
      </c>
      <c r="Z1" t="s">
        <v>3012</v>
      </c>
    </row>
    <row r="2" spans="1:26" x14ac:dyDescent="0.3">
      <c r="A2">
        <v>1552</v>
      </c>
      <c r="B2" t="s">
        <v>0</v>
      </c>
      <c r="C2" t="s">
        <v>1</v>
      </c>
      <c r="D2">
        <v>0.01</v>
      </c>
      <c r="E2">
        <v>348.21</v>
      </c>
      <c r="F2">
        <v>40.19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>
        <v>0.62</v>
      </c>
      <c r="N2" t="s">
        <v>8</v>
      </c>
      <c r="O2" t="s">
        <v>9</v>
      </c>
      <c r="P2" t="s">
        <v>10</v>
      </c>
      <c r="Q2" t="s">
        <v>11</v>
      </c>
      <c r="R2">
        <v>39056</v>
      </c>
      <c r="S2" s="1">
        <v>42005</v>
      </c>
      <c r="T2" s="1">
        <v>42008</v>
      </c>
      <c r="U2">
        <v>-337.09199999999998</v>
      </c>
      <c r="V2">
        <v>2</v>
      </c>
      <c r="W2">
        <v>723.54</v>
      </c>
      <c r="X2">
        <v>87486</v>
      </c>
      <c r="Y2">
        <f>cleaneddata[[#This Row],[Unit Price]]-cleaneddata[[#This Row],[Discount]]</f>
        <v>348.2</v>
      </c>
      <c r="Z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" spans="1:26" x14ac:dyDescent="0.3">
      <c r="A3">
        <v>2124</v>
      </c>
      <c r="B3" t="s">
        <v>12</v>
      </c>
      <c r="C3" t="s">
        <v>13</v>
      </c>
      <c r="D3">
        <v>0.04</v>
      </c>
      <c r="E3">
        <v>45.19</v>
      </c>
      <c r="F3">
        <v>1.99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>
        <v>0.55000000000000004</v>
      </c>
      <c r="N3" t="s">
        <v>8</v>
      </c>
      <c r="O3" t="s">
        <v>9</v>
      </c>
      <c r="P3" t="s">
        <v>20</v>
      </c>
      <c r="Q3" t="s">
        <v>21</v>
      </c>
      <c r="R3">
        <v>72301</v>
      </c>
      <c r="S3" s="1">
        <v>42005</v>
      </c>
      <c r="T3" s="1">
        <v>42006</v>
      </c>
      <c r="U3">
        <v>-61.194000000000003</v>
      </c>
      <c r="V3">
        <v>13</v>
      </c>
      <c r="W3">
        <v>609.09</v>
      </c>
      <c r="X3">
        <v>89665</v>
      </c>
      <c r="Y3">
        <f>cleaneddata[[#This Row],[Unit Price]]-cleaneddata[[#This Row],[Discount]]</f>
        <v>45.15</v>
      </c>
      <c r="Z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" spans="1:26" x14ac:dyDescent="0.3">
      <c r="A4">
        <v>1418</v>
      </c>
      <c r="B4" t="s">
        <v>22</v>
      </c>
      <c r="C4" t="s">
        <v>23</v>
      </c>
      <c r="D4">
        <v>7.0000000000000007E-2</v>
      </c>
      <c r="E4">
        <v>4.84</v>
      </c>
      <c r="F4">
        <v>0.71</v>
      </c>
      <c r="G4" t="s">
        <v>14</v>
      </c>
      <c r="H4" t="s">
        <v>3</v>
      </c>
      <c r="I4" t="s">
        <v>24</v>
      </c>
      <c r="J4" t="s">
        <v>25</v>
      </c>
      <c r="K4" t="s">
        <v>26</v>
      </c>
      <c r="L4" t="s">
        <v>27</v>
      </c>
      <c r="M4">
        <v>0.52</v>
      </c>
      <c r="N4" t="s">
        <v>8</v>
      </c>
      <c r="O4" t="s">
        <v>28</v>
      </c>
      <c r="P4" t="s">
        <v>29</v>
      </c>
      <c r="Q4" t="s">
        <v>30</v>
      </c>
      <c r="R4">
        <v>46901</v>
      </c>
      <c r="S4" s="1">
        <v>42005</v>
      </c>
      <c r="T4" s="1">
        <v>42007</v>
      </c>
      <c r="U4">
        <v>25.240200000000002</v>
      </c>
      <c r="V4">
        <v>8</v>
      </c>
      <c r="W4">
        <v>36.58</v>
      </c>
      <c r="X4">
        <v>90539</v>
      </c>
      <c r="Y4">
        <f>cleaneddata[[#This Row],[Unit Price]]-cleaneddata[[#This Row],[Discount]]</f>
        <v>4.7699999999999996</v>
      </c>
      <c r="Z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" spans="1:26" x14ac:dyDescent="0.3">
      <c r="A5">
        <v>1425</v>
      </c>
      <c r="B5" t="s">
        <v>31</v>
      </c>
      <c r="C5" t="s">
        <v>23</v>
      </c>
      <c r="D5">
        <v>0.04</v>
      </c>
      <c r="E5">
        <v>2036.48</v>
      </c>
      <c r="F5">
        <v>14.7</v>
      </c>
      <c r="G5" t="s">
        <v>2</v>
      </c>
      <c r="H5" t="s">
        <v>3</v>
      </c>
      <c r="I5" t="s">
        <v>16</v>
      </c>
      <c r="J5" t="s">
        <v>32</v>
      </c>
      <c r="K5" t="s">
        <v>33</v>
      </c>
      <c r="L5" t="s">
        <v>34</v>
      </c>
      <c r="M5">
        <v>0.55000000000000004</v>
      </c>
      <c r="N5" t="s">
        <v>8</v>
      </c>
      <c r="O5" t="s">
        <v>35</v>
      </c>
      <c r="P5" t="s">
        <v>36</v>
      </c>
      <c r="Q5" t="s">
        <v>37</v>
      </c>
      <c r="R5">
        <v>80525</v>
      </c>
      <c r="S5" s="1">
        <v>42005</v>
      </c>
      <c r="T5" s="1">
        <v>42010</v>
      </c>
      <c r="U5">
        <v>-4793.0039999999999</v>
      </c>
      <c r="V5">
        <v>1</v>
      </c>
      <c r="W5">
        <v>2013.67</v>
      </c>
      <c r="X5">
        <v>89450</v>
      </c>
      <c r="Y5">
        <f>cleaneddata[[#This Row],[Unit Price]]-cleaneddata[[#This Row],[Discount]]</f>
        <v>2036.44</v>
      </c>
      <c r="Z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" spans="1:26" x14ac:dyDescent="0.3">
      <c r="A6">
        <v>3275</v>
      </c>
      <c r="B6" t="s">
        <v>38</v>
      </c>
      <c r="C6" t="s">
        <v>23</v>
      </c>
      <c r="D6">
        <v>0.04</v>
      </c>
      <c r="E6">
        <v>449.99</v>
      </c>
      <c r="F6">
        <v>24.49</v>
      </c>
      <c r="G6" t="s">
        <v>14</v>
      </c>
      <c r="H6" t="s">
        <v>3</v>
      </c>
      <c r="I6" t="s">
        <v>16</v>
      </c>
      <c r="J6" t="s">
        <v>39</v>
      </c>
      <c r="K6" t="s">
        <v>40</v>
      </c>
      <c r="L6" t="s">
        <v>41</v>
      </c>
      <c r="M6">
        <v>0.52</v>
      </c>
      <c r="N6" t="s">
        <v>8</v>
      </c>
      <c r="O6" t="s">
        <v>35</v>
      </c>
      <c r="P6" t="s">
        <v>42</v>
      </c>
      <c r="Q6" t="s">
        <v>43</v>
      </c>
      <c r="R6">
        <v>98273</v>
      </c>
      <c r="S6" s="1">
        <v>42005</v>
      </c>
      <c r="T6" s="1">
        <v>42009</v>
      </c>
      <c r="U6">
        <v>3576.8841000000002</v>
      </c>
      <c r="V6">
        <v>12</v>
      </c>
      <c r="W6">
        <v>5183.8900000000003</v>
      </c>
      <c r="X6">
        <v>86234</v>
      </c>
      <c r="Y6">
        <f>cleaneddata[[#This Row],[Unit Price]]-cleaneddata[[#This Row],[Discount]]</f>
        <v>449.95</v>
      </c>
      <c r="Z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" spans="1:26" x14ac:dyDescent="0.3">
      <c r="A7">
        <v>3275</v>
      </c>
      <c r="B7" t="s">
        <v>38</v>
      </c>
      <c r="C7" t="s">
        <v>23</v>
      </c>
      <c r="D7">
        <v>0.01</v>
      </c>
      <c r="E7">
        <v>5.84</v>
      </c>
      <c r="F7">
        <v>1.2</v>
      </c>
      <c r="G7" t="s">
        <v>14</v>
      </c>
      <c r="H7" t="s">
        <v>3</v>
      </c>
      <c r="I7" t="s">
        <v>24</v>
      </c>
      <c r="J7" t="s">
        <v>25</v>
      </c>
      <c r="K7" t="s">
        <v>26</v>
      </c>
      <c r="L7" t="s">
        <v>44</v>
      </c>
      <c r="M7">
        <v>0.55000000000000004</v>
      </c>
      <c r="N7" t="s">
        <v>8</v>
      </c>
      <c r="O7" t="s">
        <v>35</v>
      </c>
      <c r="P7" t="s">
        <v>42</v>
      </c>
      <c r="Q7" t="s">
        <v>43</v>
      </c>
      <c r="R7">
        <v>98273</v>
      </c>
      <c r="S7" s="1">
        <v>42005</v>
      </c>
      <c r="T7" s="1">
        <v>42014</v>
      </c>
      <c r="U7">
        <v>20.38</v>
      </c>
      <c r="V7">
        <v>6</v>
      </c>
      <c r="W7">
        <v>36.090000000000003</v>
      </c>
      <c r="X7">
        <v>86234</v>
      </c>
      <c r="Y7">
        <f>cleaneddata[[#This Row],[Unit Price]]-cleaneddata[[#This Row],[Discount]]</f>
        <v>5.83</v>
      </c>
      <c r="Z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" spans="1:26" x14ac:dyDescent="0.3">
      <c r="A8">
        <v>1910</v>
      </c>
      <c r="B8" t="s">
        <v>45</v>
      </c>
      <c r="C8" t="s">
        <v>46</v>
      </c>
      <c r="D8">
        <v>0.02</v>
      </c>
      <c r="E8">
        <v>29.17</v>
      </c>
      <c r="F8">
        <v>6.27</v>
      </c>
      <c r="G8" t="s">
        <v>14</v>
      </c>
      <c r="H8" t="s">
        <v>47</v>
      </c>
      <c r="I8" t="s">
        <v>24</v>
      </c>
      <c r="J8" t="s">
        <v>48</v>
      </c>
      <c r="K8" t="s">
        <v>49</v>
      </c>
      <c r="L8" t="s">
        <v>50</v>
      </c>
      <c r="M8">
        <v>0.37</v>
      </c>
      <c r="N8" t="s">
        <v>8</v>
      </c>
      <c r="O8" t="s">
        <v>9</v>
      </c>
      <c r="P8" t="s">
        <v>51</v>
      </c>
      <c r="Q8" t="s">
        <v>52</v>
      </c>
      <c r="R8">
        <v>30269</v>
      </c>
      <c r="S8" s="1">
        <v>42005</v>
      </c>
      <c r="T8" s="1">
        <v>42006</v>
      </c>
      <c r="U8">
        <v>36.905999999999999</v>
      </c>
      <c r="V8">
        <v>2</v>
      </c>
      <c r="W8">
        <v>63.32</v>
      </c>
      <c r="X8">
        <v>91371</v>
      </c>
      <c r="Y8">
        <f>cleaneddata[[#This Row],[Unit Price]]-cleaneddata[[#This Row],[Discount]]</f>
        <v>29.150000000000002</v>
      </c>
      <c r="Z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" spans="1:26" x14ac:dyDescent="0.3">
      <c r="A9">
        <v>674</v>
      </c>
      <c r="B9" t="s">
        <v>53</v>
      </c>
      <c r="C9" t="s">
        <v>1</v>
      </c>
      <c r="D9">
        <v>0.06</v>
      </c>
      <c r="E9">
        <v>161.55000000000001</v>
      </c>
      <c r="F9">
        <v>19.989999999999998</v>
      </c>
      <c r="G9" t="s">
        <v>14</v>
      </c>
      <c r="H9" t="s">
        <v>3</v>
      </c>
      <c r="I9" t="s">
        <v>24</v>
      </c>
      <c r="J9" t="s">
        <v>54</v>
      </c>
      <c r="K9" t="s">
        <v>49</v>
      </c>
      <c r="L9" t="s">
        <v>55</v>
      </c>
      <c r="M9">
        <v>0.66</v>
      </c>
      <c r="N9" t="s">
        <v>8</v>
      </c>
      <c r="O9" t="s">
        <v>28</v>
      </c>
      <c r="P9" t="s">
        <v>56</v>
      </c>
      <c r="Q9" t="s">
        <v>57</v>
      </c>
      <c r="R9">
        <v>64133</v>
      </c>
      <c r="S9" s="1">
        <v>42006</v>
      </c>
      <c r="T9" s="1">
        <v>42007</v>
      </c>
      <c r="U9">
        <v>-7.58</v>
      </c>
      <c r="V9">
        <v>3</v>
      </c>
      <c r="W9">
        <v>485.01</v>
      </c>
      <c r="X9">
        <v>88174</v>
      </c>
      <c r="Y9">
        <f>cleaneddata[[#This Row],[Unit Price]]-cleaneddata[[#This Row],[Discount]]</f>
        <v>161.49</v>
      </c>
      <c r="Z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" spans="1:26" x14ac:dyDescent="0.3">
      <c r="A10">
        <v>950</v>
      </c>
      <c r="B10" t="s">
        <v>58</v>
      </c>
      <c r="C10" t="s">
        <v>1</v>
      </c>
      <c r="D10">
        <v>0.06</v>
      </c>
      <c r="E10">
        <v>40.98</v>
      </c>
      <c r="F10">
        <v>2.99</v>
      </c>
      <c r="G10" t="s">
        <v>14</v>
      </c>
      <c r="H10" t="s">
        <v>15</v>
      </c>
      <c r="I10" t="s">
        <v>24</v>
      </c>
      <c r="J10" t="s">
        <v>48</v>
      </c>
      <c r="K10" t="s">
        <v>49</v>
      </c>
      <c r="L10" t="s">
        <v>59</v>
      </c>
      <c r="M10">
        <v>0.36</v>
      </c>
      <c r="N10" t="s">
        <v>8</v>
      </c>
      <c r="O10" t="s">
        <v>28</v>
      </c>
      <c r="P10" t="s">
        <v>60</v>
      </c>
      <c r="Q10" t="s">
        <v>61</v>
      </c>
      <c r="R10">
        <v>55372</v>
      </c>
      <c r="S10" s="1">
        <v>42006</v>
      </c>
      <c r="T10" s="1">
        <v>42008</v>
      </c>
      <c r="U10">
        <v>-14.801880000000001</v>
      </c>
      <c r="V10">
        <v>1</v>
      </c>
      <c r="W10">
        <v>41.6</v>
      </c>
      <c r="X10">
        <v>89083</v>
      </c>
      <c r="Y10">
        <f>cleaneddata[[#This Row],[Unit Price]]-cleaneddata[[#This Row],[Discount]]</f>
        <v>40.919999999999995</v>
      </c>
      <c r="Z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" spans="1:26" x14ac:dyDescent="0.3">
      <c r="A11">
        <v>1155</v>
      </c>
      <c r="B11" t="s">
        <v>62</v>
      </c>
      <c r="C11" t="s">
        <v>1</v>
      </c>
      <c r="D11">
        <v>0.09</v>
      </c>
      <c r="E11">
        <v>9.11</v>
      </c>
      <c r="F11">
        <v>2.15</v>
      </c>
      <c r="G11" t="s">
        <v>63</v>
      </c>
      <c r="H11" t="s">
        <v>15</v>
      </c>
      <c r="I11" t="s">
        <v>24</v>
      </c>
      <c r="J11" t="s">
        <v>64</v>
      </c>
      <c r="K11" t="s">
        <v>26</v>
      </c>
      <c r="L11" t="s">
        <v>65</v>
      </c>
      <c r="M11">
        <v>0.4</v>
      </c>
      <c r="N11" t="s">
        <v>8</v>
      </c>
      <c r="O11" t="s">
        <v>35</v>
      </c>
      <c r="P11" t="s">
        <v>66</v>
      </c>
      <c r="Q11" t="s">
        <v>67</v>
      </c>
      <c r="R11">
        <v>90640</v>
      </c>
      <c r="S11" s="1">
        <v>42006</v>
      </c>
      <c r="T11" s="1">
        <v>42008</v>
      </c>
      <c r="U11">
        <v>20.299600000000002</v>
      </c>
      <c r="V11">
        <v>4</v>
      </c>
      <c r="W11">
        <v>34.409999999999997</v>
      </c>
      <c r="X11">
        <v>90853</v>
      </c>
      <c r="Y11">
        <f>cleaneddata[[#This Row],[Unit Price]]-cleaneddata[[#This Row],[Discount]]</f>
        <v>9.02</v>
      </c>
      <c r="Z1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" spans="1:26" x14ac:dyDescent="0.3">
      <c r="A12">
        <v>1155</v>
      </c>
      <c r="B12" t="s">
        <v>62</v>
      </c>
      <c r="C12" t="s">
        <v>1</v>
      </c>
      <c r="D12">
        <v>0.08</v>
      </c>
      <c r="E12">
        <v>15.04</v>
      </c>
      <c r="F12">
        <v>1.97</v>
      </c>
      <c r="G12" t="s">
        <v>14</v>
      </c>
      <c r="H12" t="s">
        <v>15</v>
      </c>
      <c r="I12" t="s">
        <v>24</v>
      </c>
      <c r="J12" t="s">
        <v>64</v>
      </c>
      <c r="K12" t="s">
        <v>26</v>
      </c>
      <c r="L12" t="s">
        <v>68</v>
      </c>
      <c r="M12">
        <v>0.39</v>
      </c>
      <c r="N12" t="s">
        <v>8</v>
      </c>
      <c r="O12" t="s">
        <v>35</v>
      </c>
      <c r="P12" t="s">
        <v>66</v>
      </c>
      <c r="Q12" t="s">
        <v>67</v>
      </c>
      <c r="R12">
        <v>90640</v>
      </c>
      <c r="S12" s="1">
        <v>42006</v>
      </c>
      <c r="T12" s="1">
        <v>42006</v>
      </c>
      <c r="U12">
        <v>108.5163</v>
      </c>
      <c r="V12">
        <v>11</v>
      </c>
      <c r="W12">
        <v>157.27000000000001</v>
      </c>
      <c r="X12">
        <v>90853</v>
      </c>
      <c r="Y12">
        <f>cleaneddata[[#This Row],[Unit Price]]-cleaneddata[[#This Row],[Discount]]</f>
        <v>14.959999999999999</v>
      </c>
      <c r="Z1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" spans="1:26" x14ac:dyDescent="0.3">
      <c r="A13">
        <v>2256</v>
      </c>
      <c r="B13" t="s">
        <v>69</v>
      </c>
      <c r="C13" t="s">
        <v>1</v>
      </c>
      <c r="D13">
        <v>7.0000000000000007E-2</v>
      </c>
      <c r="E13">
        <v>60.97</v>
      </c>
      <c r="F13">
        <v>4.5</v>
      </c>
      <c r="G13" t="s">
        <v>63</v>
      </c>
      <c r="H13" t="s">
        <v>70</v>
      </c>
      <c r="I13" t="s">
        <v>24</v>
      </c>
      <c r="J13" t="s">
        <v>71</v>
      </c>
      <c r="K13" t="s">
        <v>49</v>
      </c>
      <c r="L13" t="s">
        <v>72</v>
      </c>
      <c r="M13">
        <v>0.56000000000000005</v>
      </c>
      <c r="N13" t="s">
        <v>8</v>
      </c>
      <c r="O13" t="s">
        <v>9</v>
      </c>
      <c r="P13" t="s">
        <v>73</v>
      </c>
      <c r="Q13" t="s">
        <v>74</v>
      </c>
      <c r="R13">
        <v>28560</v>
      </c>
      <c r="S13" s="1">
        <v>42006</v>
      </c>
      <c r="T13" s="1">
        <v>42008</v>
      </c>
      <c r="U13">
        <v>-42.588000000000001</v>
      </c>
      <c r="V13">
        <v>6</v>
      </c>
      <c r="W13">
        <v>361.72</v>
      </c>
      <c r="X13">
        <v>87963</v>
      </c>
      <c r="Y13">
        <f>cleaneddata[[#This Row],[Unit Price]]-cleaneddata[[#This Row],[Discount]]</f>
        <v>60.9</v>
      </c>
      <c r="Z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" spans="1:26" x14ac:dyDescent="0.3">
      <c r="A14">
        <v>949</v>
      </c>
      <c r="B14" t="s">
        <v>75</v>
      </c>
      <c r="C14" t="s">
        <v>1</v>
      </c>
      <c r="D14">
        <v>0.06</v>
      </c>
      <c r="E14">
        <v>40.98</v>
      </c>
      <c r="F14">
        <v>2.99</v>
      </c>
      <c r="G14" t="s">
        <v>14</v>
      </c>
      <c r="H14" t="s">
        <v>15</v>
      </c>
      <c r="I14" t="s">
        <v>24</v>
      </c>
      <c r="J14" t="s">
        <v>48</v>
      </c>
      <c r="K14" t="s">
        <v>49</v>
      </c>
      <c r="L14" t="s">
        <v>59</v>
      </c>
      <c r="M14">
        <v>0.36</v>
      </c>
      <c r="N14" t="s">
        <v>8</v>
      </c>
      <c r="O14" t="s">
        <v>35</v>
      </c>
      <c r="P14" t="s">
        <v>66</v>
      </c>
      <c r="Q14" t="s">
        <v>76</v>
      </c>
      <c r="R14">
        <v>90049</v>
      </c>
      <c r="S14" s="1">
        <v>42006</v>
      </c>
      <c r="T14" s="1">
        <v>42008</v>
      </c>
      <c r="U14">
        <v>-19.0992</v>
      </c>
      <c r="V14">
        <v>3</v>
      </c>
      <c r="W14">
        <v>124.81</v>
      </c>
      <c r="X14">
        <v>9285</v>
      </c>
      <c r="Y14">
        <f>cleaneddata[[#This Row],[Unit Price]]-cleaneddata[[#This Row],[Discount]]</f>
        <v>40.919999999999995</v>
      </c>
      <c r="Z1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" spans="1:26" x14ac:dyDescent="0.3">
      <c r="A15">
        <v>1136</v>
      </c>
      <c r="B15" t="s">
        <v>77</v>
      </c>
      <c r="C15" t="s">
        <v>13</v>
      </c>
      <c r="D15">
        <v>0.09</v>
      </c>
      <c r="E15">
        <v>270.97000000000003</v>
      </c>
      <c r="F15">
        <v>28.06</v>
      </c>
      <c r="G15" t="s">
        <v>2</v>
      </c>
      <c r="H15" t="s">
        <v>15</v>
      </c>
      <c r="I15" t="s">
        <v>16</v>
      </c>
      <c r="J15" t="s">
        <v>32</v>
      </c>
      <c r="K15" t="s">
        <v>33</v>
      </c>
      <c r="L15" t="s">
        <v>78</v>
      </c>
      <c r="M15">
        <v>0.56000000000000005</v>
      </c>
      <c r="N15" t="s">
        <v>8</v>
      </c>
      <c r="O15" t="s">
        <v>28</v>
      </c>
      <c r="P15" t="s">
        <v>79</v>
      </c>
      <c r="Q15" t="s">
        <v>80</v>
      </c>
      <c r="R15">
        <v>60188</v>
      </c>
      <c r="S15" s="1">
        <v>42006</v>
      </c>
      <c r="T15" s="1">
        <v>42008</v>
      </c>
      <c r="U15">
        <v>2660.1432</v>
      </c>
      <c r="V15">
        <v>15</v>
      </c>
      <c r="W15">
        <v>3855.28</v>
      </c>
      <c r="X15">
        <v>87940</v>
      </c>
      <c r="Y15">
        <f>cleaneddata[[#This Row],[Unit Price]]-cleaneddata[[#This Row],[Discount]]</f>
        <v>270.88000000000005</v>
      </c>
      <c r="Z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" spans="1:26" x14ac:dyDescent="0.3">
      <c r="A16">
        <v>67</v>
      </c>
      <c r="B16" t="s">
        <v>81</v>
      </c>
      <c r="C16" t="s">
        <v>23</v>
      </c>
      <c r="D16">
        <v>0.05</v>
      </c>
      <c r="E16">
        <v>155.06</v>
      </c>
      <c r="F16">
        <v>7.07</v>
      </c>
      <c r="G16" t="s">
        <v>14</v>
      </c>
      <c r="H16" t="s">
        <v>70</v>
      </c>
      <c r="I16" t="s">
        <v>24</v>
      </c>
      <c r="J16" t="s">
        <v>54</v>
      </c>
      <c r="K16" t="s">
        <v>49</v>
      </c>
      <c r="L16" t="s">
        <v>82</v>
      </c>
      <c r="M16">
        <v>0.59</v>
      </c>
      <c r="N16" t="s">
        <v>8</v>
      </c>
      <c r="O16" t="s">
        <v>35</v>
      </c>
      <c r="P16" t="s">
        <v>66</v>
      </c>
      <c r="Q16" t="s">
        <v>83</v>
      </c>
      <c r="R16">
        <v>94559</v>
      </c>
      <c r="S16" s="1">
        <v>42006</v>
      </c>
      <c r="T16" s="1">
        <v>42013</v>
      </c>
      <c r="U16">
        <v>845.66399999999999</v>
      </c>
      <c r="V16">
        <v>8</v>
      </c>
      <c r="W16">
        <v>1225.5999999999999</v>
      </c>
      <c r="X16">
        <v>87946</v>
      </c>
      <c r="Y16">
        <f>cleaneddata[[#This Row],[Unit Price]]-cleaneddata[[#This Row],[Discount]]</f>
        <v>155.01</v>
      </c>
      <c r="Z1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" spans="1:26" x14ac:dyDescent="0.3">
      <c r="A17">
        <v>68</v>
      </c>
      <c r="B17" t="s">
        <v>84</v>
      </c>
      <c r="C17" t="s">
        <v>23</v>
      </c>
      <c r="D17">
        <v>0</v>
      </c>
      <c r="E17">
        <v>291.73</v>
      </c>
      <c r="F17">
        <v>48.8</v>
      </c>
      <c r="G17" t="s">
        <v>2</v>
      </c>
      <c r="H17" t="s">
        <v>70</v>
      </c>
      <c r="I17" t="s">
        <v>4</v>
      </c>
      <c r="J17" t="s">
        <v>85</v>
      </c>
      <c r="K17" t="s">
        <v>33</v>
      </c>
      <c r="L17" t="s">
        <v>86</v>
      </c>
      <c r="M17">
        <v>0.56000000000000005</v>
      </c>
      <c r="N17" t="s">
        <v>8</v>
      </c>
      <c r="O17" t="s">
        <v>87</v>
      </c>
      <c r="P17" t="s">
        <v>88</v>
      </c>
      <c r="Q17" t="s">
        <v>89</v>
      </c>
      <c r="R17">
        <v>10177</v>
      </c>
      <c r="S17" s="1">
        <v>42006</v>
      </c>
      <c r="T17" s="1">
        <v>42006</v>
      </c>
      <c r="U17">
        <v>-308.928</v>
      </c>
      <c r="V17">
        <v>4</v>
      </c>
      <c r="W17">
        <v>1239.06</v>
      </c>
      <c r="X17">
        <v>37537</v>
      </c>
      <c r="Y17">
        <f>cleaneddata[[#This Row],[Unit Price]]-cleaneddata[[#This Row],[Discount]]</f>
        <v>291.73</v>
      </c>
      <c r="Z1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" spans="1:26" x14ac:dyDescent="0.3">
      <c r="A18">
        <v>68</v>
      </c>
      <c r="B18" t="s">
        <v>84</v>
      </c>
      <c r="C18" t="s">
        <v>23</v>
      </c>
      <c r="D18">
        <v>7.0000000000000007E-2</v>
      </c>
      <c r="E18">
        <v>100.98</v>
      </c>
      <c r="F18">
        <v>45</v>
      </c>
      <c r="G18" t="s">
        <v>2</v>
      </c>
      <c r="H18" t="s">
        <v>70</v>
      </c>
      <c r="I18" t="s">
        <v>4</v>
      </c>
      <c r="J18" t="s">
        <v>85</v>
      </c>
      <c r="K18" t="s">
        <v>33</v>
      </c>
      <c r="L18" t="s">
        <v>90</v>
      </c>
      <c r="M18">
        <v>0.69</v>
      </c>
      <c r="N18" t="s">
        <v>8</v>
      </c>
      <c r="O18" t="s">
        <v>87</v>
      </c>
      <c r="P18" t="s">
        <v>88</v>
      </c>
      <c r="Q18" t="s">
        <v>89</v>
      </c>
      <c r="R18">
        <v>10177</v>
      </c>
      <c r="S18" s="1">
        <v>42006</v>
      </c>
      <c r="T18" s="1">
        <v>42008</v>
      </c>
      <c r="U18">
        <v>-1679.76</v>
      </c>
      <c r="V18">
        <v>43</v>
      </c>
      <c r="W18">
        <v>4083.19</v>
      </c>
      <c r="X18">
        <v>37537</v>
      </c>
      <c r="Y18">
        <f>cleaneddata[[#This Row],[Unit Price]]-cleaneddata[[#This Row],[Discount]]</f>
        <v>100.91000000000001</v>
      </c>
      <c r="Z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" spans="1:26" x14ac:dyDescent="0.3">
      <c r="A19">
        <v>68</v>
      </c>
      <c r="B19" t="s">
        <v>84</v>
      </c>
      <c r="C19" t="s">
        <v>23</v>
      </c>
      <c r="D19">
        <v>0.05</v>
      </c>
      <c r="E19">
        <v>155.06</v>
      </c>
      <c r="F19">
        <v>7.07</v>
      </c>
      <c r="G19" t="s">
        <v>14</v>
      </c>
      <c r="H19" t="s">
        <v>70</v>
      </c>
      <c r="I19" t="s">
        <v>24</v>
      </c>
      <c r="J19" t="s">
        <v>54</v>
      </c>
      <c r="K19" t="s">
        <v>49</v>
      </c>
      <c r="L19" t="s">
        <v>82</v>
      </c>
      <c r="M19">
        <v>0.59</v>
      </c>
      <c r="N19" t="s">
        <v>8</v>
      </c>
      <c r="O19" t="s">
        <v>87</v>
      </c>
      <c r="P19" t="s">
        <v>88</v>
      </c>
      <c r="Q19" t="s">
        <v>89</v>
      </c>
      <c r="R19">
        <v>10177</v>
      </c>
      <c r="S19" s="1">
        <v>42006</v>
      </c>
      <c r="T19" s="1">
        <v>42013</v>
      </c>
      <c r="U19">
        <v>575.39599999999996</v>
      </c>
      <c r="V19">
        <v>32</v>
      </c>
      <c r="W19">
        <v>4902.38</v>
      </c>
      <c r="X19">
        <v>37537</v>
      </c>
      <c r="Y19">
        <f>cleaneddata[[#This Row],[Unit Price]]-cleaneddata[[#This Row],[Discount]]</f>
        <v>155.01</v>
      </c>
      <c r="Z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0" spans="1:26" x14ac:dyDescent="0.3">
      <c r="A20">
        <v>164</v>
      </c>
      <c r="B20" t="s">
        <v>91</v>
      </c>
      <c r="C20" t="s">
        <v>92</v>
      </c>
      <c r="D20">
        <v>0.05</v>
      </c>
      <c r="E20">
        <v>100.98</v>
      </c>
      <c r="F20">
        <v>35.840000000000003</v>
      </c>
      <c r="G20" t="s">
        <v>2</v>
      </c>
      <c r="H20" t="s">
        <v>47</v>
      </c>
      <c r="I20" t="s">
        <v>4</v>
      </c>
      <c r="J20" t="s">
        <v>93</v>
      </c>
      <c r="K20" t="s">
        <v>6</v>
      </c>
      <c r="L20" t="s">
        <v>94</v>
      </c>
      <c r="M20">
        <v>0.62</v>
      </c>
      <c r="N20" t="s">
        <v>8</v>
      </c>
      <c r="O20" t="s">
        <v>35</v>
      </c>
      <c r="P20" t="s">
        <v>42</v>
      </c>
      <c r="Q20" t="s">
        <v>95</v>
      </c>
      <c r="R20">
        <v>99352</v>
      </c>
      <c r="S20" s="1">
        <v>42006</v>
      </c>
      <c r="T20" s="1">
        <v>42008</v>
      </c>
      <c r="U20">
        <v>-111.4</v>
      </c>
      <c r="V20">
        <v>7</v>
      </c>
      <c r="W20">
        <v>715.55</v>
      </c>
      <c r="X20">
        <v>89961</v>
      </c>
      <c r="Y20">
        <f>cleaneddata[[#This Row],[Unit Price]]-cleaneddata[[#This Row],[Discount]]</f>
        <v>100.93</v>
      </c>
      <c r="Z2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1" spans="1:26" x14ac:dyDescent="0.3">
      <c r="A21">
        <v>164</v>
      </c>
      <c r="B21" t="s">
        <v>91</v>
      </c>
      <c r="C21" t="s">
        <v>92</v>
      </c>
      <c r="D21">
        <v>0.02</v>
      </c>
      <c r="E21">
        <v>4.9800000000000004</v>
      </c>
      <c r="F21">
        <v>5.49</v>
      </c>
      <c r="G21" t="s">
        <v>14</v>
      </c>
      <c r="H21" t="s">
        <v>47</v>
      </c>
      <c r="I21" t="s">
        <v>24</v>
      </c>
      <c r="J21" t="s">
        <v>64</v>
      </c>
      <c r="K21" t="s">
        <v>49</v>
      </c>
      <c r="L21" t="s">
        <v>96</v>
      </c>
      <c r="M21">
        <v>0.38</v>
      </c>
      <c r="N21" t="s">
        <v>8</v>
      </c>
      <c r="O21" t="s">
        <v>35</v>
      </c>
      <c r="P21" t="s">
        <v>42</v>
      </c>
      <c r="Q21" t="s">
        <v>95</v>
      </c>
      <c r="R21">
        <v>99352</v>
      </c>
      <c r="S21" s="1">
        <v>42006</v>
      </c>
      <c r="T21" s="1">
        <v>42007</v>
      </c>
      <c r="U21">
        <v>-77.03</v>
      </c>
      <c r="V21">
        <v>9</v>
      </c>
      <c r="W21">
        <v>45.63</v>
      </c>
      <c r="X21">
        <v>89961</v>
      </c>
      <c r="Y21">
        <f>cleaneddata[[#This Row],[Unit Price]]-cleaneddata[[#This Row],[Discount]]</f>
        <v>4.9600000000000009</v>
      </c>
      <c r="Z2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2" spans="1:26" x14ac:dyDescent="0.3">
      <c r="A22">
        <v>258</v>
      </c>
      <c r="B22" t="s">
        <v>97</v>
      </c>
      <c r="C22" t="s">
        <v>92</v>
      </c>
      <c r="D22">
        <v>0.05</v>
      </c>
      <c r="E22">
        <v>17.48</v>
      </c>
      <c r="F22">
        <v>1.99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  <c r="L22" t="s">
        <v>98</v>
      </c>
      <c r="M22">
        <v>0.45</v>
      </c>
      <c r="N22" t="s">
        <v>8</v>
      </c>
      <c r="O22" t="s">
        <v>9</v>
      </c>
      <c r="P22" t="s">
        <v>99</v>
      </c>
      <c r="Q22" t="s">
        <v>100</v>
      </c>
      <c r="R22">
        <v>33772</v>
      </c>
      <c r="S22" s="1">
        <v>42006</v>
      </c>
      <c r="T22" s="1">
        <v>42008</v>
      </c>
      <c r="U22">
        <v>-127.008</v>
      </c>
      <c r="V22">
        <v>3</v>
      </c>
      <c r="W22">
        <v>52.47</v>
      </c>
      <c r="X22">
        <v>85858</v>
      </c>
      <c r="Y22">
        <f>cleaneddata[[#This Row],[Unit Price]]-cleaneddata[[#This Row],[Discount]]</f>
        <v>17.43</v>
      </c>
      <c r="Z2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3" spans="1:26" x14ac:dyDescent="0.3">
      <c r="A23">
        <v>349</v>
      </c>
      <c r="B23" t="s">
        <v>101</v>
      </c>
      <c r="C23" t="s">
        <v>92</v>
      </c>
      <c r="D23">
        <v>0.04</v>
      </c>
      <c r="E23">
        <v>99.23</v>
      </c>
      <c r="F23">
        <v>8.99</v>
      </c>
      <c r="G23" t="s">
        <v>14</v>
      </c>
      <c r="H23" t="s">
        <v>47</v>
      </c>
      <c r="I23" t="s">
        <v>4</v>
      </c>
      <c r="J23" t="s">
        <v>102</v>
      </c>
      <c r="K23" t="s">
        <v>18</v>
      </c>
      <c r="L23" t="s">
        <v>103</v>
      </c>
      <c r="M23">
        <v>0.35</v>
      </c>
      <c r="N23" t="s">
        <v>8</v>
      </c>
      <c r="O23" t="s">
        <v>9</v>
      </c>
      <c r="P23" t="s">
        <v>99</v>
      </c>
      <c r="Q23" t="s">
        <v>104</v>
      </c>
      <c r="R23">
        <v>33132</v>
      </c>
      <c r="S23" s="1">
        <v>42006</v>
      </c>
      <c r="T23" s="1">
        <v>42008</v>
      </c>
      <c r="U23">
        <v>1916.6757</v>
      </c>
      <c r="V23">
        <v>54</v>
      </c>
      <c r="W23">
        <v>5555.6</v>
      </c>
      <c r="X23">
        <v>11527</v>
      </c>
      <c r="Y23">
        <f>cleaneddata[[#This Row],[Unit Price]]-cleaneddata[[#This Row],[Discount]]</f>
        <v>99.19</v>
      </c>
      <c r="Z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4" spans="1:26" x14ac:dyDescent="0.3">
      <c r="A24">
        <v>351</v>
      </c>
      <c r="B24" t="s">
        <v>105</v>
      </c>
      <c r="C24" t="s">
        <v>92</v>
      </c>
      <c r="D24">
        <v>0.04</v>
      </c>
      <c r="E24">
        <v>99.23</v>
      </c>
      <c r="F24">
        <v>8.99</v>
      </c>
      <c r="G24" t="s">
        <v>14</v>
      </c>
      <c r="H24" t="s">
        <v>47</v>
      </c>
      <c r="I24" t="s">
        <v>4</v>
      </c>
      <c r="J24" t="s">
        <v>102</v>
      </c>
      <c r="K24" t="s">
        <v>18</v>
      </c>
      <c r="L24" t="s">
        <v>103</v>
      </c>
      <c r="M24">
        <v>0.35</v>
      </c>
      <c r="N24" t="s">
        <v>8</v>
      </c>
      <c r="O24" t="s">
        <v>87</v>
      </c>
      <c r="P24" t="s">
        <v>88</v>
      </c>
      <c r="Q24" t="s">
        <v>106</v>
      </c>
      <c r="R24">
        <v>13601</v>
      </c>
      <c r="S24" s="1">
        <v>42006</v>
      </c>
      <c r="T24" s="1">
        <v>42008</v>
      </c>
      <c r="U24">
        <v>993.83460000000002</v>
      </c>
      <c r="V24">
        <v>14</v>
      </c>
      <c r="W24">
        <v>1440.34</v>
      </c>
      <c r="X24">
        <v>88686</v>
      </c>
      <c r="Y24">
        <f>cleaneddata[[#This Row],[Unit Price]]-cleaneddata[[#This Row],[Discount]]</f>
        <v>99.19</v>
      </c>
      <c r="Z2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5" spans="1:26" x14ac:dyDescent="0.3">
      <c r="A25">
        <v>388</v>
      </c>
      <c r="B25" t="s">
        <v>107</v>
      </c>
      <c r="C25" t="s">
        <v>1</v>
      </c>
      <c r="D25">
        <v>0.03</v>
      </c>
      <c r="E25">
        <v>5.28</v>
      </c>
      <c r="F25">
        <v>5.66</v>
      </c>
      <c r="G25" t="s">
        <v>14</v>
      </c>
      <c r="H25" t="s">
        <v>70</v>
      </c>
      <c r="I25" t="s">
        <v>24</v>
      </c>
      <c r="J25" t="s">
        <v>64</v>
      </c>
      <c r="K25" t="s">
        <v>49</v>
      </c>
      <c r="L25" t="s">
        <v>108</v>
      </c>
      <c r="M25">
        <v>0.4</v>
      </c>
      <c r="N25" t="s">
        <v>8</v>
      </c>
      <c r="O25" t="s">
        <v>28</v>
      </c>
      <c r="P25" t="s">
        <v>109</v>
      </c>
      <c r="Q25" t="s">
        <v>110</v>
      </c>
      <c r="R25">
        <v>68847</v>
      </c>
      <c r="S25" s="1">
        <v>42007</v>
      </c>
      <c r="T25" s="1">
        <v>42009</v>
      </c>
      <c r="U25">
        <v>-51.559199999999997</v>
      </c>
      <c r="V25">
        <v>4</v>
      </c>
      <c r="W25">
        <v>22.82</v>
      </c>
      <c r="X25">
        <v>90337</v>
      </c>
      <c r="Y25">
        <f>cleaneddata[[#This Row],[Unit Price]]-cleaneddata[[#This Row],[Discount]]</f>
        <v>5.25</v>
      </c>
      <c r="Z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6" spans="1:26" x14ac:dyDescent="0.3">
      <c r="A26">
        <v>388</v>
      </c>
      <c r="B26" t="s">
        <v>107</v>
      </c>
      <c r="C26" t="s">
        <v>1</v>
      </c>
      <c r="D26">
        <v>0.01</v>
      </c>
      <c r="E26">
        <v>110.99</v>
      </c>
      <c r="F26">
        <v>2.5</v>
      </c>
      <c r="G26" t="s">
        <v>14</v>
      </c>
      <c r="H26" t="s">
        <v>70</v>
      </c>
      <c r="I26" t="s">
        <v>16</v>
      </c>
      <c r="J26" t="s">
        <v>111</v>
      </c>
      <c r="K26" t="s">
        <v>49</v>
      </c>
      <c r="L26" t="s">
        <v>112</v>
      </c>
      <c r="M26">
        <v>0.56999999999999995</v>
      </c>
      <c r="N26" t="s">
        <v>8</v>
      </c>
      <c r="O26" t="s">
        <v>28</v>
      </c>
      <c r="P26" t="s">
        <v>109</v>
      </c>
      <c r="Q26" t="s">
        <v>110</v>
      </c>
      <c r="R26">
        <v>68847</v>
      </c>
      <c r="S26" s="1">
        <v>42007</v>
      </c>
      <c r="T26" s="1">
        <v>42010</v>
      </c>
      <c r="U26">
        <v>-263.56572</v>
      </c>
      <c r="V26">
        <v>2</v>
      </c>
      <c r="W26">
        <v>188.66</v>
      </c>
      <c r="X26">
        <v>90337</v>
      </c>
      <c r="Y26">
        <f>cleaneddata[[#This Row],[Unit Price]]-cleaneddata[[#This Row],[Discount]]</f>
        <v>110.97999999999999</v>
      </c>
      <c r="Z2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7" spans="1:26" x14ac:dyDescent="0.3">
      <c r="A27">
        <v>114</v>
      </c>
      <c r="B27" t="s">
        <v>113</v>
      </c>
      <c r="C27" t="s">
        <v>13</v>
      </c>
      <c r="D27">
        <v>0.03</v>
      </c>
      <c r="E27">
        <v>4.26</v>
      </c>
      <c r="F27">
        <v>1.2</v>
      </c>
      <c r="G27" t="s">
        <v>14</v>
      </c>
      <c r="H27" t="s">
        <v>47</v>
      </c>
      <c r="I27" t="s">
        <v>24</v>
      </c>
      <c r="J27" t="s">
        <v>25</v>
      </c>
      <c r="K27" t="s">
        <v>26</v>
      </c>
      <c r="L27" t="s">
        <v>114</v>
      </c>
      <c r="M27">
        <v>0.44</v>
      </c>
      <c r="N27" t="s">
        <v>8</v>
      </c>
      <c r="O27" t="s">
        <v>35</v>
      </c>
      <c r="P27" t="s">
        <v>115</v>
      </c>
      <c r="Q27" t="s">
        <v>116</v>
      </c>
      <c r="R27">
        <v>97035</v>
      </c>
      <c r="S27" s="1">
        <v>42007</v>
      </c>
      <c r="T27" s="1">
        <v>42008</v>
      </c>
      <c r="U27">
        <v>18.658000000000001</v>
      </c>
      <c r="V27">
        <v>7</v>
      </c>
      <c r="W27">
        <v>29.5</v>
      </c>
      <c r="X27">
        <v>89583</v>
      </c>
      <c r="Y27">
        <f>cleaneddata[[#This Row],[Unit Price]]-cleaneddata[[#This Row],[Discount]]</f>
        <v>4.2299999999999995</v>
      </c>
      <c r="Z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8" spans="1:26" x14ac:dyDescent="0.3">
      <c r="A28">
        <v>117</v>
      </c>
      <c r="B28" t="s">
        <v>117</v>
      </c>
      <c r="C28" t="s">
        <v>13</v>
      </c>
      <c r="D28">
        <v>0.03</v>
      </c>
      <c r="E28">
        <v>4.26</v>
      </c>
      <c r="F28">
        <v>1.2</v>
      </c>
      <c r="G28" t="s">
        <v>14</v>
      </c>
      <c r="H28" t="s">
        <v>47</v>
      </c>
      <c r="I28" t="s">
        <v>24</v>
      </c>
      <c r="J28" t="s">
        <v>25</v>
      </c>
      <c r="K28" t="s">
        <v>26</v>
      </c>
      <c r="L28" t="s">
        <v>114</v>
      </c>
      <c r="M28">
        <v>0.44</v>
      </c>
      <c r="N28" t="s">
        <v>8</v>
      </c>
      <c r="O28" t="s">
        <v>35</v>
      </c>
      <c r="P28" t="s">
        <v>42</v>
      </c>
      <c r="Q28" t="s">
        <v>118</v>
      </c>
      <c r="R28">
        <v>98103</v>
      </c>
      <c r="S28" s="1">
        <v>42007</v>
      </c>
      <c r="T28" s="1">
        <v>42008</v>
      </c>
      <c r="U28">
        <v>9.82</v>
      </c>
      <c r="V28">
        <v>29</v>
      </c>
      <c r="W28">
        <v>122.23</v>
      </c>
      <c r="X28">
        <v>7909</v>
      </c>
      <c r="Y28">
        <f>cleaneddata[[#This Row],[Unit Price]]-cleaneddata[[#This Row],[Discount]]</f>
        <v>4.2299999999999995</v>
      </c>
      <c r="Z2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9" spans="1:26" x14ac:dyDescent="0.3">
      <c r="A29">
        <v>1988</v>
      </c>
      <c r="B29" t="s">
        <v>119</v>
      </c>
      <c r="C29" t="s">
        <v>13</v>
      </c>
      <c r="D29">
        <v>0.05</v>
      </c>
      <c r="E29">
        <v>20.98</v>
      </c>
      <c r="F29">
        <v>21.2</v>
      </c>
      <c r="G29" t="s">
        <v>14</v>
      </c>
      <c r="H29" t="s">
        <v>47</v>
      </c>
      <c r="I29" t="s">
        <v>4</v>
      </c>
      <c r="J29" t="s">
        <v>102</v>
      </c>
      <c r="K29" t="s">
        <v>120</v>
      </c>
      <c r="L29" t="s">
        <v>121</v>
      </c>
      <c r="M29">
        <v>0.78</v>
      </c>
      <c r="N29" t="s">
        <v>8</v>
      </c>
      <c r="O29" t="s">
        <v>35</v>
      </c>
      <c r="P29" t="s">
        <v>122</v>
      </c>
      <c r="Q29" t="s">
        <v>123</v>
      </c>
      <c r="R29">
        <v>84020</v>
      </c>
      <c r="S29" s="1">
        <v>42007</v>
      </c>
      <c r="T29" s="1">
        <v>42008</v>
      </c>
      <c r="U29">
        <v>-181.102</v>
      </c>
      <c r="V29">
        <v>3</v>
      </c>
      <c r="W29">
        <v>65.69</v>
      </c>
      <c r="X29">
        <v>89999</v>
      </c>
      <c r="Y29">
        <f>cleaneddata[[#This Row],[Unit Price]]-cleaneddata[[#This Row],[Discount]]</f>
        <v>20.93</v>
      </c>
      <c r="Z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0" spans="1:26" x14ac:dyDescent="0.3">
      <c r="A30">
        <v>2131</v>
      </c>
      <c r="B30" t="s">
        <v>124</v>
      </c>
      <c r="C30" t="s">
        <v>13</v>
      </c>
      <c r="D30">
        <v>0.09</v>
      </c>
      <c r="E30">
        <v>150.97999999999999</v>
      </c>
      <c r="F30">
        <v>66.27</v>
      </c>
      <c r="G30" t="s">
        <v>2</v>
      </c>
      <c r="H30" t="s">
        <v>47</v>
      </c>
      <c r="I30" t="s">
        <v>4</v>
      </c>
      <c r="J30" t="s">
        <v>93</v>
      </c>
      <c r="K30" t="s">
        <v>6</v>
      </c>
      <c r="L30" t="s">
        <v>125</v>
      </c>
      <c r="M30">
        <v>0.65</v>
      </c>
      <c r="N30" t="s">
        <v>8</v>
      </c>
      <c r="O30" t="s">
        <v>28</v>
      </c>
      <c r="P30" t="s">
        <v>56</v>
      </c>
      <c r="Q30" t="s">
        <v>126</v>
      </c>
      <c r="R30">
        <v>64118</v>
      </c>
      <c r="S30" s="1">
        <v>42007</v>
      </c>
      <c r="T30" s="1">
        <v>42008</v>
      </c>
      <c r="U30">
        <v>-407.85</v>
      </c>
      <c r="V30">
        <v>2</v>
      </c>
      <c r="W30">
        <v>302.33999999999997</v>
      </c>
      <c r="X30">
        <v>90079</v>
      </c>
      <c r="Y30">
        <f>cleaneddata[[#This Row],[Unit Price]]-cleaneddata[[#This Row],[Discount]]</f>
        <v>150.88999999999999</v>
      </c>
      <c r="Z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1" spans="1:26" x14ac:dyDescent="0.3">
      <c r="A31">
        <v>2302</v>
      </c>
      <c r="B31" t="s">
        <v>127</v>
      </c>
      <c r="C31" t="s">
        <v>13</v>
      </c>
      <c r="D31">
        <v>0.1</v>
      </c>
      <c r="E31">
        <v>12.53</v>
      </c>
      <c r="F31">
        <v>0.49</v>
      </c>
      <c r="G31" t="s">
        <v>14</v>
      </c>
      <c r="H31" t="s">
        <v>70</v>
      </c>
      <c r="I31" t="s">
        <v>24</v>
      </c>
      <c r="J31" t="s">
        <v>128</v>
      </c>
      <c r="K31" t="s">
        <v>49</v>
      </c>
      <c r="L31" t="s">
        <v>129</v>
      </c>
      <c r="M31">
        <v>0.38</v>
      </c>
      <c r="N31" t="s">
        <v>8</v>
      </c>
      <c r="O31" t="s">
        <v>9</v>
      </c>
      <c r="P31" t="s">
        <v>99</v>
      </c>
      <c r="Q31" t="s">
        <v>130</v>
      </c>
      <c r="R31">
        <v>32404</v>
      </c>
      <c r="S31" s="1">
        <v>42007</v>
      </c>
      <c r="T31" s="1">
        <v>42008</v>
      </c>
      <c r="U31">
        <v>244.464</v>
      </c>
      <c r="V31">
        <v>8</v>
      </c>
      <c r="W31">
        <v>92.02</v>
      </c>
      <c r="X31">
        <v>87696</v>
      </c>
      <c r="Y31">
        <f>cleaneddata[[#This Row],[Unit Price]]-cleaneddata[[#This Row],[Discount]]</f>
        <v>12.43</v>
      </c>
      <c r="Z3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2" spans="1:26" x14ac:dyDescent="0.3">
      <c r="A32">
        <v>2302</v>
      </c>
      <c r="B32" t="s">
        <v>127</v>
      </c>
      <c r="C32" t="s">
        <v>13</v>
      </c>
      <c r="D32">
        <v>0.1</v>
      </c>
      <c r="E32">
        <v>146.34</v>
      </c>
      <c r="F32">
        <v>43.75</v>
      </c>
      <c r="G32" t="s">
        <v>2</v>
      </c>
      <c r="H32" t="s">
        <v>70</v>
      </c>
      <c r="I32" t="s">
        <v>4</v>
      </c>
      <c r="J32" t="s">
        <v>5</v>
      </c>
      <c r="K32" t="s">
        <v>6</v>
      </c>
      <c r="L32" t="s">
        <v>131</v>
      </c>
      <c r="M32">
        <v>0.64</v>
      </c>
      <c r="N32" t="s">
        <v>8</v>
      </c>
      <c r="O32" t="s">
        <v>9</v>
      </c>
      <c r="P32" t="s">
        <v>99</v>
      </c>
      <c r="Q32" t="s">
        <v>130</v>
      </c>
      <c r="R32">
        <v>32404</v>
      </c>
      <c r="S32" s="1">
        <v>42007</v>
      </c>
      <c r="T32" s="1">
        <v>42008</v>
      </c>
      <c r="U32">
        <v>-473.57799999999997</v>
      </c>
      <c r="V32">
        <v>2</v>
      </c>
      <c r="W32">
        <v>283.55</v>
      </c>
      <c r="X32">
        <v>87696</v>
      </c>
      <c r="Y32">
        <f>cleaneddata[[#This Row],[Unit Price]]-cleaneddata[[#This Row],[Discount]]</f>
        <v>146.24</v>
      </c>
      <c r="Z3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3" spans="1:26" x14ac:dyDescent="0.3">
      <c r="A33">
        <v>2303</v>
      </c>
      <c r="B33" t="s">
        <v>132</v>
      </c>
      <c r="C33" t="s">
        <v>13</v>
      </c>
      <c r="D33">
        <v>0.1</v>
      </c>
      <c r="E33">
        <v>146.34</v>
      </c>
      <c r="F33">
        <v>43.75</v>
      </c>
      <c r="G33" t="s">
        <v>2</v>
      </c>
      <c r="H33" t="s">
        <v>70</v>
      </c>
      <c r="I33" t="s">
        <v>4</v>
      </c>
      <c r="J33" t="s">
        <v>5</v>
      </c>
      <c r="K33" t="s">
        <v>6</v>
      </c>
      <c r="L33" t="s">
        <v>131</v>
      </c>
      <c r="M33">
        <v>0.64</v>
      </c>
      <c r="N33" t="s">
        <v>8</v>
      </c>
      <c r="O33" t="s">
        <v>87</v>
      </c>
      <c r="P33" t="s">
        <v>88</v>
      </c>
      <c r="Q33" t="s">
        <v>89</v>
      </c>
      <c r="R33">
        <v>10011</v>
      </c>
      <c r="S33" s="1">
        <v>42007</v>
      </c>
      <c r="T33" s="1">
        <v>42008</v>
      </c>
      <c r="U33">
        <v>-270.85000000000002</v>
      </c>
      <c r="V33">
        <v>6</v>
      </c>
      <c r="W33">
        <v>850.64</v>
      </c>
      <c r="X33">
        <v>37987</v>
      </c>
      <c r="Y33">
        <f>cleaneddata[[#This Row],[Unit Price]]-cleaneddata[[#This Row],[Discount]]</f>
        <v>146.24</v>
      </c>
      <c r="Z3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4" spans="1:26" x14ac:dyDescent="0.3">
      <c r="A34">
        <v>2458</v>
      </c>
      <c r="B34" t="s">
        <v>133</v>
      </c>
      <c r="C34" t="s">
        <v>13</v>
      </c>
      <c r="D34">
        <v>0.03</v>
      </c>
      <c r="E34">
        <v>6.48</v>
      </c>
      <c r="F34">
        <v>8.73</v>
      </c>
      <c r="G34" t="s">
        <v>14</v>
      </c>
      <c r="H34" t="s">
        <v>47</v>
      </c>
      <c r="I34" t="s">
        <v>24</v>
      </c>
      <c r="J34" t="s">
        <v>64</v>
      </c>
      <c r="K34" t="s">
        <v>49</v>
      </c>
      <c r="L34" t="s">
        <v>134</v>
      </c>
      <c r="M34">
        <v>0.37</v>
      </c>
      <c r="N34" t="s">
        <v>8</v>
      </c>
      <c r="O34" t="s">
        <v>28</v>
      </c>
      <c r="P34" t="s">
        <v>60</v>
      </c>
      <c r="Q34" t="s">
        <v>135</v>
      </c>
      <c r="R34">
        <v>55410</v>
      </c>
      <c r="S34" s="1">
        <v>42007</v>
      </c>
      <c r="T34" s="1">
        <v>42009</v>
      </c>
      <c r="U34">
        <v>-35.04</v>
      </c>
      <c r="V34">
        <v>2</v>
      </c>
      <c r="W34">
        <v>15.95</v>
      </c>
      <c r="X34">
        <v>91285</v>
      </c>
      <c r="Y34">
        <f>cleaneddata[[#This Row],[Unit Price]]-cleaneddata[[#This Row],[Discount]]</f>
        <v>6.45</v>
      </c>
      <c r="Z3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" spans="1:26" x14ac:dyDescent="0.3">
      <c r="A35">
        <v>2460</v>
      </c>
      <c r="B35" t="s">
        <v>136</v>
      </c>
      <c r="C35" t="s">
        <v>13</v>
      </c>
      <c r="D35">
        <v>0.03</v>
      </c>
      <c r="E35">
        <v>6.48</v>
      </c>
      <c r="F35">
        <v>8.73</v>
      </c>
      <c r="G35" t="s">
        <v>14</v>
      </c>
      <c r="H35" t="s">
        <v>47</v>
      </c>
      <c r="I35" t="s">
        <v>24</v>
      </c>
      <c r="J35" t="s">
        <v>64</v>
      </c>
      <c r="K35" t="s">
        <v>49</v>
      </c>
      <c r="L35" t="s">
        <v>134</v>
      </c>
      <c r="M35">
        <v>0.37</v>
      </c>
      <c r="N35" t="s">
        <v>8</v>
      </c>
      <c r="O35" t="s">
        <v>87</v>
      </c>
      <c r="P35" t="s">
        <v>88</v>
      </c>
      <c r="Q35" t="s">
        <v>89</v>
      </c>
      <c r="R35">
        <v>10035</v>
      </c>
      <c r="S35" s="1">
        <v>42007</v>
      </c>
      <c r="T35" s="1">
        <v>42009</v>
      </c>
      <c r="U35">
        <v>-35.04</v>
      </c>
      <c r="V35">
        <v>8</v>
      </c>
      <c r="W35">
        <v>63.78</v>
      </c>
      <c r="X35">
        <v>30785</v>
      </c>
      <c r="Y35">
        <f>cleaneddata[[#This Row],[Unit Price]]-cleaneddata[[#This Row],[Discount]]</f>
        <v>6.45</v>
      </c>
      <c r="Z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6" spans="1:26" x14ac:dyDescent="0.3">
      <c r="A36">
        <v>2460</v>
      </c>
      <c r="B36" t="s">
        <v>136</v>
      </c>
      <c r="C36" t="s">
        <v>13</v>
      </c>
      <c r="D36">
        <v>7.0000000000000007E-2</v>
      </c>
      <c r="E36">
        <v>9.93</v>
      </c>
      <c r="F36">
        <v>1.0900000000000001</v>
      </c>
      <c r="G36" t="s">
        <v>14</v>
      </c>
      <c r="H36" t="s">
        <v>47</v>
      </c>
      <c r="I36" t="s">
        <v>24</v>
      </c>
      <c r="J36" t="s">
        <v>25</v>
      </c>
      <c r="K36" t="s">
        <v>26</v>
      </c>
      <c r="L36" t="s">
        <v>137</v>
      </c>
      <c r="M36">
        <v>0.43</v>
      </c>
      <c r="N36" t="s">
        <v>8</v>
      </c>
      <c r="O36" t="s">
        <v>87</v>
      </c>
      <c r="P36" t="s">
        <v>88</v>
      </c>
      <c r="Q36" t="s">
        <v>89</v>
      </c>
      <c r="R36">
        <v>10035</v>
      </c>
      <c r="S36" s="1">
        <v>42007</v>
      </c>
      <c r="T36" s="1">
        <v>42010</v>
      </c>
      <c r="U36">
        <v>149.53</v>
      </c>
      <c r="V36">
        <v>46</v>
      </c>
      <c r="W36">
        <v>451.61</v>
      </c>
      <c r="X36">
        <v>30785</v>
      </c>
      <c r="Y36">
        <f>cleaneddata[[#This Row],[Unit Price]]-cleaneddata[[#This Row],[Discount]]</f>
        <v>9.86</v>
      </c>
      <c r="Z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7" spans="1:26" x14ac:dyDescent="0.3">
      <c r="A37">
        <v>2579</v>
      </c>
      <c r="B37" t="s">
        <v>138</v>
      </c>
      <c r="C37" t="s">
        <v>13</v>
      </c>
      <c r="D37">
        <v>0.09</v>
      </c>
      <c r="E37">
        <v>212.6</v>
      </c>
      <c r="F37">
        <v>52.2</v>
      </c>
      <c r="G37" t="s">
        <v>2</v>
      </c>
      <c r="H37" t="s">
        <v>47</v>
      </c>
      <c r="I37" t="s">
        <v>4</v>
      </c>
      <c r="J37" t="s">
        <v>5</v>
      </c>
      <c r="K37" t="s">
        <v>6</v>
      </c>
      <c r="L37" t="s">
        <v>139</v>
      </c>
      <c r="M37">
        <v>0.64</v>
      </c>
      <c r="N37" t="s">
        <v>8</v>
      </c>
      <c r="O37" t="s">
        <v>9</v>
      </c>
      <c r="P37" t="s">
        <v>140</v>
      </c>
      <c r="Q37" t="s">
        <v>141</v>
      </c>
      <c r="R37">
        <v>36869</v>
      </c>
      <c r="S37" s="1">
        <v>42007</v>
      </c>
      <c r="T37" s="1">
        <v>42008</v>
      </c>
      <c r="U37">
        <v>-274.49799999999999</v>
      </c>
      <c r="V37">
        <v>1</v>
      </c>
      <c r="W37">
        <v>174.5</v>
      </c>
      <c r="X37">
        <v>88296</v>
      </c>
      <c r="Y37">
        <f>cleaneddata[[#This Row],[Unit Price]]-cleaneddata[[#This Row],[Discount]]</f>
        <v>212.51</v>
      </c>
      <c r="Z3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8" spans="1:26" x14ac:dyDescent="0.3">
      <c r="A38">
        <v>169</v>
      </c>
      <c r="B38" t="s">
        <v>142</v>
      </c>
      <c r="C38" t="s">
        <v>23</v>
      </c>
      <c r="D38">
        <v>0.08</v>
      </c>
      <c r="E38">
        <v>43.22</v>
      </c>
      <c r="F38">
        <v>16.71</v>
      </c>
      <c r="G38" t="s">
        <v>14</v>
      </c>
      <c r="H38" t="s">
        <v>70</v>
      </c>
      <c r="I38" t="s">
        <v>16</v>
      </c>
      <c r="J38" t="s">
        <v>17</v>
      </c>
      <c r="K38" t="s">
        <v>49</v>
      </c>
      <c r="L38" t="s">
        <v>143</v>
      </c>
      <c r="M38">
        <v>0.66</v>
      </c>
      <c r="N38" t="s">
        <v>8</v>
      </c>
      <c r="O38" t="s">
        <v>9</v>
      </c>
      <c r="P38" t="s">
        <v>144</v>
      </c>
      <c r="Q38" t="s">
        <v>145</v>
      </c>
      <c r="R38">
        <v>70802</v>
      </c>
      <c r="S38" s="1">
        <v>42007</v>
      </c>
      <c r="T38" s="1">
        <v>42009</v>
      </c>
      <c r="U38">
        <v>280.27458000000001</v>
      </c>
      <c r="V38">
        <v>3</v>
      </c>
      <c r="W38">
        <v>130.62</v>
      </c>
      <c r="X38">
        <v>87463</v>
      </c>
      <c r="Y38">
        <f>cleaneddata[[#This Row],[Unit Price]]-cleaneddata[[#This Row],[Discount]]</f>
        <v>43.14</v>
      </c>
      <c r="Z3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9" spans="1:26" x14ac:dyDescent="0.3">
      <c r="A39">
        <v>169</v>
      </c>
      <c r="B39" t="s">
        <v>142</v>
      </c>
      <c r="C39" t="s">
        <v>23</v>
      </c>
      <c r="D39">
        <v>0.05</v>
      </c>
      <c r="E39">
        <v>574.74</v>
      </c>
      <c r="F39">
        <v>24.49</v>
      </c>
      <c r="G39" t="s">
        <v>14</v>
      </c>
      <c r="H39" t="s">
        <v>70</v>
      </c>
      <c r="I39" t="s">
        <v>16</v>
      </c>
      <c r="J39" t="s">
        <v>32</v>
      </c>
      <c r="K39" t="s">
        <v>40</v>
      </c>
      <c r="L39" t="s">
        <v>146</v>
      </c>
      <c r="M39">
        <v>0.37</v>
      </c>
      <c r="N39" t="s">
        <v>8</v>
      </c>
      <c r="O39" t="s">
        <v>9</v>
      </c>
      <c r="P39" t="s">
        <v>144</v>
      </c>
      <c r="Q39" t="s">
        <v>145</v>
      </c>
      <c r="R39">
        <v>70802</v>
      </c>
      <c r="S39" s="1">
        <v>42007</v>
      </c>
      <c r="T39" s="1">
        <v>42014</v>
      </c>
      <c r="U39">
        <v>-112.4263</v>
      </c>
      <c r="V39">
        <v>12</v>
      </c>
      <c r="W39">
        <v>6945.16</v>
      </c>
      <c r="X39">
        <v>87463</v>
      </c>
      <c r="Y39">
        <f>cleaneddata[[#This Row],[Unit Price]]-cleaneddata[[#This Row],[Discount]]</f>
        <v>574.69000000000005</v>
      </c>
      <c r="Z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" spans="1:26" x14ac:dyDescent="0.3">
      <c r="A40">
        <v>169</v>
      </c>
      <c r="B40" t="s">
        <v>142</v>
      </c>
      <c r="C40" t="s">
        <v>23</v>
      </c>
      <c r="D40">
        <v>0.04</v>
      </c>
      <c r="E40">
        <v>10.14</v>
      </c>
      <c r="F40">
        <v>2.27</v>
      </c>
      <c r="G40" t="s">
        <v>14</v>
      </c>
      <c r="H40" t="s">
        <v>70</v>
      </c>
      <c r="I40" t="s">
        <v>24</v>
      </c>
      <c r="J40" t="s">
        <v>64</v>
      </c>
      <c r="K40" t="s">
        <v>26</v>
      </c>
      <c r="L40" t="s">
        <v>147</v>
      </c>
      <c r="M40">
        <v>0.36</v>
      </c>
      <c r="N40" t="s">
        <v>8</v>
      </c>
      <c r="O40" t="s">
        <v>9</v>
      </c>
      <c r="P40" t="s">
        <v>144</v>
      </c>
      <c r="Q40" t="s">
        <v>145</v>
      </c>
      <c r="R40">
        <v>70802</v>
      </c>
      <c r="S40" s="1">
        <v>42007</v>
      </c>
      <c r="T40" s="1">
        <v>42011</v>
      </c>
      <c r="U40">
        <v>24.923999999999999</v>
      </c>
      <c r="V40">
        <v>3</v>
      </c>
      <c r="W40">
        <v>30.94</v>
      </c>
      <c r="X40">
        <v>87463</v>
      </c>
      <c r="Y40">
        <f>cleaneddata[[#This Row],[Unit Price]]-cleaneddata[[#This Row],[Discount]]</f>
        <v>10.100000000000001</v>
      </c>
      <c r="Z4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1" spans="1:26" x14ac:dyDescent="0.3">
      <c r="A41">
        <v>1777</v>
      </c>
      <c r="B41" t="s">
        <v>148</v>
      </c>
      <c r="C41" t="s">
        <v>23</v>
      </c>
      <c r="D41">
        <v>0.02</v>
      </c>
      <c r="E41">
        <v>10.06</v>
      </c>
      <c r="F41">
        <v>2.06</v>
      </c>
      <c r="G41" t="s">
        <v>14</v>
      </c>
      <c r="H41" t="s">
        <v>15</v>
      </c>
      <c r="I41" t="s">
        <v>24</v>
      </c>
      <c r="J41" t="s">
        <v>64</v>
      </c>
      <c r="K41" t="s">
        <v>26</v>
      </c>
      <c r="L41" t="s">
        <v>149</v>
      </c>
      <c r="M41">
        <v>0.39</v>
      </c>
      <c r="N41" t="s">
        <v>8</v>
      </c>
      <c r="O41" t="s">
        <v>28</v>
      </c>
      <c r="P41" t="s">
        <v>29</v>
      </c>
      <c r="Q41" t="s">
        <v>150</v>
      </c>
      <c r="R41">
        <v>46383</v>
      </c>
      <c r="S41" s="1">
        <v>42007</v>
      </c>
      <c r="T41" s="1">
        <v>42012</v>
      </c>
      <c r="U41">
        <v>90.624600000000001</v>
      </c>
      <c r="V41">
        <v>13</v>
      </c>
      <c r="W41">
        <v>131.34</v>
      </c>
      <c r="X41">
        <v>89940</v>
      </c>
      <c r="Y41">
        <f>cleaneddata[[#This Row],[Unit Price]]-cleaneddata[[#This Row],[Discount]]</f>
        <v>10.040000000000001</v>
      </c>
      <c r="Z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2" spans="1:26" x14ac:dyDescent="0.3">
      <c r="A42">
        <v>2081</v>
      </c>
      <c r="B42" t="s">
        <v>151</v>
      </c>
      <c r="C42" t="s">
        <v>23</v>
      </c>
      <c r="D42">
        <v>0.09</v>
      </c>
      <c r="E42">
        <v>1.48</v>
      </c>
      <c r="F42">
        <v>0.7</v>
      </c>
      <c r="G42" t="s">
        <v>14</v>
      </c>
      <c r="H42" t="s">
        <v>70</v>
      </c>
      <c r="I42" t="s">
        <v>24</v>
      </c>
      <c r="J42" t="s">
        <v>152</v>
      </c>
      <c r="K42" t="s">
        <v>26</v>
      </c>
      <c r="L42" t="s">
        <v>153</v>
      </c>
      <c r="M42">
        <v>0.37</v>
      </c>
      <c r="N42" t="s">
        <v>8</v>
      </c>
      <c r="O42" t="s">
        <v>87</v>
      </c>
      <c r="P42" t="s">
        <v>88</v>
      </c>
      <c r="Q42" t="s">
        <v>154</v>
      </c>
      <c r="R42">
        <v>14853</v>
      </c>
      <c r="S42" s="1">
        <v>42007</v>
      </c>
      <c r="T42" s="1">
        <v>42009</v>
      </c>
      <c r="U42">
        <v>1.68</v>
      </c>
      <c r="V42">
        <v>6</v>
      </c>
      <c r="W42">
        <v>8.9499999999999993</v>
      </c>
      <c r="X42">
        <v>86092</v>
      </c>
      <c r="Y42">
        <f>cleaneddata[[#This Row],[Unit Price]]-cleaneddata[[#This Row],[Discount]]</f>
        <v>1.39</v>
      </c>
      <c r="Z4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3" spans="1:26" x14ac:dyDescent="0.3">
      <c r="A43">
        <v>193</v>
      </c>
      <c r="B43" t="s">
        <v>155</v>
      </c>
      <c r="C43" t="s">
        <v>46</v>
      </c>
      <c r="D43">
        <v>0</v>
      </c>
      <c r="E43">
        <v>213.45</v>
      </c>
      <c r="F43">
        <v>14.7</v>
      </c>
      <c r="G43" t="s">
        <v>2</v>
      </c>
      <c r="H43" t="s">
        <v>70</v>
      </c>
      <c r="I43" t="s">
        <v>16</v>
      </c>
      <c r="J43" t="s">
        <v>32</v>
      </c>
      <c r="K43" t="s">
        <v>33</v>
      </c>
      <c r="L43" t="s">
        <v>156</v>
      </c>
      <c r="M43">
        <v>0.59</v>
      </c>
      <c r="N43" t="s">
        <v>8</v>
      </c>
      <c r="O43" t="s">
        <v>35</v>
      </c>
      <c r="P43" t="s">
        <v>122</v>
      </c>
      <c r="Q43" t="s">
        <v>157</v>
      </c>
      <c r="R43">
        <v>84041</v>
      </c>
      <c r="S43" s="1">
        <v>42007</v>
      </c>
      <c r="T43" s="1">
        <v>42009</v>
      </c>
      <c r="U43">
        <v>-560.81417999999996</v>
      </c>
      <c r="V43">
        <v>1</v>
      </c>
      <c r="W43">
        <v>224.12</v>
      </c>
      <c r="X43">
        <v>90430</v>
      </c>
      <c r="Y43">
        <f>cleaneddata[[#This Row],[Unit Price]]-cleaneddata[[#This Row],[Discount]]</f>
        <v>213.45</v>
      </c>
      <c r="Z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" spans="1:26" x14ac:dyDescent="0.3">
      <c r="A44">
        <v>2203</v>
      </c>
      <c r="B44" t="s">
        <v>158</v>
      </c>
      <c r="C44" t="s">
        <v>1</v>
      </c>
      <c r="D44">
        <v>0.03</v>
      </c>
      <c r="E44">
        <v>399.98</v>
      </c>
      <c r="F44">
        <v>12.06</v>
      </c>
      <c r="G44" t="s">
        <v>2</v>
      </c>
      <c r="H44" t="s">
        <v>47</v>
      </c>
      <c r="I44" t="s">
        <v>16</v>
      </c>
      <c r="J44" t="s">
        <v>32</v>
      </c>
      <c r="K44" t="s">
        <v>6</v>
      </c>
      <c r="L44" t="s">
        <v>159</v>
      </c>
      <c r="M44">
        <v>0.56000000000000005</v>
      </c>
      <c r="N44" t="s">
        <v>8</v>
      </c>
      <c r="O44" t="s">
        <v>28</v>
      </c>
      <c r="P44" t="s">
        <v>60</v>
      </c>
      <c r="Q44" t="s">
        <v>160</v>
      </c>
      <c r="R44">
        <v>55445</v>
      </c>
      <c r="S44" s="1">
        <v>42008</v>
      </c>
      <c r="T44" s="1">
        <v>42010</v>
      </c>
      <c r="U44">
        <v>-663.51419999999996</v>
      </c>
      <c r="V44">
        <v>2</v>
      </c>
      <c r="W44">
        <v>807</v>
      </c>
      <c r="X44">
        <v>86052</v>
      </c>
      <c r="Y44">
        <f>cleaneddata[[#This Row],[Unit Price]]-cleaneddata[[#This Row],[Discount]]</f>
        <v>399.95000000000005</v>
      </c>
      <c r="Z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5" spans="1:26" x14ac:dyDescent="0.3">
      <c r="A45">
        <v>3146</v>
      </c>
      <c r="B45" t="s">
        <v>161</v>
      </c>
      <c r="C45" t="s">
        <v>1</v>
      </c>
      <c r="D45">
        <v>0.03</v>
      </c>
      <c r="E45">
        <v>3.36</v>
      </c>
      <c r="F45">
        <v>6.27</v>
      </c>
      <c r="G45" t="s">
        <v>14</v>
      </c>
      <c r="H45" t="s">
        <v>70</v>
      </c>
      <c r="I45" t="s">
        <v>24</v>
      </c>
      <c r="J45" t="s">
        <v>48</v>
      </c>
      <c r="K45" t="s">
        <v>49</v>
      </c>
      <c r="L45" t="s">
        <v>162</v>
      </c>
      <c r="M45">
        <v>0.4</v>
      </c>
      <c r="N45" t="s">
        <v>8</v>
      </c>
      <c r="O45" t="s">
        <v>28</v>
      </c>
      <c r="P45" t="s">
        <v>163</v>
      </c>
      <c r="Q45" t="s">
        <v>164</v>
      </c>
      <c r="R45">
        <v>78577</v>
      </c>
      <c r="S45" s="1">
        <v>42008</v>
      </c>
      <c r="T45" s="1">
        <v>42009</v>
      </c>
      <c r="U45">
        <v>-94.258600000000001</v>
      </c>
      <c r="V45">
        <v>4</v>
      </c>
      <c r="W45">
        <v>14.9</v>
      </c>
      <c r="X45">
        <v>85850</v>
      </c>
      <c r="Y45">
        <f>cleaneddata[[#This Row],[Unit Price]]-cleaneddata[[#This Row],[Discount]]</f>
        <v>3.33</v>
      </c>
      <c r="Z4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6" spans="1:26" x14ac:dyDescent="0.3">
      <c r="A46">
        <v>3146</v>
      </c>
      <c r="B46" t="s">
        <v>161</v>
      </c>
      <c r="C46" t="s">
        <v>1</v>
      </c>
      <c r="D46">
        <v>7.0000000000000007E-2</v>
      </c>
      <c r="E46">
        <v>3.71</v>
      </c>
      <c r="F46">
        <v>1.93</v>
      </c>
      <c r="G46" t="s">
        <v>63</v>
      </c>
      <c r="H46" t="s">
        <v>70</v>
      </c>
      <c r="I46" t="s">
        <v>24</v>
      </c>
      <c r="J46" t="s">
        <v>64</v>
      </c>
      <c r="K46" t="s">
        <v>26</v>
      </c>
      <c r="L46" t="s">
        <v>165</v>
      </c>
      <c r="M46">
        <v>0.35</v>
      </c>
      <c r="N46" t="s">
        <v>8</v>
      </c>
      <c r="O46" t="s">
        <v>28</v>
      </c>
      <c r="P46" t="s">
        <v>163</v>
      </c>
      <c r="Q46" t="s">
        <v>164</v>
      </c>
      <c r="R46">
        <v>78577</v>
      </c>
      <c r="S46" s="1">
        <v>42008</v>
      </c>
      <c r="T46" s="1">
        <v>42010</v>
      </c>
      <c r="U46">
        <v>6.3308</v>
      </c>
      <c r="V46">
        <v>11</v>
      </c>
      <c r="W46">
        <v>39.64</v>
      </c>
      <c r="X46">
        <v>85850</v>
      </c>
      <c r="Y46">
        <f>cleaneddata[[#This Row],[Unit Price]]-cleaneddata[[#This Row],[Discount]]</f>
        <v>3.64</v>
      </c>
      <c r="Z4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7" spans="1:26" x14ac:dyDescent="0.3">
      <c r="A47">
        <v>915</v>
      </c>
      <c r="B47" t="s">
        <v>166</v>
      </c>
      <c r="C47" t="s">
        <v>13</v>
      </c>
      <c r="D47">
        <v>0.06</v>
      </c>
      <c r="E47">
        <v>350.98</v>
      </c>
      <c r="F47">
        <v>30</v>
      </c>
      <c r="G47" t="s">
        <v>2</v>
      </c>
      <c r="H47" t="s">
        <v>47</v>
      </c>
      <c r="I47" t="s">
        <v>4</v>
      </c>
      <c r="J47" t="s">
        <v>85</v>
      </c>
      <c r="K47" t="s">
        <v>33</v>
      </c>
      <c r="L47" t="s">
        <v>167</v>
      </c>
      <c r="M47">
        <v>0.61</v>
      </c>
      <c r="N47" t="s">
        <v>8</v>
      </c>
      <c r="O47" t="s">
        <v>28</v>
      </c>
      <c r="P47" t="s">
        <v>163</v>
      </c>
      <c r="Q47" t="s">
        <v>168</v>
      </c>
      <c r="R47">
        <v>77803</v>
      </c>
      <c r="S47" s="1">
        <v>42008</v>
      </c>
      <c r="T47" s="1">
        <v>42009</v>
      </c>
      <c r="U47">
        <v>-489.41559999999998</v>
      </c>
      <c r="V47">
        <v>1</v>
      </c>
      <c r="W47">
        <v>346.52</v>
      </c>
      <c r="X47">
        <v>86356</v>
      </c>
      <c r="Y47">
        <f>cleaneddata[[#This Row],[Unit Price]]-cleaneddata[[#This Row],[Discount]]</f>
        <v>350.92</v>
      </c>
      <c r="Z4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8" spans="1:26" x14ac:dyDescent="0.3">
      <c r="A48">
        <v>2393</v>
      </c>
      <c r="B48" t="s">
        <v>169</v>
      </c>
      <c r="C48" t="s">
        <v>13</v>
      </c>
      <c r="D48">
        <v>0.06</v>
      </c>
      <c r="E48">
        <v>105.29</v>
      </c>
      <c r="F48">
        <v>10.119999999999999</v>
      </c>
      <c r="G48" t="s">
        <v>14</v>
      </c>
      <c r="H48" t="s">
        <v>70</v>
      </c>
      <c r="I48" t="s">
        <v>4</v>
      </c>
      <c r="J48" t="s">
        <v>102</v>
      </c>
      <c r="K48" t="s">
        <v>40</v>
      </c>
      <c r="L48" t="s">
        <v>170</v>
      </c>
      <c r="M48">
        <v>0.79</v>
      </c>
      <c r="N48" t="s">
        <v>8</v>
      </c>
      <c r="O48" t="s">
        <v>9</v>
      </c>
      <c r="P48" t="s">
        <v>51</v>
      </c>
      <c r="Q48" t="s">
        <v>171</v>
      </c>
      <c r="R48">
        <v>30076</v>
      </c>
      <c r="S48" s="1">
        <v>42008</v>
      </c>
      <c r="T48" s="1">
        <v>42010</v>
      </c>
      <c r="U48">
        <v>-45.01</v>
      </c>
      <c r="V48">
        <v>12</v>
      </c>
      <c r="W48">
        <v>1202.6600000000001</v>
      </c>
      <c r="X48">
        <v>86951</v>
      </c>
      <c r="Y48">
        <f>cleaneddata[[#This Row],[Unit Price]]-cleaneddata[[#This Row],[Discount]]</f>
        <v>105.23</v>
      </c>
      <c r="Z4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9" spans="1:26" x14ac:dyDescent="0.3">
      <c r="A49">
        <v>916</v>
      </c>
      <c r="B49" t="s">
        <v>172</v>
      </c>
      <c r="C49" t="s">
        <v>23</v>
      </c>
      <c r="D49">
        <v>0.05</v>
      </c>
      <c r="E49">
        <v>161.55000000000001</v>
      </c>
      <c r="F49">
        <v>19.989999999999998</v>
      </c>
      <c r="G49" t="s">
        <v>14</v>
      </c>
      <c r="H49" t="s">
        <v>70</v>
      </c>
      <c r="I49" t="s">
        <v>24</v>
      </c>
      <c r="J49" t="s">
        <v>54</v>
      </c>
      <c r="K49" t="s">
        <v>49</v>
      </c>
      <c r="L49" t="s">
        <v>55</v>
      </c>
      <c r="M49">
        <v>0.66</v>
      </c>
      <c r="N49" t="s">
        <v>8</v>
      </c>
      <c r="O49" t="s">
        <v>28</v>
      </c>
      <c r="P49" t="s">
        <v>163</v>
      </c>
      <c r="Q49" t="s">
        <v>173</v>
      </c>
      <c r="R49">
        <v>76028</v>
      </c>
      <c r="S49" s="1">
        <v>42008</v>
      </c>
      <c r="T49" s="1">
        <v>42015</v>
      </c>
      <c r="U49">
        <v>35.31</v>
      </c>
      <c r="V49">
        <v>3</v>
      </c>
      <c r="W49">
        <v>499.31</v>
      </c>
      <c r="X49">
        <v>86357</v>
      </c>
      <c r="Y49">
        <f>cleaneddata[[#This Row],[Unit Price]]-cleaneddata[[#This Row],[Discount]]</f>
        <v>161.5</v>
      </c>
      <c r="Z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0" spans="1:26" x14ac:dyDescent="0.3">
      <c r="A50">
        <v>1142</v>
      </c>
      <c r="B50" t="s">
        <v>174</v>
      </c>
      <c r="C50" t="s">
        <v>92</v>
      </c>
      <c r="D50">
        <v>0.05</v>
      </c>
      <c r="E50">
        <v>363.25</v>
      </c>
      <c r="F50">
        <v>19.989999999999998</v>
      </c>
      <c r="G50" t="s">
        <v>14</v>
      </c>
      <c r="H50" t="s">
        <v>47</v>
      </c>
      <c r="I50" t="s">
        <v>24</v>
      </c>
      <c r="J50" t="s">
        <v>71</v>
      </c>
      <c r="K50" t="s">
        <v>49</v>
      </c>
      <c r="L50" t="s">
        <v>175</v>
      </c>
      <c r="M50">
        <v>0.56999999999999995</v>
      </c>
      <c r="N50" t="s">
        <v>8</v>
      </c>
      <c r="O50" t="s">
        <v>28</v>
      </c>
      <c r="P50" t="s">
        <v>163</v>
      </c>
      <c r="Q50" t="s">
        <v>176</v>
      </c>
      <c r="R50">
        <v>76706</v>
      </c>
      <c r="S50" s="1">
        <v>42008</v>
      </c>
      <c r="T50" s="1">
        <v>42010</v>
      </c>
      <c r="U50">
        <v>1766.7795000000001</v>
      </c>
      <c r="V50">
        <v>7</v>
      </c>
      <c r="W50">
        <v>2560.5500000000002</v>
      </c>
      <c r="X50">
        <v>86573</v>
      </c>
      <c r="Y50">
        <f>cleaneddata[[#This Row],[Unit Price]]-cleaneddata[[#This Row],[Discount]]</f>
        <v>363.2</v>
      </c>
      <c r="Z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1" spans="1:26" x14ac:dyDescent="0.3">
      <c r="A51">
        <v>890</v>
      </c>
      <c r="B51" t="s">
        <v>177</v>
      </c>
      <c r="C51" t="s">
        <v>1</v>
      </c>
      <c r="D51">
        <v>0.08</v>
      </c>
      <c r="E51">
        <v>1.81</v>
      </c>
      <c r="F51">
        <v>0.75</v>
      </c>
      <c r="G51" t="s">
        <v>14</v>
      </c>
      <c r="H51" t="s">
        <v>15</v>
      </c>
      <c r="I51" t="s">
        <v>4</v>
      </c>
      <c r="J51" t="s">
        <v>85</v>
      </c>
      <c r="K51" t="s">
        <v>33</v>
      </c>
      <c r="L51" t="s">
        <v>178</v>
      </c>
      <c r="M51">
        <v>0.57999999999999996</v>
      </c>
      <c r="N51" t="s">
        <v>8</v>
      </c>
      <c r="O51" t="s">
        <v>28</v>
      </c>
      <c r="P51" t="s">
        <v>163</v>
      </c>
      <c r="Q51" t="s">
        <v>179</v>
      </c>
      <c r="R51">
        <v>76021</v>
      </c>
      <c r="S51" s="1">
        <v>42009</v>
      </c>
      <c r="T51" s="1">
        <v>42010</v>
      </c>
      <c r="U51">
        <v>1.3224</v>
      </c>
      <c r="V51">
        <v>11</v>
      </c>
      <c r="W51">
        <v>19.97</v>
      </c>
      <c r="X51">
        <v>89536</v>
      </c>
      <c r="Y51">
        <f>cleaneddata[[#This Row],[Unit Price]]-cleaneddata[[#This Row],[Discount]]</f>
        <v>1.73</v>
      </c>
      <c r="Z5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2" spans="1:26" x14ac:dyDescent="0.3">
      <c r="A52">
        <v>890</v>
      </c>
      <c r="B52" t="s">
        <v>177</v>
      </c>
      <c r="C52" t="s">
        <v>1</v>
      </c>
      <c r="D52">
        <v>0.04</v>
      </c>
      <c r="E52">
        <v>125.99</v>
      </c>
      <c r="F52">
        <v>5.26</v>
      </c>
      <c r="G52" t="s">
        <v>14</v>
      </c>
      <c r="H52" t="s">
        <v>15</v>
      </c>
      <c r="I52" t="s">
        <v>16</v>
      </c>
      <c r="J52" t="s">
        <v>111</v>
      </c>
      <c r="K52" t="s">
        <v>49</v>
      </c>
      <c r="L52" t="s">
        <v>180</v>
      </c>
      <c r="M52">
        <v>0.55000000000000004</v>
      </c>
      <c r="N52" t="s">
        <v>8</v>
      </c>
      <c r="O52" t="s">
        <v>28</v>
      </c>
      <c r="P52" t="s">
        <v>163</v>
      </c>
      <c r="Q52" t="s">
        <v>179</v>
      </c>
      <c r="R52">
        <v>76021</v>
      </c>
      <c r="S52" s="1">
        <v>42009</v>
      </c>
      <c r="T52" s="1">
        <v>42009</v>
      </c>
      <c r="U52">
        <v>455.42070000000001</v>
      </c>
      <c r="V52">
        <v>6</v>
      </c>
      <c r="W52">
        <v>660.03</v>
      </c>
      <c r="X52">
        <v>89536</v>
      </c>
      <c r="Y52">
        <f>cleaneddata[[#This Row],[Unit Price]]-cleaneddata[[#This Row],[Discount]]</f>
        <v>125.94999999999999</v>
      </c>
      <c r="Z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" spans="1:26" x14ac:dyDescent="0.3">
      <c r="A53">
        <v>2630</v>
      </c>
      <c r="B53" t="s">
        <v>181</v>
      </c>
      <c r="C53" t="s">
        <v>1</v>
      </c>
      <c r="D53">
        <v>0.01</v>
      </c>
      <c r="E53">
        <v>194.3</v>
      </c>
      <c r="F53">
        <v>11.54</v>
      </c>
      <c r="G53" t="s">
        <v>14</v>
      </c>
      <c r="H53" t="s">
        <v>3</v>
      </c>
      <c r="I53" t="s">
        <v>4</v>
      </c>
      <c r="J53" t="s">
        <v>102</v>
      </c>
      <c r="K53" t="s">
        <v>40</v>
      </c>
      <c r="L53" t="s">
        <v>182</v>
      </c>
      <c r="M53">
        <v>0.59</v>
      </c>
      <c r="N53" t="s">
        <v>8</v>
      </c>
      <c r="O53" t="s">
        <v>28</v>
      </c>
      <c r="P53" t="s">
        <v>183</v>
      </c>
      <c r="Q53" t="s">
        <v>184</v>
      </c>
      <c r="R53">
        <v>73071</v>
      </c>
      <c r="S53" s="1">
        <v>42009</v>
      </c>
      <c r="T53" s="1">
        <v>42011</v>
      </c>
      <c r="U53">
        <v>690.17939999999999</v>
      </c>
      <c r="V53">
        <v>5</v>
      </c>
      <c r="W53">
        <v>1000.26</v>
      </c>
      <c r="X53">
        <v>85914</v>
      </c>
      <c r="Y53">
        <f>cleaneddata[[#This Row],[Unit Price]]-cleaneddata[[#This Row],[Discount]]</f>
        <v>194.29000000000002</v>
      </c>
      <c r="Z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4" spans="1:26" x14ac:dyDescent="0.3">
      <c r="A54">
        <v>2630</v>
      </c>
      <c r="B54" t="s">
        <v>181</v>
      </c>
      <c r="C54" t="s">
        <v>1</v>
      </c>
      <c r="D54">
        <v>0.02</v>
      </c>
      <c r="E54">
        <v>209.84</v>
      </c>
      <c r="F54">
        <v>21.21</v>
      </c>
      <c r="G54" t="s">
        <v>14</v>
      </c>
      <c r="H54" t="s">
        <v>3</v>
      </c>
      <c r="I54" t="s">
        <v>4</v>
      </c>
      <c r="J54" t="s">
        <v>102</v>
      </c>
      <c r="K54" t="s">
        <v>40</v>
      </c>
      <c r="L54" t="s">
        <v>185</v>
      </c>
      <c r="M54">
        <v>0.59</v>
      </c>
      <c r="N54" t="s">
        <v>8</v>
      </c>
      <c r="O54" t="s">
        <v>28</v>
      </c>
      <c r="P54" t="s">
        <v>183</v>
      </c>
      <c r="Q54" t="s">
        <v>184</v>
      </c>
      <c r="R54">
        <v>73071</v>
      </c>
      <c r="S54" s="1">
        <v>42009</v>
      </c>
      <c r="T54" s="1">
        <v>42010</v>
      </c>
      <c r="U54">
        <v>1507.6431</v>
      </c>
      <c r="V54">
        <v>10</v>
      </c>
      <c r="W54">
        <v>2184.9899999999998</v>
      </c>
      <c r="X54">
        <v>85914</v>
      </c>
      <c r="Y54">
        <f>cleaneddata[[#This Row],[Unit Price]]-cleaneddata[[#This Row],[Discount]]</f>
        <v>209.82</v>
      </c>
      <c r="Z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5" spans="1:26" x14ac:dyDescent="0.3">
      <c r="A55">
        <v>2630</v>
      </c>
      <c r="B55" t="s">
        <v>181</v>
      </c>
      <c r="C55" t="s">
        <v>1</v>
      </c>
      <c r="D55">
        <v>0</v>
      </c>
      <c r="E55">
        <v>145.44999999999999</v>
      </c>
      <c r="F55">
        <v>17.850000000000001</v>
      </c>
      <c r="G55" t="s">
        <v>2</v>
      </c>
      <c r="H55" t="s">
        <v>3</v>
      </c>
      <c r="I55" t="s">
        <v>16</v>
      </c>
      <c r="J55" t="s">
        <v>32</v>
      </c>
      <c r="K55" t="s">
        <v>33</v>
      </c>
      <c r="L55" t="s">
        <v>186</v>
      </c>
      <c r="M55">
        <v>0.56000000000000005</v>
      </c>
      <c r="N55" t="s">
        <v>8</v>
      </c>
      <c r="O55" t="s">
        <v>28</v>
      </c>
      <c r="P55" t="s">
        <v>183</v>
      </c>
      <c r="Q55" t="s">
        <v>184</v>
      </c>
      <c r="R55">
        <v>73071</v>
      </c>
      <c r="S55" s="1">
        <v>42009</v>
      </c>
      <c r="T55" s="1">
        <v>42011</v>
      </c>
      <c r="U55">
        <v>801.74680000000001</v>
      </c>
      <c r="V55">
        <v>8</v>
      </c>
      <c r="W55">
        <v>1191.2</v>
      </c>
      <c r="X55">
        <v>85914</v>
      </c>
      <c r="Y55">
        <f>cleaneddata[[#This Row],[Unit Price]]-cleaneddata[[#This Row],[Discount]]</f>
        <v>145.44999999999999</v>
      </c>
      <c r="Z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6" spans="1:26" x14ac:dyDescent="0.3">
      <c r="A56">
        <v>2206</v>
      </c>
      <c r="B56" t="s">
        <v>187</v>
      </c>
      <c r="C56" t="s">
        <v>13</v>
      </c>
      <c r="D56">
        <v>0.03</v>
      </c>
      <c r="E56">
        <v>28.48</v>
      </c>
      <c r="F56">
        <v>1.99</v>
      </c>
      <c r="G56" t="s">
        <v>14</v>
      </c>
      <c r="H56" t="s">
        <v>15</v>
      </c>
      <c r="I56" t="s">
        <v>16</v>
      </c>
      <c r="J56" t="s">
        <v>17</v>
      </c>
      <c r="K56" t="s">
        <v>18</v>
      </c>
      <c r="L56" t="s">
        <v>188</v>
      </c>
      <c r="M56">
        <v>0.4</v>
      </c>
      <c r="N56" t="s">
        <v>8</v>
      </c>
      <c r="O56" t="s">
        <v>28</v>
      </c>
      <c r="P56" t="s">
        <v>189</v>
      </c>
      <c r="Q56" t="s">
        <v>190</v>
      </c>
      <c r="R56">
        <v>50501</v>
      </c>
      <c r="S56" s="1">
        <v>42009</v>
      </c>
      <c r="T56" s="1">
        <v>42010</v>
      </c>
      <c r="U56">
        <v>-35.290399999999998</v>
      </c>
      <c r="V56">
        <v>2</v>
      </c>
      <c r="W56">
        <v>55.25</v>
      </c>
      <c r="X56">
        <v>86258</v>
      </c>
      <c r="Y56">
        <f>cleaneddata[[#This Row],[Unit Price]]-cleaneddata[[#This Row],[Discount]]</f>
        <v>28.45</v>
      </c>
      <c r="Z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7" spans="1:26" x14ac:dyDescent="0.3">
      <c r="A57">
        <v>2206</v>
      </c>
      <c r="B57" t="s">
        <v>187</v>
      </c>
      <c r="C57" t="s">
        <v>13</v>
      </c>
      <c r="D57">
        <v>0.01</v>
      </c>
      <c r="E57">
        <v>205.99</v>
      </c>
      <c r="F57">
        <v>5.99</v>
      </c>
      <c r="G57" t="s">
        <v>14</v>
      </c>
      <c r="H57" t="s">
        <v>15</v>
      </c>
      <c r="I57" t="s">
        <v>16</v>
      </c>
      <c r="J57" t="s">
        <v>111</v>
      </c>
      <c r="K57" t="s">
        <v>49</v>
      </c>
      <c r="L57" t="s">
        <v>191</v>
      </c>
      <c r="M57">
        <v>0.59</v>
      </c>
      <c r="N57" t="s">
        <v>8</v>
      </c>
      <c r="O57" t="s">
        <v>28</v>
      </c>
      <c r="P57" t="s">
        <v>189</v>
      </c>
      <c r="Q57" t="s">
        <v>190</v>
      </c>
      <c r="R57">
        <v>50501</v>
      </c>
      <c r="S57" s="1">
        <v>42009</v>
      </c>
      <c r="T57" s="1">
        <v>42011</v>
      </c>
      <c r="U57">
        <v>-74.883600000000001</v>
      </c>
      <c r="V57">
        <v>3</v>
      </c>
      <c r="W57">
        <v>551.22</v>
      </c>
      <c r="X57">
        <v>86258</v>
      </c>
      <c r="Y57">
        <f>cleaneddata[[#This Row],[Unit Price]]-cleaneddata[[#This Row],[Discount]]</f>
        <v>205.98000000000002</v>
      </c>
      <c r="Z5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8" spans="1:26" x14ac:dyDescent="0.3">
      <c r="A58">
        <v>3125</v>
      </c>
      <c r="B58" t="s">
        <v>192</v>
      </c>
      <c r="C58" t="s">
        <v>13</v>
      </c>
      <c r="D58">
        <v>0.08</v>
      </c>
      <c r="E58">
        <v>120.97</v>
      </c>
      <c r="F58">
        <v>26.3</v>
      </c>
      <c r="G58" t="s">
        <v>2</v>
      </c>
      <c r="H58" t="s">
        <v>47</v>
      </c>
      <c r="I58" t="s">
        <v>16</v>
      </c>
      <c r="J58" t="s">
        <v>32</v>
      </c>
      <c r="K58" t="s">
        <v>33</v>
      </c>
      <c r="L58" t="s">
        <v>193</v>
      </c>
      <c r="M58">
        <v>0.38</v>
      </c>
      <c r="N58" t="s">
        <v>8</v>
      </c>
      <c r="O58" t="s">
        <v>28</v>
      </c>
      <c r="P58" t="s">
        <v>79</v>
      </c>
      <c r="Q58" t="s">
        <v>194</v>
      </c>
      <c r="R58">
        <v>60056</v>
      </c>
      <c r="S58" s="1">
        <v>42009</v>
      </c>
      <c r="T58" s="1">
        <v>42011</v>
      </c>
      <c r="U58">
        <v>-233.840688</v>
      </c>
      <c r="V58">
        <v>2</v>
      </c>
      <c r="W58">
        <v>233.58</v>
      </c>
      <c r="X58">
        <v>87285</v>
      </c>
      <c r="Y58">
        <f>cleaneddata[[#This Row],[Unit Price]]-cleaneddata[[#This Row],[Discount]]</f>
        <v>120.89</v>
      </c>
      <c r="Z5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9" spans="1:26" x14ac:dyDescent="0.3">
      <c r="A59">
        <v>451</v>
      </c>
      <c r="B59" t="s">
        <v>195</v>
      </c>
      <c r="C59" t="s">
        <v>23</v>
      </c>
      <c r="D59">
        <v>0.01</v>
      </c>
      <c r="E59">
        <v>8.8800000000000008</v>
      </c>
      <c r="F59">
        <v>6.28</v>
      </c>
      <c r="G59" t="s">
        <v>14</v>
      </c>
      <c r="H59" t="s">
        <v>47</v>
      </c>
      <c r="I59" t="s">
        <v>24</v>
      </c>
      <c r="J59" t="s">
        <v>48</v>
      </c>
      <c r="K59" t="s">
        <v>49</v>
      </c>
      <c r="L59" t="s">
        <v>196</v>
      </c>
      <c r="M59">
        <v>0.35</v>
      </c>
      <c r="N59" t="s">
        <v>8</v>
      </c>
      <c r="O59" t="s">
        <v>35</v>
      </c>
      <c r="P59" t="s">
        <v>66</v>
      </c>
      <c r="Q59" t="s">
        <v>197</v>
      </c>
      <c r="R59">
        <v>94024</v>
      </c>
      <c r="S59" s="1">
        <v>42009</v>
      </c>
      <c r="T59" s="1">
        <v>42014</v>
      </c>
      <c r="U59">
        <v>-15.456</v>
      </c>
      <c r="V59">
        <v>2</v>
      </c>
      <c r="W59">
        <v>19.86</v>
      </c>
      <c r="X59">
        <v>86013</v>
      </c>
      <c r="Y59">
        <f>cleaneddata[[#This Row],[Unit Price]]-cleaneddata[[#This Row],[Discount]]</f>
        <v>8.870000000000001</v>
      </c>
      <c r="Z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" spans="1:26" x14ac:dyDescent="0.3">
      <c r="A60">
        <v>451</v>
      </c>
      <c r="B60" t="s">
        <v>195</v>
      </c>
      <c r="C60" t="s">
        <v>23</v>
      </c>
      <c r="D60">
        <v>0.06</v>
      </c>
      <c r="E60">
        <v>2.88</v>
      </c>
      <c r="F60">
        <v>0.99</v>
      </c>
      <c r="G60" t="s">
        <v>14</v>
      </c>
      <c r="H60" t="s">
        <v>47</v>
      </c>
      <c r="I60" t="s">
        <v>24</v>
      </c>
      <c r="J60" t="s">
        <v>128</v>
      </c>
      <c r="K60" t="s">
        <v>49</v>
      </c>
      <c r="L60" t="s">
        <v>198</v>
      </c>
      <c r="M60">
        <v>0.36</v>
      </c>
      <c r="N60" t="s">
        <v>8</v>
      </c>
      <c r="O60" t="s">
        <v>35</v>
      </c>
      <c r="P60" t="s">
        <v>66</v>
      </c>
      <c r="Q60" t="s">
        <v>197</v>
      </c>
      <c r="R60">
        <v>94024</v>
      </c>
      <c r="S60" s="1">
        <v>42009</v>
      </c>
      <c r="T60" s="1">
        <v>42018</v>
      </c>
      <c r="U60">
        <v>16.049399999999999</v>
      </c>
      <c r="V60">
        <v>8</v>
      </c>
      <c r="W60">
        <v>23.26</v>
      </c>
      <c r="X60">
        <v>86013</v>
      </c>
      <c r="Y60">
        <f>cleaneddata[[#This Row],[Unit Price]]-cleaneddata[[#This Row],[Discount]]</f>
        <v>2.82</v>
      </c>
      <c r="Z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1" spans="1:26" x14ac:dyDescent="0.3">
      <c r="A61">
        <v>1314</v>
      </c>
      <c r="B61" t="s">
        <v>199</v>
      </c>
      <c r="C61" t="s">
        <v>23</v>
      </c>
      <c r="D61">
        <v>0.05</v>
      </c>
      <c r="E61">
        <v>80.98</v>
      </c>
      <c r="F61">
        <v>35</v>
      </c>
      <c r="G61" t="s">
        <v>14</v>
      </c>
      <c r="H61" t="s">
        <v>47</v>
      </c>
      <c r="I61" t="s">
        <v>24</v>
      </c>
      <c r="J61" t="s">
        <v>54</v>
      </c>
      <c r="K61" t="s">
        <v>40</v>
      </c>
      <c r="L61" t="s">
        <v>200</v>
      </c>
      <c r="M61">
        <v>0.81</v>
      </c>
      <c r="N61" t="s">
        <v>8</v>
      </c>
      <c r="O61" t="s">
        <v>35</v>
      </c>
      <c r="P61" t="s">
        <v>66</v>
      </c>
      <c r="Q61" t="s">
        <v>76</v>
      </c>
      <c r="R61">
        <v>90058</v>
      </c>
      <c r="S61" s="1">
        <v>42009</v>
      </c>
      <c r="T61" s="1">
        <v>42013</v>
      </c>
      <c r="U61">
        <v>-746.44</v>
      </c>
      <c r="V61">
        <v>34</v>
      </c>
      <c r="W61">
        <v>2710.47</v>
      </c>
      <c r="X61">
        <v>27013</v>
      </c>
      <c r="Y61">
        <f>cleaneddata[[#This Row],[Unit Price]]-cleaneddata[[#This Row],[Discount]]</f>
        <v>80.930000000000007</v>
      </c>
      <c r="Z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2" spans="1:26" x14ac:dyDescent="0.3">
      <c r="A62">
        <v>1314</v>
      </c>
      <c r="B62" t="s">
        <v>199</v>
      </c>
      <c r="C62" t="s">
        <v>23</v>
      </c>
      <c r="D62">
        <v>0.05</v>
      </c>
      <c r="E62">
        <v>279.48</v>
      </c>
      <c r="F62">
        <v>35</v>
      </c>
      <c r="G62" t="s">
        <v>14</v>
      </c>
      <c r="H62" t="s">
        <v>47</v>
      </c>
      <c r="I62" t="s">
        <v>24</v>
      </c>
      <c r="J62" t="s">
        <v>54</v>
      </c>
      <c r="K62" t="s">
        <v>40</v>
      </c>
      <c r="L62" t="s">
        <v>201</v>
      </c>
      <c r="M62">
        <v>0.8</v>
      </c>
      <c r="N62" t="s">
        <v>8</v>
      </c>
      <c r="O62" t="s">
        <v>35</v>
      </c>
      <c r="P62" t="s">
        <v>66</v>
      </c>
      <c r="Q62" t="s">
        <v>76</v>
      </c>
      <c r="R62">
        <v>90058</v>
      </c>
      <c r="S62" s="1">
        <v>42009</v>
      </c>
      <c r="T62" s="1">
        <v>42009</v>
      </c>
      <c r="U62">
        <v>-274.95</v>
      </c>
      <c r="V62">
        <v>31</v>
      </c>
      <c r="W62">
        <v>8354.73</v>
      </c>
      <c r="X62">
        <v>27013</v>
      </c>
      <c r="Y62">
        <f>cleaneddata[[#This Row],[Unit Price]]-cleaneddata[[#This Row],[Discount]]</f>
        <v>279.43</v>
      </c>
      <c r="Z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3" spans="1:26" x14ac:dyDescent="0.3">
      <c r="A63">
        <v>1316</v>
      </c>
      <c r="B63" t="s">
        <v>202</v>
      </c>
      <c r="C63" t="s">
        <v>23</v>
      </c>
      <c r="D63">
        <v>0.05</v>
      </c>
      <c r="E63">
        <v>80.98</v>
      </c>
      <c r="F63">
        <v>35</v>
      </c>
      <c r="G63" t="s">
        <v>14</v>
      </c>
      <c r="H63" t="s">
        <v>47</v>
      </c>
      <c r="I63" t="s">
        <v>24</v>
      </c>
      <c r="J63" t="s">
        <v>54</v>
      </c>
      <c r="K63" t="s">
        <v>40</v>
      </c>
      <c r="L63" t="s">
        <v>200</v>
      </c>
      <c r="M63">
        <v>0.81</v>
      </c>
      <c r="N63" t="s">
        <v>8</v>
      </c>
      <c r="O63" t="s">
        <v>35</v>
      </c>
      <c r="P63" t="s">
        <v>36</v>
      </c>
      <c r="Q63" t="s">
        <v>203</v>
      </c>
      <c r="R63">
        <v>80022</v>
      </c>
      <c r="S63" s="1">
        <v>42009</v>
      </c>
      <c r="T63" s="1">
        <v>42013</v>
      </c>
      <c r="U63">
        <v>-746.44</v>
      </c>
      <c r="V63">
        <v>8</v>
      </c>
      <c r="W63">
        <v>637.76</v>
      </c>
      <c r="X63">
        <v>87603</v>
      </c>
      <c r="Y63">
        <f>cleaneddata[[#This Row],[Unit Price]]-cleaneddata[[#This Row],[Discount]]</f>
        <v>80.930000000000007</v>
      </c>
      <c r="Z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4" spans="1:26" x14ac:dyDescent="0.3">
      <c r="A64">
        <v>1316</v>
      </c>
      <c r="B64" t="s">
        <v>202</v>
      </c>
      <c r="C64" t="s">
        <v>23</v>
      </c>
      <c r="D64">
        <v>0.05</v>
      </c>
      <c r="E64">
        <v>279.48</v>
      </c>
      <c r="F64">
        <v>35</v>
      </c>
      <c r="G64" t="s">
        <v>14</v>
      </c>
      <c r="H64" t="s">
        <v>47</v>
      </c>
      <c r="I64" t="s">
        <v>24</v>
      </c>
      <c r="J64" t="s">
        <v>54</v>
      </c>
      <c r="K64" t="s">
        <v>40</v>
      </c>
      <c r="L64" t="s">
        <v>201</v>
      </c>
      <c r="M64">
        <v>0.8</v>
      </c>
      <c r="N64" t="s">
        <v>8</v>
      </c>
      <c r="O64" t="s">
        <v>35</v>
      </c>
      <c r="P64" t="s">
        <v>36</v>
      </c>
      <c r="Q64" t="s">
        <v>203</v>
      </c>
      <c r="R64">
        <v>80022</v>
      </c>
      <c r="S64" s="1">
        <v>42009</v>
      </c>
      <c r="T64" s="1">
        <v>42009</v>
      </c>
      <c r="U64">
        <v>-274.95</v>
      </c>
      <c r="V64">
        <v>8</v>
      </c>
      <c r="W64">
        <v>2156.06</v>
      </c>
      <c r="X64">
        <v>87603</v>
      </c>
      <c r="Y64">
        <f>cleaneddata[[#This Row],[Unit Price]]-cleaneddata[[#This Row],[Discount]]</f>
        <v>279.43</v>
      </c>
      <c r="Z6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5" spans="1:26" x14ac:dyDescent="0.3">
      <c r="A65">
        <v>3331</v>
      </c>
      <c r="B65" t="s">
        <v>204</v>
      </c>
      <c r="C65" t="s">
        <v>92</v>
      </c>
      <c r="D65">
        <v>0.09</v>
      </c>
      <c r="E65">
        <v>5.98</v>
      </c>
      <c r="F65">
        <v>4.6900000000000004</v>
      </c>
      <c r="G65" t="s">
        <v>14</v>
      </c>
      <c r="H65" t="s">
        <v>70</v>
      </c>
      <c r="I65" t="s">
        <v>24</v>
      </c>
      <c r="J65" t="s">
        <v>54</v>
      </c>
      <c r="K65" t="s">
        <v>49</v>
      </c>
      <c r="L65" t="s">
        <v>205</v>
      </c>
      <c r="M65">
        <v>0.68</v>
      </c>
      <c r="N65" t="s">
        <v>8</v>
      </c>
      <c r="O65" t="s">
        <v>9</v>
      </c>
      <c r="P65" t="s">
        <v>99</v>
      </c>
      <c r="Q65" t="s">
        <v>206</v>
      </c>
      <c r="R65">
        <v>32174</v>
      </c>
      <c r="S65" s="1">
        <v>42009</v>
      </c>
      <c r="T65" s="1">
        <v>42010</v>
      </c>
      <c r="U65">
        <v>-781.13419999999996</v>
      </c>
      <c r="V65">
        <v>11</v>
      </c>
      <c r="W65">
        <v>65.849999999999994</v>
      </c>
      <c r="X65">
        <v>86283</v>
      </c>
      <c r="Y65">
        <f>cleaneddata[[#This Row],[Unit Price]]-cleaneddata[[#This Row],[Discount]]</f>
        <v>5.8900000000000006</v>
      </c>
      <c r="Z6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6" spans="1:26" x14ac:dyDescent="0.3">
      <c r="A66">
        <v>1085</v>
      </c>
      <c r="B66" t="s">
        <v>207</v>
      </c>
      <c r="C66" t="s">
        <v>46</v>
      </c>
      <c r="D66">
        <v>0.05</v>
      </c>
      <c r="E66">
        <v>7.64</v>
      </c>
      <c r="F66">
        <v>5.83</v>
      </c>
      <c r="G66" t="s">
        <v>14</v>
      </c>
      <c r="H66" t="s">
        <v>47</v>
      </c>
      <c r="I66" t="s">
        <v>24</v>
      </c>
      <c r="J66" t="s">
        <v>64</v>
      </c>
      <c r="K66" t="s">
        <v>26</v>
      </c>
      <c r="L66" t="s">
        <v>208</v>
      </c>
      <c r="M66">
        <v>0.36</v>
      </c>
      <c r="N66" t="s">
        <v>8</v>
      </c>
      <c r="O66" t="s">
        <v>87</v>
      </c>
      <c r="P66" t="s">
        <v>88</v>
      </c>
      <c r="Q66" t="s">
        <v>209</v>
      </c>
      <c r="R66">
        <v>11729</v>
      </c>
      <c r="S66" s="1">
        <v>42009</v>
      </c>
      <c r="T66" s="1">
        <v>42010</v>
      </c>
      <c r="U66">
        <v>-40.275199999999998</v>
      </c>
      <c r="V66">
        <v>6</v>
      </c>
      <c r="W66">
        <v>47.18</v>
      </c>
      <c r="X66">
        <v>86122</v>
      </c>
      <c r="Y66">
        <f>cleaneddata[[#This Row],[Unit Price]]-cleaneddata[[#This Row],[Discount]]</f>
        <v>7.59</v>
      </c>
      <c r="Z6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7" spans="1:26" x14ac:dyDescent="0.3">
      <c r="A67">
        <v>2151</v>
      </c>
      <c r="B67" t="s">
        <v>210</v>
      </c>
      <c r="C67" t="s">
        <v>46</v>
      </c>
      <c r="D67">
        <v>0.08</v>
      </c>
      <c r="E67">
        <v>243.98</v>
      </c>
      <c r="F67">
        <v>43.32</v>
      </c>
      <c r="G67" t="s">
        <v>2</v>
      </c>
      <c r="H67" t="s">
        <v>70</v>
      </c>
      <c r="I67" t="s">
        <v>4</v>
      </c>
      <c r="J67" t="s">
        <v>85</v>
      </c>
      <c r="K67" t="s">
        <v>33</v>
      </c>
      <c r="L67" t="s">
        <v>211</v>
      </c>
      <c r="M67">
        <v>0.55000000000000004</v>
      </c>
      <c r="N67" t="s">
        <v>8</v>
      </c>
      <c r="O67" t="s">
        <v>28</v>
      </c>
      <c r="P67" t="s">
        <v>189</v>
      </c>
      <c r="Q67" t="s">
        <v>212</v>
      </c>
      <c r="R67">
        <v>52001</v>
      </c>
      <c r="S67" s="1">
        <v>42009</v>
      </c>
      <c r="T67" s="1">
        <v>42010</v>
      </c>
      <c r="U67">
        <v>-162.8244</v>
      </c>
      <c r="V67">
        <v>1</v>
      </c>
      <c r="W67">
        <v>248.84</v>
      </c>
      <c r="X67">
        <v>90404</v>
      </c>
      <c r="Y67">
        <f>cleaneddata[[#This Row],[Unit Price]]-cleaneddata[[#This Row],[Discount]]</f>
        <v>243.89999999999998</v>
      </c>
      <c r="Z6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8" spans="1:26" x14ac:dyDescent="0.3">
      <c r="A68">
        <v>1793</v>
      </c>
      <c r="B68" t="s">
        <v>213</v>
      </c>
      <c r="C68" t="s">
        <v>1</v>
      </c>
      <c r="D68">
        <v>0.04</v>
      </c>
      <c r="E68">
        <v>880.98</v>
      </c>
      <c r="F68">
        <v>44.55</v>
      </c>
      <c r="G68" t="s">
        <v>2</v>
      </c>
      <c r="H68" t="s">
        <v>47</v>
      </c>
      <c r="I68" t="s">
        <v>4</v>
      </c>
      <c r="J68" t="s">
        <v>93</v>
      </c>
      <c r="K68" t="s">
        <v>6</v>
      </c>
      <c r="L68" t="s">
        <v>214</v>
      </c>
      <c r="M68">
        <v>0.62</v>
      </c>
      <c r="N68" t="s">
        <v>8</v>
      </c>
      <c r="O68" t="s">
        <v>28</v>
      </c>
      <c r="P68" t="s">
        <v>79</v>
      </c>
      <c r="Q68" t="s">
        <v>215</v>
      </c>
      <c r="R68">
        <v>61401</v>
      </c>
      <c r="S68" s="1">
        <v>42010</v>
      </c>
      <c r="T68" s="1">
        <v>42011</v>
      </c>
      <c r="U68">
        <v>-13706.464</v>
      </c>
      <c r="V68">
        <v>8</v>
      </c>
      <c r="W68">
        <v>6968.9</v>
      </c>
      <c r="X68">
        <v>87853</v>
      </c>
      <c r="Y68">
        <f>cleaneddata[[#This Row],[Unit Price]]-cleaneddata[[#This Row],[Discount]]</f>
        <v>880.94</v>
      </c>
      <c r="Z6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9" spans="1:26" x14ac:dyDescent="0.3">
      <c r="A69">
        <v>2418</v>
      </c>
      <c r="B69" t="s">
        <v>216</v>
      </c>
      <c r="C69" t="s">
        <v>1</v>
      </c>
      <c r="D69">
        <v>0.03</v>
      </c>
      <c r="E69">
        <v>2.1</v>
      </c>
      <c r="F69">
        <v>0.7</v>
      </c>
      <c r="G69" t="s">
        <v>14</v>
      </c>
      <c r="H69" t="s">
        <v>15</v>
      </c>
      <c r="I69" t="s">
        <v>24</v>
      </c>
      <c r="J69" t="s">
        <v>25</v>
      </c>
      <c r="K69" t="s">
        <v>26</v>
      </c>
      <c r="L69" t="s">
        <v>217</v>
      </c>
      <c r="M69">
        <v>0.56999999999999995</v>
      </c>
      <c r="N69" t="s">
        <v>8</v>
      </c>
      <c r="O69" t="s">
        <v>9</v>
      </c>
      <c r="P69" t="s">
        <v>218</v>
      </c>
      <c r="Q69" t="s">
        <v>219</v>
      </c>
      <c r="R69">
        <v>23805</v>
      </c>
      <c r="S69" s="1">
        <v>42010</v>
      </c>
      <c r="T69" s="1">
        <v>42011</v>
      </c>
      <c r="U69">
        <v>-1473.9059999999999</v>
      </c>
      <c r="V69">
        <v>4</v>
      </c>
      <c r="W69">
        <v>8.7200000000000006</v>
      </c>
      <c r="X69">
        <v>86750</v>
      </c>
      <c r="Y69">
        <f>cleaneddata[[#This Row],[Unit Price]]-cleaneddata[[#This Row],[Discount]]</f>
        <v>2.0700000000000003</v>
      </c>
      <c r="Z6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0" spans="1:26" x14ac:dyDescent="0.3">
      <c r="A70">
        <v>1782</v>
      </c>
      <c r="B70" t="s">
        <v>220</v>
      </c>
      <c r="C70" t="s">
        <v>13</v>
      </c>
      <c r="D70">
        <v>0.03</v>
      </c>
      <c r="E70">
        <v>3.28</v>
      </c>
      <c r="F70">
        <v>3.97</v>
      </c>
      <c r="G70" t="s">
        <v>14</v>
      </c>
      <c r="H70" t="s">
        <v>47</v>
      </c>
      <c r="I70" t="s">
        <v>24</v>
      </c>
      <c r="J70" t="s">
        <v>25</v>
      </c>
      <c r="K70" t="s">
        <v>26</v>
      </c>
      <c r="L70" t="s">
        <v>221</v>
      </c>
      <c r="M70">
        <v>0.56000000000000005</v>
      </c>
      <c r="N70" t="s">
        <v>8</v>
      </c>
      <c r="O70" t="s">
        <v>35</v>
      </c>
      <c r="P70" t="s">
        <v>66</v>
      </c>
      <c r="Q70" t="s">
        <v>222</v>
      </c>
      <c r="R70">
        <v>92672</v>
      </c>
      <c r="S70" s="1">
        <v>42010</v>
      </c>
      <c r="T70" s="1">
        <v>42012</v>
      </c>
      <c r="U70">
        <v>-90.755600000000001</v>
      </c>
      <c r="V70">
        <v>7</v>
      </c>
      <c r="W70">
        <v>24.57</v>
      </c>
      <c r="X70">
        <v>89856</v>
      </c>
      <c r="Y70">
        <f>cleaneddata[[#This Row],[Unit Price]]-cleaneddata[[#This Row],[Discount]]</f>
        <v>3.25</v>
      </c>
      <c r="Z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" spans="1:26" x14ac:dyDescent="0.3">
      <c r="A71">
        <v>783</v>
      </c>
      <c r="B71" t="s">
        <v>223</v>
      </c>
      <c r="C71" t="s">
        <v>23</v>
      </c>
      <c r="D71">
        <v>0.02</v>
      </c>
      <c r="E71">
        <v>100.98</v>
      </c>
      <c r="F71">
        <v>35.840000000000003</v>
      </c>
      <c r="G71" t="s">
        <v>2</v>
      </c>
      <c r="H71" t="s">
        <v>3</v>
      </c>
      <c r="I71" t="s">
        <v>4</v>
      </c>
      <c r="J71" t="s">
        <v>93</v>
      </c>
      <c r="K71" t="s">
        <v>6</v>
      </c>
      <c r="L71" t="s">
        <v>94</v>
      </c>
      <c r="M71">
        <v>0.62</v>
      </c>
      <c r="N71" t="s">
        <v>8</v>
      </c>
      <c r="O71" t="s">
        <v>87</v>
      </c>
      <c r="P71" t="s">
        <v>224</v>
      </c>
      <c r="Q71" t="s">
        <v>225</v>
      </c>
      <c r="R71">
        <v>6010</v>
      </c>
      <c r="S71" s="1">
        <v>42010</v>
      </c>
      <c r="T71" s="1">
        <v>42010</v>
      </c>
      <c r="U71">
        <v>-134.91200000000001</v>
      </c>
      <c r="V71">
        <v>6</v>
      </c>
      <c r="W71">
        <v>614.99</v>
      </c>
      <c r="X71">
        <v>90961</v>
      </c>
      <c r="Y71">
        <f>cleaneddata[[#This Row],[Unit Price]]-cleaneddata[[#This Row],[Discount]]</f>
        <v>100.96000000000001</v>
      </c>
      <c r="Z7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2" spans="1:26" x14ac:dyDescent="0.3">
      <c r="A72">
        <v>1828</v>
      </c>
      <c r="B72" t="s">
        <v>226</v>
      </c>
      <c r="C72" t="s">
        <v>23</v>
      </c>
      <c r="D72">
        <v>0.05</v>
      </c>
      <c r="E72">
        <v>7.1</v>
      </c>
      <c r="F72">
        <v>6.05</v>
      </c>
      <c r="G72" t="s">
        <v>14</v>
      </c>
      <c r="H72" t="s">
        <v>70</v>
      </c>
      <c r="I72" t="s">
        <v>24</v>
      </c>
      <c r="J72" t="s">
        <v>48</v>
      </c>
      <c r="K72" t="s">
        <v>49</v>
      </c>
      <c r="L72" t="s">
        <v>227</v>
      </c>
      <c r="M72">
        <v>0.39</v>
      </c>
      <c r="N72" t="s">
        <v>8</v>
      </c>
      <c r="O72" t="s">
        <v>28</v>
      </c>
      <c r="P72" t="s">
        <v>189</v>
      </c>
      <c r="Q72" t="s">
        <v>228</v>
      </c>
      <c r="R72">
        <v>50613</v>
      </c>
      <c r="S72" s="1">
        <v>42010</v>
      </c>
      <c r="T72" s="1">
        <v>42010</v>
      </c>
      <c r="U72">
        <v>-101.246</v>
      </c>
      <c r="V72">
        <v>14</v>
      </c>
      <c r="W72">
        <v>100.99</v>
      </c>
      <c r="X72">
        <v>86960</v>
      </c>
      <c r="Y72">
        <f>cleaneddata[[#This Row],[Unit Price]]-cleaneddata[[#This Row],[Discount]]</f>
        <v>7.05</v>
      </c>
      <c r="Z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" spans="1:26" x14ac:dyDescent="0.3">
      <c r="A73">
        <v>1828</v>
      </c>
      <c r="B73" t="s">
        <v>226</v>
      </c>
      <c r="C73" t="s">
        <v>23</v>
      </c>
      <c r="D73">
        <v>0.04</v>
      </c>
      <c r="E73">
        <v>20.95</v>
      </c>
      <c r="F73">
        <v>4</v>
      </c>
      <c r="G73" t="s">
        <v>14</v>
      </c>
      <c r="H73" t="s">
        <v>70</v>
      </c>
      <c r="I73" t="s">
        <v>16</v>
      </c>
      <c r="J73" t="s">
        <v>17</v>
      </c>
      <c r="K73" t="s">
        <v>49</v>
      </c>
      <c r="L73" t="s">
        <v>229</v>
      </c>
      <c r="M73">
        <v>0.6</v>
      </c>
      <c r="N73" t="s">
        <v>8</v>
      </c>
      <c r="O73" t="s">
        <v>28</v>
      </c>
      <c r="P73" t="s">
        <v>189</v>
      </c>
      <c r="Q73" t="s">
        <v>228</v>
      </c>
      <c r="R73">
        <v>50613</v>
      </c>
      <c r="S73" s="1">
        <v>42010</v>
      </c>
      <c r="T73" s="1">
        <v>42015</v>
      </c>
      <c r="U73">
        <v>-1.88</v>
      </c>
      <c r="V73">
        <v>7</v>
      </c>
      <c r="W73">
        <v>142.06</v>
      </c>
      <c r="X73">
        <v>86960</v>
      </c>
      <c r="Y73">
        <f>cleaneddata[[#This Row],[Unit Price]]-cleaneddata[[#This Row],[Discount]]</f>
        <v>20.91</v>
      </c>
      <c r="Z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4" spans="1:26" x14ac:dyDescent="0.3">
      <c r="A74">
        <v>1829</v>
      </c>
      <c r="B74" t="s">
        <v>230</v>
      </c>
      <c r="C74" t="s">
        <v>23</v>
      </c>
      <c r="D74">
        <v>0.05</v>
      </c>
      <c r="E74">
        <v>39.06</v>
      </c>
      <c r="F74">
        <v>10.55</v>
      </c>
      <c r="G74" t="s">
        <v>14</v>
      </c>
      <c r="H74" t="s">
        <v>70</v>
      </c>
      <c r="I74" t="s">
        <v>24</v>
      </c>
      <c r="J74" t="s">
        <v>48</v>
      </c>
      <c r="K74" t="s">
        <v>49</v>
      </c>
      <c r="L74" t="s">
        <v>231</v>
      </c>
      <c r="M74">
        <v>0.37</v>
      </c>
      <c r="N74" t="s">
        <v>8</v>
      </c>
      <c r="O74" t="s">
        <v>28</v>
      </c>
      <c r="P74" t="s">
        <v>189</v>
      </c>
      <c r="Q74" t="s">
        <v>232</v>
      </c>
      <c r="R74">
        <v>52402</v>
      </c>
      <c r="S74" s="1">
        <v>42010</v>
      </c>
      <c r="T74" s="1">
        <v>42017</v>
      </c>
      <c r="U74">
        <v>250.98060000000001</v>
      </c>
      <c r="V74">
        <v>9</v>
      </c>
      <c r="W74">
        <v>363.74</v>
      </c>
      <c r="X74">
        <v>86960</v>
      </c>
      <c r="Y74">
        <f>cleaneddata[[#This Row],[Unit Price]]-cleaneddata[[#This Row],[Discount]]</f>
        <v>39.010000000000005</v>
      </c>
      <c r="Z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5" spans="1:26" x14ac:dyDescent="0.3">
      <c r="A75">
        <v>1829</v>
      </c>
      <c r="B75" t="s">
        <v>230</v>
      </c>
      <c r="C75" t="s">
        <v>23</v>
      </c>
      <c r="D75">
        <v>0.04</v>
      </c>
      <c r="E75">
        <v>3.52</v>
      </c>
      <c r="F75">
        <v>6.83</v>
      </c>
      <c r="G75" t="s">
        <v>14</v>
      </c>
      <c r="H75" t="s">
        <v>70</v>
      </c>
      <c r="I75" t="s">
        <v>24</v>
      </c>
      <c r="J75" t="s">
        <v>48</v>
      </c>
      <c r="K75" t="s">
        <v>49</v>
      </c>
      <c r="L75" t="s">
        <v>233</v>
      </c>
      <c r="M75">
        <v>0.38</v>
      </c>
      <c r="N75" t="s">
        <v>8</v>
      </c>
      <c r="O75" t="s">
        <v>28</v>
      </c>
      <c r="P75" t="s">
        <v>189</v>
      </c>
      <c r="Q75" t="s">
        <v>232</v>
      </c>
      <c r="R75">
        <v>52402</v>
      </c>
      <c r="S75" s="1">
        <v>42010</v>
      </c>
      <c r="T75" s="1">
        <v>42019</v>
      </c>
      <c r="U75">
        <v>-57.753</v>
      </c>
      <c r="V75">
        <v>4</v>
      </c>
      <c r="W75">
        <v>15.93</v>
      </c>
      <c r="X75">
        <v>86960</v>
      </c>
      <c r="Y75">
        <f>cleaneddata[[#This Row],[Unit Price]]-cleaneddata[[#This Row],[Discount]]</f>
        <v>3.48</v>
      </c>
      <c r="Z7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6" spans="1:26" x14ac:dyDescent="0.3">
      <c r="A76">
        <v>1829</v>
      </c>
      <c r="B76" t="s">
        <v>230</v>
      </c>
      <c r="C76" t="s">
        <v>23</v>
      </c>
      <c r="D76">
        <v>0.02</v>
      </c>
      <c r="E76">
        <v>15.51</v>
      </c>
      <c r="F76">
        <v>17.78</v>
      </c>
      <c r="G76" t="s">
        <v>14</v>
      </c>
      <c r="H76" t="s">
        <v>70</v>
      </c>
      <c r="I76" t="s">
        <v>24</v>
      </c>
      <c r="J76" t="s">
        <v>54</v>
      </c>
      <c r="K76" t="s">
        <v>49</v>
      </c>
      <c r="L76" t="s">
        <v>234</v>
      </c>
      <c r="M76">
        <v>0.59</v>
      </c>
      <c r="N76" t="s">
        <v>8</v>
      </c>
      <c r="O76" t="s">
        <v>28</v>
      </c>
      <c r="P76" t="s">
        <v>189</v>
      </c>
      <c r="Q76" t="s">
        <v>232</v>
      </c>
      <c r="R76">
        <v>52402</v>
      </c>
      <c r="S76" s="1">
        <v>42010</v>
      </c>
      <c r="T76" s="1">
        <v>42017</v>
      </c>
      <c r="U76">
        <v>-47.97</v>
      </c>
      <c r="V76">
        <v>1</v>
      </c>
      <c r="W76">
        <v>21.28</v>
      </c>
      <c r="X76">
        <v>86960</v>
      </c>
      <c r="Y76">
        <f>cleaneddata[[#This Row],[Unit Price]]-cleaneddata[[#This Row],[Discount]]</f>
        <v>15.49</v>
      </c>
      <c r="Z7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7" spans="1:26" x14ac:dyDescent="0.3">
      <c r="A77">
        <v>2146</v>
      </c>
      <c r="B77" t="s">
        <v>235</v>
      </c>
      <c r="C77" t="s">
        <v>23</v>
      </c>
      <c r="D77">
        <v>0.05</v>
      </c>
      <c r="E77">
        <v>20.34</v>
      </c>
      <c r="F77">
        <v>35</v>
      </c>
      <c r="G77" t="s">
        <v>14</v>
      </c>
      <c r="H77" t="s">
        <v>70</v>
      </c>
      <c r="I77" t="s">
        <v>24</v>
      </c>
      <c r="J77" t="s">
        <v>54</v>
      </c>
      <c r="K77" t="s">
        <v>40</v>
      </c>
      <c r="L77" t="s">
        <v>236</v>
      </c>
      <c r="M77">
        <v>0.84</v>
      </c>
      <c r="N77" t="s">
        <v>8</v>
      </c>
      <c r="O77" t="s">
        <v>9</v>
      </c>
      <c r="P77" t="s">
        <v>218</v>
      </c>
      <c r="Q77" t="s">
        <v>237</v>
      </c>
      <c r="R77">
        <v>20151</v>
      </c>
      <c r="S77" s="1">
        <v>42010</v>
      </c>
      <c r="T77" s="1">
        <v>42014</v>
      </c>
      <c r="U77">
        <v>52.776000000000003</v>
      </c>
      <c r="V77">
        <v>2</v>
      </c>
      <c r="W77">
        <v>53.02</v>
      </c>
      <c r="X77">
        <v>87071</v>
      </c>
      <c r="Y77">
        <f>cleaneddata[[#This Row],[Unit Price]]-cleaneddata[[#This Row],[Discount]]</f>
        <v>20.29</v>
      </c>
      <c r="Z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8" spans="1:26" x14ac:dyDescent="0.3">
      <c r="A78">
        <v>211</v>
      </c>
      <c r="B78" t="s">
        <v>238</v>
      </c>
      <c r="C78" t="s">
        <v>92</v>
      </c>
      <c r="D78">
        <v>0.01</v>
      </c>
      <c r="E78">
        <v>10.06</v>
      </c>
      <c r="F78">
        <v>2.06</v>
      </c>
      <c r="G78" t="s">
        <v>14</v>
      </c>
      <c r="H78" t="s">
        <v>15</v>
      </c>
      <c r="I78" t="s">
        <v>24</v>
      </c>
      <c r="J78" t="s">
        <v>64</v>
      </c>
      <c r="K78" t="s">
        <v>26</v>
      </c>
      <c r="L78" t="s">
        <v>149</v>
      </c>
      <c r="M78">
        <v>0.39</v>
      </c>
      <c r="N78" t="s">
        <v>8</v>
      </c>
      <c r="O78" t="s">
        <v>87</v>
      </c>
      <c r="P78" t="s">
        <v>88</v>
      </c>
      <c r="Q78" t="s">
        <v>239</v>
      </c>
      <c r="R78">
        <v>13501</v>
      </c>
      <c r="S78" s="1">
        <v>42010</v>
      </c>
      <c r="T78" s="1">
        <v>42012</v>
      </c>
      <c r="U78">
        <v>7.59</v>
      </c>
      <c r="V78">
        <v>2</v>
      </c>
      <c r="W78">
        <v>21.2</v>
      </c>
      <c r="X78">
        <v>85964</v>
      </c>
      <c r="Y78">
        <f>cleaneddata[[#This Row],[Unit Price]]-cleaneddata[[#This Row],[Discount]]</f>
        <v>10.050000000000001</v>
      </c>
      <c r="Z7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9" spans="1:26" x14ac:dyDescent="0.3">
      <c r="A79">
        <v>211</v>
      </c>
      <c r="B79" t="s">
        <v>238</v>
      </c>
      <c r="C79" t="s">
        <v>92</v>
      </c>
      <c r="D79">
        <v>0</v>
      </c>
      <c r="E79">
        <v>65.989999999999995</v>
      </c>
      <c r="F79">
        <v>5.92</v>
      </c>
      <c r="G79" t="s">
        <v>14</v>
      </c>
      <c r="H79" t="s">
        <v>15</v>
      </c>
      <c r="I79" t="s">
        <v>16</v>
      </c>
      <c r="J79" t="s">
        <v>111</v>
      </c>
      <c r="K79" t="s">
        <v>49</v>
      </c>
      <c r="L79" t="s">
        <v>240</v>
      </c>
      <c r="M79">
        <v>0.55000000000000004</v>
      </c>
      <c r="N79" t="s">
        <v>8</v>
      </c>
      <c r="O79" t="s">
        <v>87</v>
      </c>
      <c r="P79" t="s">
        <v>88</v>
      </c>
      <c r="Q79" t="s">
        <v>239</v>
      </c>
      <c r="R79">
        <v>13501</v>
      </c>
      <c r="S79" s="1">
        <v>42010</v>
      </c>
      <c r="T79" s="1">
        <v>42012</v>
      </c>
      <c r="U79">
        <v>-107.98699999999999</v>
      </c>
      <c r="V79">
        <v>3</v>
      </c>
      <c r="W79">
        <v>173.32</v>
      </c>
      <c r="X79">
        <v>85964</v>
      </c>
      <c r="Y79">
        <f>cleaneddata[[#This Row],[Unit Price]]-cleaneddata[[#This Row],[Discount]]</f>
        <v>65.989999999999995</v>
      </c>
      <c r="Z7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0" spans="1:26" x14ac:dyDescent="0.3">
      <c r="A80">
        <v>3347</v>
      </c>
      <c r="B80" t="s">
        <v>241</v>
      </c>
      <c r="C80" t="s">
        <v>92</v>
      </c>
      <c r="D80">
        <v>7.0000000000000007E-2</v>
      </c>
      <c r="E80">
        <v>7.68</v>
      </c>
      <c r="F80">
        <v>6.16</v>
      </c>
      <c r="G80" t="s">
        <v>63</v>
      </c>
      <c r="H80" t="s">
        <v>15</v>
      </c>
      <c r="I80" t="s">
        <v>24</v>
      </c>
      <c r="J80" t="s">
        <v>48</v>
      </c>
      <c r="K80" t="s">
        <v>49</v>
      </c>
      <c r="L80" t="s">
        <v>242</v>
      </c>
      <c r="M80">
        <v>0.35</v>
      </c>
      <c r="N80" t="s">
        <v>8</v>
      </c>
      <c r="O80" t="s">
        <v>9</v>
      </c>
      <c r="P80" t="s">
        <v>99</v>
      </c>
      <c r="Q80" t="s">
        <v>243</v>
      </c>
      <c r="R80">
        <v>33411</v>
      </c>
      <c r="S80" s="1">
        <v>42010</v>
      </c>
      <c r="T80" s="1">
        <v>42012</v>
      </c>
      <c r="U80">
        <v>125.9982</v>
      </c>
      <c r="V80">
        <v>1</v>
      </c>
      <c r="W80">
        <v>22.13</v>
      </c>
      <c r="X80">
        <v>89355</v>
      </c>
      <c r="Y80">
        <f>cleaneddata[[#This Row],[Unit Price]]-cleaneddata[[#This Row],[Discount]]</f>
        <v>7.6099999999999994</v>
      </c>
      <c r="Z8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1" spans="1:26" x14ac:dyDescent="0.3">
      <c r="A81">
        <v>3347</v>
      </c>
      <c r="B81" t="s">
        <v>241</v>
      </c>
      <c r="C81" t="s">
        <v>92</v>
      </c>
      <c r="D81">
        <v>0.05</v>
      </c>
      <c r="E81">
        <v>6.64</v>
      </c>
      <c r="F81">
        <v>4.95</v>
      </c>
      <c r="G81" t="s">
        <v>63</v>
      </c>
      <c r="H81" t="s">
        <v>15</v>
      </c>
      <c r="I81" t="s">
        <v>4</v>
      </c>
      <c r="J81" t="s">
        <v>102</v>
      </c>
      <c r="K81" t="s">
        <v>18</v>
      </c>
      <c r="L81" t="s">
        <v>244</v>
      </c>
      <c r="M81">
        <v>0.37</v>
      </c>
      <c r="N81" t="s">
        <v>8</v>
      </c>
      <c r="O81" t="s">
        <v>9</v>
      </c>
      <c r="P81" t="s">
        <v>99</v>
      </c>
      <c r="Q81" t="s">
        <v>243</v>
      </c>
      <c r="R81">
        <v>33411</v>
      </c>
      <c r="S81" s="1">
        <v>42010</v>
      </c>
      <c r="T81" s="1">
        <v>42012</v>
      </c>
      <c r="U81">
        <v>-92.929199999999994</v>
      </c>
      <c r="V81">
        <v>5</v>
      </c>
      <c r="W81">
        <v>34.17</v>
      </c>
      <c r="X81">
        <v>89355</v>
      </c>
      <c r="Y81">
        <f>cleaneddata[[#This Row],[Unit Price]]-cleaneddata[[#This Row],[Discount]]</f>
        <v>6.59</v>
      </c>
      <c r="Z8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2" spans="1:26" x14ac:dyDescent="0.3">
      <c r="A82">
        <v>799</v>
      </c>
      <c r="B82" t="s">
        <v>245</v>
      </c>
      <c r="C82" t="s">
        <v>46</v>
      </c>
      <c r="D82">
        <v>0.01</v>
      </c>
      <c r="E82">
        <v>150.97999999999999</v>
      </c>
      <c r="F82">
        <v>30</v>
      </c>
      <c r="G82" t="s">
        <v>2</v>
      </c>
      <c r="H82" t="s">
        <v>15</v>
      </c>
      <c r="I82" t="s">
        <v>4</v>
      </c>
      <c r="J82" t="s">
        <v>85</v>
      </c>
      <c r="K82" t="s">
        <v>33</v>
      </c>
      <c r="L82" t="s">
        <v>246</v>
      </c>
      <c r="M82">
        <v>0.74</v>
      </c>
      <c r="N82" t="s">
        <v>8</v>
      </c>
      <c r="O82" t="s">
        <v>9</v>
      </c>
      <c r="P82" t="s">
        <v>247</v>
      </c>
      <c r="Q82" t="s">
        <v>248</v>
      </c>
      <c r="R82">
        <v>29915</v>
      </c>
      <c r="S82" s="1">
        <v>42010</v>
      </c>
      <c r="T82" s="1">
        <v>42012</v>
      </c>
      <c r="U82">
        <v>131.38200000000001</v>
      </c>
      <c r="V82">
        <v>6</v>
      </c>
      <c r="W82">
        <v>958.46</v>
      </c>
      <c r="X82">
        <v>89909</v>
      </c>
      <c r="Y82">
        <f>cleaneddata[[#This Row],[Unit Price]]-cleaneddata[[#This Row],[Discount]]</f>
        <v>150.97</v>
      </c>
      <c r="Z8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3" spans="1:26" x14ac:dyDescent="0.3">
      <c r="A83">
        <v>799</v>
      </c>
      <c r="B83" t="s">
        <v>245</v>
      </c>
      <c r="C83" t="s">
        <v>46</v>
      </c>
      <c r="D83">
        <v>0.01</v>
      </c>
      <c r="E83">
        <v>28.28</v>
      </c>
      <c r="F83">
        <v>13.99</v>
      </c>
      <c r="G83" t="s">
        <v>63</v>
      </c>
      <c r="H83" t="s">
        <v>15</v>
      </c>
      <c r="I83" t="s">
        <v>24</v>
      </c>
      <c r="J83" t="s">
        <v>54</v>
      </c>
      <c r="K83" t="s">
        <v>120</v>
      </c>
      <c r="L83" t="s">
        <v>249</v>
      </c>
      <c r="M83">
        <v>0.57999999999999996</v>
      </c>
      <c r="N83" t="s">
        <v>8</v>
      </c>
      <c r="O83" t="s">
        <v>9</v>
      </c>
      <c r="P83" t="s">
        <v>247</v>
      </c>
      <c r="Q83" t="s">
        <v>248</v>
      </c>
      <c r="R83">
        <v>29915</v>
      </c>
      <c r="S83" s="1">
        <v>42010</v>
      </c>
      <c r="T83" s="1">
        <v>42012</v>
      </c>
      <c r="U83">
        <v>-89.292000000000002</v>
      </c>
      <c r="V83">
        <v>12</v>
      </c>
      <c r="W83">
        <v>368.84</v>
      </c>
      <c r="X83">
        <v>89909</v>
      </c>
      <c r="Y83">
        <f>cleaneddata[[#This Row],[Unit Price]]-cleaneddata[[#This Row],[Discount]]</f>
        <v>28.27</v>
      </c>
      <c r="Z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4" spans="1:26" x14ac:dyDescent="0.3">
      <c r="A84">
        <v>799</v>
      </c>
      <c r="B84" t="s">
        <v>245</v>
      </c>
      <c r="C84" t="s">
        <v>46</v>
      </c>
      <c r="D84">
        <v>0.03</v>
      </c>
      <c r="E84">
        <v>35.99</v>
      </c>
      <c r="F84">
        <v>1.1000000000000001</v>
      </c>
      <c r="G84" t="s">
        <v>14</v>
      </c>
      <c r="H84" t="s">
        <v>15</v>
      </c>
      <c r="I84" t="s">
        <v>16</v>
      </c>
      <c r="J84" t="s">
        <v>111</v>
      </c>
      <c r="K84" t="s">
        <v>49</v>
      </c>
      <c r="L84" t="s">
        <v>250</v>
      </c>
      <c r="M84">
        <v>0.55000000000000004</v>
      </c>
      <c r="N84" t="s">
        <v>8</v>
      </c>
      <c r="O84" t="s">
        <v>9</v>
      </c>
      <c r="P84" t="s">
        <v>247</v>
      </c>
      <c r="Q84" t="s">
        <v>248</v>
      </c>
      <c r="R84">
        <v>29915</v>
      </c>
      <c r="S84" s="1">
        <v>42010</v>
      </c>
      <c r="T84" s="1">
        <v>42011</v>
      </c>
      <c r="U84">
        <v>-211.036</v>
      </c>
      <c r="V84">
        <v>1</v>
      </c>
      <c r="W84">
        <v>30.86</v>
      </c>
      <c r="X84">
        <v>89909</v>
      </c>
      <c r="Y84">
        <f>cleaneddata[[#This Row],[Unit Price]]-cleaneddata[[#This Row],[Discount]]</f>
        <v>35.96</v>
      </c>
      <c r="Z8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5" spans="1:26" x14ac:dyDescent="0.3">
      <c r="A85">
        <v>1950</v>
      </c>
      <c r="B85" t="s">
        <v>251</v>
      </c>
      <c r="C85" t="s">
        <v>46</v>
      </c>
      <c r="D85">
        <v>0.01</v>
      </c>
      <c r="E85">
        <v>6.68</v>
      </c>
      <c r="F85">
        <v>4.91</v>
      </c>
      <c r="G85" t="s">
        <v>14</v>
      </c>
      <c r="H85" t="s">
        <v>3</v>
      </c>
      <c r="I85" t="s">
        <v>24</v>
      </c>
      <c r="J85" t="s">
        <v>64</v>
      </c>
      <c r="K85" t="s">
        <v>49</v>
      </c>
      <c r="L85" t="s">
        <v>252</v>
      </c>
      <c r="M85">
        <v>0.37</v>
      </c>
      <c r="N85" t="s">
        <v>8</v>
      </c>
      <c r="O85" t="s">
        <v>35</v>
      </c>
      <c r="P85" t="s">
        <v>253</v>
      </c>
      <c r="Q85" t="s">
        <v>254</v>
      </c>
      <c r="R85">
        <v>59750</v>
      </c>
      <c r="S85" s="1">
        <v>42010</v>
      </c>
      <c r="T85" s="1">
        <v>42012</v>
      </c>
      <c r="U85">
        <v>-15.48</v>
      </c>
      <c r="V85">
        <v>7</v>
      </c>
      <c r="W85">
        <v>51.03</v>
      </c>
      <c r="X85">
        <v>90414</v>
      </c>
      <c r="Y85">
        <f>cleaneddata[[#This Row],[Unit Price]]-cleaneddata[[#This Row],[Discount]]</f>
        <v>6.67</v>
      </c>
      <c r="Z8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6" spans="1:26" x14ac:dyDescent="0.3">
      <c r="A86">
        <v>2290</v>
      </c>
      <c r="B86" t="s">
        <v>255</v>
      </c>
      <c r="C86" t="s">
        <v>46</v>
      </c>
      <c r="D86">
        <v>0</v>
      </c>
      <c r="E86">
        <v>42.98</v>
      </c>
      <c r="F86">
        <v>4.62</v>
      </c>
      <c r="G86" t="s">
        <v>14</v>
      </c>
      <c r="H86" t="s">
        <v>47</v>
      </c>
      <c r="I86" t="s">
        <v>24</v>
      </c>
      <c r="J86" t="s">
        <v>71</v>
      </c>
      <c r="K86" t="s">
        <v>49</v>
      </c>
      <c r="L86" t="s">
        <v>256</v>
      </c>
      <c r="M86">
        <v>0.56000000000000005</v>
      </c>
      <c r="N86" t="s">
        <v>8</v>
      </c>
      <c r="O86" t="s">
        <v>28</v>
      </c>
      <c r="P86" t="s">
        <v>60</v>
      </c>
      <c r="Q86" t="s">
        <v>257</v>
      </c>
      <c r="R86">
        <v>55433</v>
      </c>
      <c r="S86" s="1">
        <v>42010</v>
      </c>
      <c r="T86" s="1">
        <v>42012</v>
      </c>
      <c r="U86">
        <v>385.30290000000002</v>
      </c>
      <c r="V86">
        <v>12</v>
      </c>
      <c r="W86">
        <v>558.41</v>
      </c>
      <c r="X86">
        <v>88163</v>
      </c>
      <c r="Y86">
        <f>cleaneddata[[#This Row],[Unit Price]]-cleaneddata[[#This Row],[Discount]]</f>
        <v>42.98</v>
      </c>
      <c r="Z8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" spans="1:26" x14ac:dyDescent="0.3">
      <c r="A87">
        <v>2290</v>
      </c>
      <c r="B87" t="s">
        <v>255</v>
      </c>
      <c r="C87" t="s">
        <v>46</v>
      </c>
      <c r="D87">
        <v>0.03</v>
      </c>
      <c r="E87">
        <v>21.78</v>
      </c>
      <c r="F87">
        <v>5.94</v>
      </c>
      <c r="G87" t="s">
        <v>14</v>
      </c>
      <c r="H87" t="s">
        <v>47</v>
      </c>
      <c r="I87" t="s">
        <v>24</v>
      </c>
      <c r="J87" t="s">
        <v>71</v>
      </c>
      <c r="K87" t="s">
        <v>120</v>
      </c>
      <c r="L87" t="s">
        <v>258</v>
      </c>
      <c r="M87">
        <v>0.5</v>
      </c>
      <c r="N87" t="s">
        <v>8</v>
      </c>
      <c r="O87" t="s">
        <v>28</v>
      </c>
      <c r="P87" t="s">
        <v>60</v>
      </c>
      <c r="Q87" t="s">
        <v>257</v>
      </c>
      <c r="R87">
        <v>55433</v>
      </c>
      <c r="S87" s="1">
        <v>42010</v>
      </c>
      <c r="T87" s="1">
        <v>42012</v>
      </c>
      <c r="U87">
        <v>187.2</v>
      </c>
      <c r="V87">
        <v>13</v>
      </c>
      <c r="W87">
        <v>290.22000000000003</v>
      </c>
      <c r="X87">
        <v>88163</v>
      </c>
      <c r="Y87">
        <f>cleaneddata[[#This Row],[Unit Price]]-cleaneddata[[#This Row],[Discount]]</f>
        <v>21.75</v>
      </c>
      <c r="Z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8" spans="1:26" x14ac:dyDescent="0.3">
      <c r="A88">
        <v>3285</v>
      </c>
      <c r="B88" t="s">
        <v>259</v>
      </c>
      <c r="C88" t="s">
        <v>46</v>
      </c>
      <c r="D88">
        <v>0.06</v>
      </c>
      <c r="E88">
        <v>1.7</v>
      </c>
      <c r="F88">
        <v>1.99</v>
      </c>
      <c r="G88" t="s">
        <v>14</v>
      </c>
      <c r="H88" t="s">
        <v>15</v>
      </c>
      <c r="I88" t="s">
        <v>16</v>
      </c>
      <c r="J88" t="s">
        <v>17</v>
      </c>
      <c r="K88" t="s">
        <v>18</v>
      </c>
      <c r="L88" t="s">
        <v>260</v>
      </c>
      <c r="M88">
        <v>0.51</v>
      </c>
      <c r="N88" t="s">
        <v>8</v>
      </c>
      <c r="O88" t="s">
        <v>9</v>
      </c>
      <c r="P88" t="s">
        <v>218</v>
      </c>
      <c r="Q88" t="s">
        <v>261</v>
      </c>
      <c r="R88">
        <v>20170</v>
      </c>
      <c r="S88" s="1">
        <v>42010</v>
      </c>
      <c r="T88" s="1">
        <v>42011</v>
      </c>
      <c r="U88">
        <v>80.071200000000005</v>
      </c>
      <c r="V88">
        <v>7</v>
      </c>
      <c r="W88">
        <v>12.15</v>
      </c>
      <c r="X88">
        <v>90750</v>
      </c>
      <c r="Y88">
        <f>cleaneddata[[#This Row],[Unit Price]]-cleaneddata[[#This Row],[Discount]]</f>
        <v>1.64</v>
      </c>
      <c r="Z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9" spans="1:26" x14ac:dyDescent="0.3">
      <c r="A89">
        <v>3285</v>
      </c>
      <c r="B89" t="s">
        <v>259</v>
      </c>
      <c r="C89" t="s">
        <v>46</v>
      </c>
      <c r="D89">
        <v>0.01</v>
      </c>
      <c r="E89">
        <v>30.98</v>
      </c>
      <c r="F89">
        <v>5.09</v>
      </c>
      <c r="G89" t="s">
        <v>14</v>
      </c>
      <c r="H89" t="s">
        <v>15</v>
      </c>
      <c r="I89" t="s">
        <v>24</v>
      </c>
      <c r="J89" t="s">
        <v>64</v>
      </c>
      <c r="K89" t="s">
        <v>49</v>
      </c>
      <c r="L89" t="s">
        <v>262</v>
      </c>
      <c r="M89">
        <v>0.4</v>
      </c>
      <c r="N89" t="s">
        <v>8</v>
      </c>
      <c r="O89" t="s">
        <v>9</v>
      </c>
      <c r="P89" t="s">
        <v>218</v>
      </c>
      <c r="Q89" t="s">
        <v>261</v>
      </c>
      <c r="R89">
        <v>20170</v>
      </c>
      <c r="S89" s="1">
        <v>42010</v>
      </c>
      <c r="T89" s="1">
        <v>42012</v>
      </c>
      <c r="U89">
        <v>896.40599999999995</v>
      </c>
      <c r="V89">
        <v>9</v>
      </c>
      <c r="W89">
        <v>288.42</v>
      </c>
      <c r="X89">
        <v>90750</v>
      </c>
      <c r="Y89">
        <f>cleaneddata[[#This Row],[Unit Price]]-cleaneddata[[#This Row],[Discount]]</f>
        <v>30.97</v>
      </c>
      <c r="Z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0" spans="1:26" x14ac:dyDescent="0.3">
      <c r="A90">
        <v>619</v>
      </c>
      <c r="B90" t="s">
        <v>263</v>
      </c>
      <c r="C90" t="s">
        <v>1</v>
      </c>
      <c r="D90">
        <v>0.03</v>
      </c>
      <c r="E90">
        <v>14.2</v>
      </c>
      <c r="F90">
        <v>5.3</v>
      </c>
      <c r="G90" t="s">
        <v>14</v>
      </c>
      <c r="H90" t="s">
        <v>15</v>
      </c>
      <c r="I90" t="s">
        <v>4</v>
      </c>
      <c r="J90" t="s">
        <v>102</v>
      </c>
      <c r="K90" t="s">
        <v>26</v>
      </c>
      <c r="L90" t="s">
        <v>264</v>
      </c>
      <c r="M90">
        <v>0.46</v>
      </c>
      <c r="N90" t="s">
        <v>8</v>
      </c>
      <c r="O90" t="s">
        <v>28</v>
      </c>
      <c r="P90" t="s">
        <v>265</v>
      </c>
      <c r="Q90" t="s">
        <v>266</v>
      </c>
      <c r="R90">
        <v>48195</v>
      </c>
      <c r="S90" s="1">
        <v>42011</v>
      </c>
      <c r="T90" s="1">
        <v>42012</v>
      </c>
      <c r="U90">
        <v>107.02</v>
      </c>
      <c r="V90">
        <v>14</v>
      </c>
      <c r="W90">
        <v>205.98</v>
      </c>
      <c r="X90">
        <v>88196</v>
      </c>
      <c r="Y90">
        <f>cleaneddata[[#This Row],[Unit Price]]-cleaneddata[[#This Row],[Discount]]</f>
        <v>14.17</v>
      </c>
      <c r="Z9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1" spans="1:26" x14ac:dyDescent="0.3">
      <c r="A91">
        <v>3</v>
      </c>
      <c r="B91" t="s">
        <v>267</v>
      </c>
      <c r="C91" t="s">
        <v>13</v>
      </c>
      <c r="D91">
        <v>0.01</v>
      </c>
      <c r="E91">
        <v>2.84</v>
      </c>
      <c r="F91">
        <v>0.93</v>
      </c>
      <c r="G91" t="s">
        <v>63</v>
      </c>
      <c r="H91" t="s">
        <v>70</v>
      </c>
      <c r="I91" t="s">
        <v>24</v>
      </c>
      <c r="J91" t="s">
        <v>25</v>
      </c>
      <c r="K91" t="s">
        <v>26</v>
      </c>
      <c r="L91" t="s">
        <v>268</v>
      </c>
      <c r="M91">
        <v>0.54</v>
      </c>
      <c r="N91" t="s">
        <v>8</v>
      </c>
      <c r="O91" t="s">
        <v>35</v>
      </c>
      <c r="P91" t="s">
        <v>42</v>
      </c>
      <c r="Q91" t="s">
        <v>269</v>
      </c>
      <c r="R91">
        <v>98221</v>
      </c>
      <c r="S91" s="1">
        <v>42011</v>
      </c>
      <c r="T91" s="1">
        <v>42012</v>
      </c>
      <c r="U91">
        <v>4.5599999999999996</v>
      </c>
      <c r="V91">
        <v>4</v>
      </c>
      <c r="W91">
        <v>13.01</v>
      </c>
      <c r="X91">
        <v>88522</v>
      </c>
      <c r="Y91">
        <f>cleaneddata[[#This Row],[Unit Price]]-cleaneddata[[#This Row],[Discount]]</f>
        <v>2.83</v>
      </c>
      <c r="Z9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2" spans="1:26" x14ac:dyDescent="0.3">
      <c r="A92">
        <v>651</v>
      </c>
      <c r="B92" t="s">
        <v>270</v>
      </c>
      <c r="C92" t="s">
        <v>13</v>
      </c>
      <c r="D92">
        <v>0.08</v>
      </c>
      <c r="E92">
        <v>15.99</v>
      </c>
      <c r="F92">
        <v>13.18</v>
      </c>
      <c r="G92" t="s">
        <v>14</v>
      </c>
      <c r="H92" t="s">
        <v>15</v>
      </c>
      <c r="I92" t="s">
        <v>24</v>
      </c>
      <c r="J92" t="s">
        <v>48</v>
      </c>
      <c r="K92" t="s">
        <v>49</v>
      </c>
      <c r="L92" t="s">
        <v>271</v>
      </c>
      <c r="M92">
        <v>0.37</v>
      </c>
      <c r="N92" t="s">
        <v>8</v>
      </c>
      <c r="O92" t="s">
        <v>35</v>
      </c>
      <c r="P92" t="s">
        <v>272</v>
      </c>
      <c r="Q92" t="s">
        <v>273</v>
      </c>
      <c r="R92">
        <v>89115</v>
      </c>
      <c r="S92" s="1">
        <v>42011</v>
      </c>
      <c r="T92" s="1">
        <v>42012</v>
      </c>
      <c r="U92">
        <v>-246.92616000000001</v>
      </c>
      <c r="V92">
        <v>12</v>
      </c>
      <c r="W92">
        <v>192.33</v>
      </c>
      <c r="X92">
        <v>91575</v>
      </c>
      <c r="Y92">
        <f>cleaneddata[[#This Row],[Unit Price]]-cleaneddata[[#This Row],[Discount]]</f>
        <v>15.91</v>
      </c>
      <c r="Z9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3" spans="1:26" x14ac:dyDescent="0.3">
      <c r="A93">
        <v>2630</v>
      </c>
      <c r="B93" t="s">
        <v>181</v>
      </c>
      <c r="C93" t="s">
        <v>13</v>
      </c>
      <c r="D93">
        <v>7.0000000000000007E-2</v>
      </c>
      <c r="E93">
        <v>65.989999999999995</v>
      </c>
      <c r="F93">
        <v>5.99</v>
      </c>
      <c r="G93" t="s">
        <v>14</v>
      </c>
      <c r="H93" t="s">
        <v>3</v>
      </c>
      <c r="I93" t="s">
        <v>16</v>
      </c>
      <c r="J93" t="s">
        <v>111</v>
      </c>
      <c r="K93" t="s">
        <v>49</v>
      </c>
      <c r="L93" t="s">
        <v>274</v>
      </c>
      <c r="M93">
        <v>0.57999999999999996</v>
      </c>
      <c r="N93" t="s">
        <v>8</v>
      </c>
      <c r="O93" t="s">
        <v>28</v>
      </c>
      <c r="P93" t="s">
        <v>183</v>
      </c>
      <c r="Q93" t="s">
        <v>184</v>
      </c>
      <c r="R93">
        <v>73071</v>
      </c>
      <c r="S93" s="1">
        <v>42011</v>
      </c>
      <c r="T93" s="1">
        <v>42012</v>
      </c>
      <c r="U93">
        <v>-139.18256</v>
      </c>
      <c r="V93">
        <v>3</v>
      </c>
      <c r="W93">
        <v>165.71</v>
      </c>
      <c r="X93">
        <v>85915</v>
      </c>
      <c r="Y93">
        <f>cleaneddata[[#This Row],[Unit Price]]-cleaneddata[[#This Row],[Discount]]</f>
        <v>65.92</v>
      </c>
      <c r="Z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4" spans="1:26" x14ac:dyDescent="0.3">
      <c r="A94">
        <v>1781</v>
      </c>
      <c r="B94" t="s">
        <v>275</v>
      </c>
      <c r="C94" t="s">
        <v>23</v>
      </c>
      <c r="D94">
        <v>0.03</v>
      </c>
      <c r="E94">
        <v>5.08</v>
      </c>
      <c r="F94">
        <v>2.0299999999999998</v>
      </c>
      <c r="G94" t="s">
        <v>14</v>
      </c>
      <c r="H94" t="s">
        <v>47</v>
      </c>
      <c r="I94" t="s">
        <v>4</v>
      </c>
      <c r="J94" t="s">
        <v>102</v>
      </c>
      <c r="K94" t="s">
        <v>26</v>
      </c>
      <c r="L94" t="s">
        <v>276</v>
      </c>
      <c r="M94">
        <v>0.51</v>
      </c>
      <c r="N94" t="s">
        <v>8</v>
      </c>
      <c r="O94" t="s">
        <v>35</v>
      </c>
      <c r="P94" t="s">
        <v>66</v>
      </c>
      <c r="Q94" t="s">
        <v>277</v>
      </c>
      <c r="R94">
        <v>94070</v>
      </c>
      <c r="S94" s="1">
        <v>42011</v>
      </c>
      <c r="T94" s="1">
        <v>42016</v>
      </c>
      <c r="U94">
        <v>15.1524</v>
      </c>
      <c r="V94">
        <v>4</v>
      </c>
      <c r="W94">
        <v>21.96</v>
      </c>
      <c r="X94">
        <v>89858</v>
      </c>
      <c r="Y94">
        <f>cleaneddata[[#This Row],[Unit Price]]-cleaneddata[[#This Row],[Discount]]</f>
        <v>5.05</v>
      </c>
      <c r="Z9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5" spans="1:26" x14ac:dyDescent="0.3">
      <c r="A95">
        <v>3123</v>
      </c>
      <c r="B95" t="s">
        <v>278</v>
      </c>
      <c r="C95" t="s">
        <v>23</v>
      </c>
      <c r="D95">
        <v>0.02</v>
      </c>
      <c r="E95">
        <v>7.1</v>
      </c>
      <c r="F95">
        <v>6.05</v>
      </c>
      <c r="G95" t="s">
        <v>14</v>
      </c>
      <c r="H95" t="s">
        <v>47</v>
      </c>
      <c r="I95" t="s">
        <v>24</v>
      </c>
      <c r="J95" t="s">
        <v>48</v>
      </c>
      <c r="K95" t="s">
        <v>49</v>
      </c>
      <c r="L95" t="s">
        <v>227</v>
      </c>
      <c r="M95">
        <v>0.39</v>
      </c>
      <c r="N95" t="s">
        <v>8</v>
      </c>
      <c r="O95" t="s">
        <v>28</v>
      </c>
      <c r="P95" t="s">
        <v>79</v>
      </c>
      <c r="Q95" t="s">
        <v>279</v>
      </c>
      <c r="R95">
        <v>60160</v>
      </c>
      <c r="S95" s="1">
        <v>42011</v>
      </c>
      <c r="T95" s="1">
        <v>42013</v>
      </c>
      <c r="U95">
        <v>-48.875</v>
      </c>
      <c r="V95">
        <v>8</v>
      </c>
      <c r="W95">
        <v>61.5</v>
      </c>
      <c r="X95">
        <v>87287</v>
      </c>
      <c r="Y95">
        <f>cleaneddata[[#This Row],[Unit Price]]-cleaneddata[[#This Row],[Discount]]</f>
        <v>7.08</v>
      </c>
      <c r="Z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6" spans="1:26" x14ac:dyDescent="0.3">
      <c r="A96">
        <v>3303</v>
      </c>
      <c r="B96" t="s">
        <v>280</v>
      </c>
      <c r="C96" t="s">
        <v>23</v>
      </c>
      <c r="D96">
        <v>0.04</v>
      </c>
      <c r="E96">
        <v>33.89</v>
      </c>
      <c r="F96">
        <v>5.0999999999999996</v>
      </c>
      <c r="G96" t="s">
        <v>14</v>
      </c>
      <c r="H96" t="s">
        <v>47</v>
      </c>
      <c r="I96" t="s">
        <v>24</v>
      </c>
      <c r="J96" t="s">
        <v>54</v>
      </c>
      <c r="K96" t="s">
        <v>49</v>
      </c>
      <c r="L96" t="s">
        <v>281</v>
      </c>
      <c r="M96">
        <v>0.6</v>
      </c>
      <c r="N96" t="s">
        <v>8</v>
      </c>
      <c r="O96" t="s">
        <v>9</v>
      </c>
      <c r="P96" t="s">
        <v>99</v>
      </c>
      <c r="Q96" t="s">
        <v>282</v>
      </c>
      <c r="R96">
        <v>33461</v>
      </c>
      <c r="S96" s="1">
        <v>42011</v>
      </c>
      <c r="T96" s="1">
        <v>42016</v>
      </c>
      <c r="U96">
        <v>68.676000000000002</v>
      </c>
      <c r="V96">
        <v>6</v>
      </c>
      <c r="W96">
        <v>200.64</v>
      </c>
      <c r="X96">
        <v>87795</v>
      </c>
      <c r="Y96">
        <f>cleaneddata[[#This Row],[Unit Price]]-cleaneddata[[#This Row],[Discount]]</f>
        <v>33.85</v>
      </c>
      <c r="Z9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7" spans="1:26" x14ac:dyDescent="0.3">
      <c r="A97">
        <v>1367</v>
      </c>
      <c r="B97" t="s">
        <v>283</v>
      </c>
      <c r="C97" t="s">
        <v>92</v>
      </c>
      <c r="D97">
        <v>0.03</v>
      </c>
      <c r="E97">
        <v>73.98</v>
      </c>
      <c r="F97">
        <v>14.52</v>
      </c>
      <c r="G97" t="s">
        <v>14</v>
      </c>
      <c r="H97" t="s">
        <v>15</v>
      </c>
      <c r="I97" t="s">
        <v>16</v>
      </c>
      <c r="J97" t="s">
        <v>17</v>
      </c>
      <c r="K97" t="s">
        <v>49</v>
      </c>
      <c r="L97" t="s">
        <v>284</v>
      </c>
      <c r="M97">
        <v>0.65</v>
      </c>
      <c r="N97" t="s">
        <v>8</v>
      </c>
      <c r="O97" t="s">
        <v>28</v>
      </c>
      <c r="P97" t="s">
        <v>163</v>
      </c>
      <c r="Q97" t="s">
        <v>285</v>
      </c>
      <c r="R97">
        <v>79424</v>
      </c>
      <c r="S97" s="1">
        <v>42011</v>
      </c>
      <c r="T97" s="1">
        <v>42014</v>
      </c>
      <c r="U97">
        <v>-326.23160000000001</v>
      </c>
      <c r="V97">
        <v>1</v>
      </c>
      <c r="W97">
        <v>79.02</v>
      </c>
      <c r="X97">
        <v>90513</v>
      </c>
      <c r="Y97">
        <f>cleaneddata[[#This Row],[Unit Price]]-cleaneddata[[#This Row],[Discount]]</f>
        <v>73.95</v>
      </c>
      <c r="Z9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8" spans="1:26" x14ac:dyDescent="0.3">
      <c r="A98">
        <v>1606</v>
      </c>
      <c r="B98" t="s">
        <v>286</v>
      </c>
      <c r="C98" t="s">
        <v>92</v>
      </c>
      <c r="D98">
        <v>0.05</v>
      </c>
      <c r="E98">
        <v>1.98</v>
      </c>
      <c r="F98">
        <v>4.7699999999999996</v>
      </c>
      <c r="G98" t="s">
        <v>14</v>
      </c>
      <c r="H98" t="s">
        <v>47</v>
      </c>
      <c r="I98" t="s">
        <v>24</v>
      </c>
      <c r="J98" t="s">
        <v>48</v>
      </c>
      <c r="K98" t="s">
        <v>49</v>
      </c>
      <c r="L98" t="s">
        <v>287</v>
      </c>
      <c r="M98">
        <v>0.4</v>
      </c>
      <c r="N98" t="s">
        <v>8</v>
      </c>
      <c r="O98" t="s">
        <v>87</v>
      </c>
      <c r="P98" t="s">
        <v>88</v>
      </c>
      <c r="Q98" t="s">
        <v>288</v>
      </c>
      <c r="R98">
        <v>11010</v>
      </c>
      <c r="S98" s="1">
        <v>42011</v>
      </c>
      <c r="T98" s="1">
        <v>42012</v>
      </c>
      <c r="U98">
        <v>-14.359819999999999</v>
      </c>
      <c r="V98">
        <v>1</v>
      </c>
      <c r="W98">
        <v>3.53</v>
      </c>
      <c r="X98">
        <v>87993</v>
      </c>
      <c r="Y98">
        <f>cleaneddata[[#This Row],[Unit Price]]-cleaneddata[[#This Row],[Discount]]</f>
        <v>1.93</v>
      </c>
      <c r="Z9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9" spans="1:26" x14ac:dyDescent="0.3">
      <c r="A99">
        <v>1606</v>
      </c>
      <c r="B99" t="s">
        <v>286</v>
      </c>
      <c r="C99" t="s">
        <v>92</v>
      </c>
      <c r="D99">
        <v>7.0000000000000007E-2</v>
      </c>
      <c r="E99">
        <v>699.99</v>
      </c>
      <c r="F99">
        <v>24.49</v>
      </c>
      <c r="G99" t="s">
        <v>63</v>
      </c>
      <c r="H99" t="s">
        <v>47</v>
      </c>
      <c r="I99" t="s">
        <v>16</v>
      </c>
      <c r="J99" t="s">
        <v>39</v>
      </c>
      <c r="K99" t="s">
        <v>40</v>
      </c>
      <c r="L99" t="s">
        <v>289</v>
      </c>
      <c r="M99">
        <v>0.41</v>
      </c>
      <c r="N99" t="s">
        <v>8</v>
      </c>
      <c r="O99" t="s">
        <v>87</v>
      </c>
      <c r="P99" t="s">
        <v>88</v>
      </c>
      <c r="Q99" t="s">
        <v>288</v>
      </c>
      <c r="R99">
        <v>11010</v>
      </c>
      <c r="S99" s="1">
        <v>42011</v>
      </c>
      <c r="T99" s="1">
        <v>42012</v>
      </c>
      <c r="U99">
        <v>-2870.2775999999999</v>
      </c>
      <c r="V99">
        <v>1</v>
      </c>
      <c r="W99">
        <v>706.56</v>
      </c>
      <c r="X99">
        <v>87993</v>
      </c>
      <c r="Y99">
        <f>cleaneddata[[#This Row],[Unit Price]]-cleaneddata[[#This Row],[Discount]]</f>
        <v>699.92</v>
      </c>
      <c r="Z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0" spans="1:26" x14ac:dyDescent="0.3">
      <c r="A100">
        <v>1606</v>
      </c>
      <c r="B100" t="s">
        <v>286</v>
      </c>
      <c r="C100" t="s">
        <v>92</v>
      </c>
      <c r="D100">
        <v>7.0000000000000007E-2</v>
      </c>
      <c r="E100">
        <v>6783.02</v>
      </c>
      <c r="F100">
        <v>24.49</v>
      </c>
      <c r="G100" t="s">
        <v>14</v>
      </c>
      <c r="H100" t="s">
        <v>47</v>
      </c>
      <c r="I100" t="s">
        <v>16</v>
      </c>
      <c r="J100" t="s">
        <v>32</v>
      </c>
      <c r="K100" t="s">
        <v>40</v>
      </c>
      <c r="L100" t="s">
        <v>290</v>
      </c>
      <c r="M100">
        <v>0.39</v>
      </c>
      <c r="N100" t="s">
        <v>8</v>
      </c>
      <c r="O100" t="s">
        <v>87</v>
      </c>
      <c r="P100" t="s">
        <v>88</v>
      </c>
      <c r="Q100" t="s">
        <v>288</v>
      </c>
      <c r="R100">
        <v>11010</v>
      </c>
      <c r="S100" s="1">
        <v>42011</v>
      </c>
      <c r="T100" s="1">
        <v>42012</v>
      </c>
      <c r="U100">
        <v>77.983599999999996</v>
      </c>
      <c r="V100">
        <v>2</v>
      </c>
      <c r="W100">
        <v>13121.07</v>
      </c>
      <c r="X100">
        <v>87993</v>
      </c>
      <c r="Y100">
        <f>cleaneddata[[#This Row],[Unit Price]]-cleaneddata[[#This Row],[Discount]]</f>
        <v>6782.9500000000007</v>
      </c>
      <c r="Z10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1" spans="1:26" x14ac:dyDescent="0.3">
      <c r="A101">
        <v>3076</v>
      </c>
      <c r="B101" t="s">
        <v>291</v>
      </c>
      <c r="C101" t="s">
        <v>92</v>
      </c>
      <c r="D101">
        <v>0</v>
      </c>
      <c r="E101">
        <v>137.47999999999999</v>
      </c>
      <c r="F101">
        <v>32.18</v>
      </c>
      <c r="G101" t="s">
        <v>2</v>
      </c>
      <c r="H101" t="s">
        <v>3</v>
      </c>
      <c r="I101" t="s">
        <v>4</v>
      </c>
      <c r="J101" t="s">
        <v>93</v>
      </c>
      <c r="K101" t="s">
        <v>6</v>
      </c>
      <c r="L101" t="s">
        <v>292</v>
      </c>
      <c r="M101">
        <v>0.78</v>
      </c>
      <c r="N101" t="s">
        <v>8</v>
      </c>
      <c r="O101" t="s">
        <v>87</v>
      </c>
      <c r="P101" t="s">
        <v>293</v>
      </c>
      <c r="Q101" t="s">
        <v>294</v>
      </c>
      <c r="R101">
        <v>44224</v>
      </c>
      <c r="S101" s="1">
        <v>42011</v>
      </c>
      <c r="T101" s="1">
        <v>42012</v>
      </c>
      <c r="U101">
        <v>-203.27</v>
      </c>
      <c r="V101">
        <v>2</v>
      </c>
      <c r="W101">
        <v>296.75</v>
      </c>
      <c r="X101">
        <v>88241</v>
      </c>
      <c r="Y101">
        <f>cleaneddata[[#This Row],[Unit Price]]-cleaneddata[[#This Row],[Discount]]</f>
        <v>137.47999999999999</v>
      </c>
      <c r="Z10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2" spans="1:26" x14ac:dyDescent="0.3">
      <c r="A102">
        <v>3079</v>
      </c>
      <c r="B102" t="s">
        <v>295</v>
      </c>
      <c r="C102" t="s">
        <v>92</v>
      </c>
      <c r="D102">
        <v>0</v>
      </c>
      <c r="E102">
        <v>137.47999999999999</v>
      </c>
      <c r="F102">
        <v>32.18</v>
      </c>
      <c r="G102" t="s">
        <v>2</v>
      </c>
      <c r="H102" t="s">
        <v>3</v>
      </c>
      <c r="I102" t="s">
        <v>4</v>
      </c>
      <c r="J102" t="s">
        <v>93</v>
      </c>
      <c r="K102" t="s">
        <v>6</v>
      </c>
      <c r="L102" t="s">
        <v>292</v>
      </c>
      <c r="M102">
        <v>0.78</v>
      </c>
      <c r="N102" t="s">
        <v>8</v>
      </c>
      <c r="O102" t="s">
        <v>87</v>
      </c>
      <c r="P102" t="s">
        <v>296</v>
      </c>
      <c r="Q102" t="s">
        <v>297</v>
      </c>
      <c r="R102">
        <v>19112</v>
      </c>
      <c r="S102" s="1">
        <v>42011</v>
      </c>
      <c r="T102" s="1">
        <v>42012</v>
      </c>
      <c r="U102">
        <v>-203.27</v>
      </c>
      <c r="V102">
        <v>10</v>
      </c>
      <c r="W102">
        <v>1483.76</v>
      </c>
      <c r="X102">
        <v>12480</v>
      </c>
      <c r="Y102">
        <f>cleaneddata[[#This Row],[Unit Price]]-cleaneddata[[#This Row],[Discount]]</f>
        <v>137.47999999999999</v>
      </c>
      <c r="Z10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3" spans="1:26" x14ac:dyDescent="0.3">
      <c r="A103">
        <v>2868</v>
      </c>
      <c r="B103" t="s">
        <v>298</v>
      </c>
      <c r="C103" t="s">
        <v>13</v>
      </c>
      <c r="D103">
        <v>0.03</v>
      </c>
      <c r="E103">
        <v>896.99</v>
      </c>
      <c r="F103">
        <v>19.989999999999998</v>
      </c>
      <c r="G103" t="s">
        <v>14</v>
      </c>
      <c r="H103" t="s">
        <v>70</v>
      </c>
      <c r="I103" t="s">
        <v>24</v>
      </c>
      <c r="J103" t="s">
        <v>48</v>
      </c>
      <c r="K103" t="s">
        <v>49</v>
      </c>
      <c r="L103" t="s">
        <v>299</v>
      </c>
      <c r="M103">
        <v>0.38</v>
      </c>
      <c r="N103" t="s">
        <v>8</v>
      </c>
      <c r="O103" t="s">
        <v>35</v>
      </c>
      <c r="P103" t="s">
        <v>42</v>
      </c>
      <c r="Q103" t="s">
        <v>300</v>
      </c>
      <c r="R103">
        <v>98026</v>
      </c>
      <c r="S103" s="1">
        <v>42012</v>
      </c>
      <c r="T103" s="1">
        <v>42014</v>
      </c>
      <c r="U103">
        <v>3602.1311999999998</v>
      </c>
      <c r="V103">
        <v>6</v>
      </c>
      <c r="W103">
        <v>5220.4799999999996</v>
      </c>
      <c r="X103">
        <v>85826</v>
      </c>
      <c r="Y103">
        <f>cleaneddata[[#This Row],[Unit Price]]-cleaneddata[[#This Row],[Discount]]</f>
        <v>896.96</v>
      </c>
      <c r="Z10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4" spans="1:26" x14ac:dyDescent="0.3">
      <c r="A104">
        <v>2908</v>
      </c>
      <c r="B104" t="s">
        <v>301</v>
      </c>
      <c r="C104" t="s">
        <v>13</v>
      </c>
      <c r="D104">
        <v>7.0000000000000007E-2</v>
      </c>
      <c r="E104">
        <v>4.13</v>
      </c>
      <c r="F104">
        <v>0.99</v>
      </c>
      <c r="G104" t="s">
        <v>14</v>
      </c>
      <c r="H104" t="s">
        <v>47</v>
      </c>
      <c r="I104" t="s">
        <v>24</v>
      </c>
      <c r="J104" t="s">
        <v>128</v>
      </c>
      <c r="K104" t="s">
        <v>49</v>
      </c>
      <c r="L104" t="s">
        <v>302</v>
      </c>
      <c r="M104">
        <v>0.39</v>
      </c>
      <c r="N104" t="s">
        <v>8</v>
      </c>
      <c r="O104" t="s">
        <v>87</v>
      </c>
      <c r="P104" t="s">
        <v>293</v>
      </c>
      <c r="Q104" t="s">
        <v>303</v>
      </c>
      <c r="R104">
        <v>44125</v>
      </c>
      <c r="S104" s="1">
        <v>42012</v>
      </c>
      <c r="T104" s="1">
        <v>42012</v>
      </c>
      <c r="U104">
        <v>10.959199999999999</v>
      </c>
      <c r="V104">
        <v>4</v>
      </c>
      <c r="W104">
        <v>16.07</v>
      </c>
      <c r="X104">
        <v>88156</v>
      </c>
      <c r="Y104">
        <f>cleaneddata[[#This Row],[Unit Price]]-cleaneddata[[#This Row],[Discount]]</f>
        <v>4.0599999999999996</v>
      </c>
      <c r="Z10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5" spans="1:26" x14ac:dyDescent="0.3">
      <c r="A105">
        <v>2908</v>
      </c>
      <c r="B105" t="s">
        <v>301</v>
      </c>
      <c r="C105" t="s">
        <v>13</v>
      </c>
      <c r="D105">
        <v>0.03</v>
      </c>
      <c r="E105">
        <v>22.72</v>
      </c>
      <c r="F105">
        <v>8.99</v>
      </c>
      <c r="G105" t="s">
        <v>14</v>
      </c>
      <c r="H105" t="s">
        <v>47</v>
      </c>
      <c r="I105" t="s">
        <v>4</v>
      </c>
      <c r="J105" t="s">
        <v>102</v>
      </c>
      <c r="K105" t="s">
        <v>18</v>
      </c>
      <c r="L105" t="s">
        <v>304</v>
      </c>
      <c r="M105">
        <v>0.44</v>
      </c>
      <c r="N105" t="s">
        <v>8</v>
      </c>
      <c r="O105" t="s">
        <v>87</v>
      </c>
      <c r="P105" t="s">
        <v>293</v>
      </c>
      <c r="Q105" t="s">
        <v>303</v>
      </c>
      <c r="R105">
        <v>44125</v>
      </c>
      <c r="S105" s="1">
        <v>42012</v>
      </c>
      <c r="T105" s="1">
        <v>42012</v>
      </c>
      <c r="U105">
        <v>17.429400000000001</v>
      </c>
      <c r="V105">
        <v>1</v>
      </c>
      <c r="W105">
        <v>25.26</v>
      </c>
      <c r="X105">
        <v>88156</v>
      </c>
      <c r="Y105">
        <f>cleaneddata[[#This Row],[Unit Price]]-cleaneddata[[#This Row],[Discount]]</f>
        <v>22.689999999999998</v>
      </c>
      <c r="Z10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6" spans="1:26" x14ac:dyDescent="0.3">
      <c r="A106">
        <v>2508</v>
      </c>
      <c r="B106" t="s">
        <v>305</v>
      </c>
      <c r="C106" t="s">
        <v>23</v>
      </c>
      <c r="D106">
        <v>0.02</v>
      </c>
      <c r="E106">
        <v>5.81</v>
      </c>
      <c r="F106">
        <v>8.49</v>
      </c>
      <c r="G106" t="s">
        <v>14</v>
      </c>
      <c r="H106" t="s">
        <v>47</v>
      </c>
      <c r="I106" t="s">
        <v>24</v>
      </c>
      <c r="J106" t="s">
        <v>48</v>
      </c>
      <c r="K106" t="s">
        <v>49</v>
      </c>
      <c r="L106" t="s">
        <v>306</v>
      </c>
      <c r="M106">
        <v>0.39</v>
      </c>
      <c r="N106" t="s">
        <v>8</v>
      </c>
      <c r="O106" t="s">
        <v>87</v>
      </c>
      <c r="P106" t="s">
        <v>307</v>
      </c>
      <c r="Q106" t="s">
        <v>308</v>
      </c>
      <c r="R106">
        <v>4073</v>
      </c>
      <c r="S106" s="1">
        <v>42012</v>
      </c>
      <c r="T106" s="1">
        <v>42016</v>
      </c>
      <c r="U106">
        <v>-137.494</v>
      </c>
      <c r="V106">
        <v>7</v>
      </c>
      <c r="W106">
        <v>42.44</v>
      </c>
      <c r="X106">
        <v>87031</v>
      </c>
      <c r="Y106">
        <f>cleaneddata[[#This Row],[Unit Price]]-cleaneddata[[#This Row],[Discount]]</f>
        <v>5.79</v>
      </c>
      <c r="Z10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7" spans="1:26" x14ac:dyDescent="0.3">
      <c r="A107">
        <v>2099</v>
      </c>
      <c r="B107" t="s">
        <v>309</v>
      </c>
      <c r="C107" t="s">
        <v>46</v>
      </c>
      <c r="D107">
        <v>7.0000000000000007E-2</v>
      </c>
      <c r="E107">
        <v>14.56</v>
      </c>
      <c r="F107">
        <v>3.5</v>
      </c>
      <c r="G107" t="s">
        <v>14</v>
      </c>
      <c r="H107" t="s">
        <v>47</v>
      </c>
      <c r="I107" t="s">
        <v>24</v>
      </c>
      <c r="J107" t="s">
        <v>71</v>
      </c>
      <c r="K107" t="s">
        <v>49</v>
      </c>
      <c r="L107" t="s">
        <v>310</v>
      </c>
      <c r="M107">
        <v>0.57999999999999996</v>
      </c>
      <c r="N107" t="s">
        <v>8</v>
      </c>
      <c r="O107" t="s">
        <v>9</v>
      </c>
      <c r="P107" t="s">
        <v>247</v>
      </c>
      <c r="Q107" t="s">
        <v>311</v>
      </c>
      <c r="R107">
        <v>29577</v>
      </c>
      <c r="S107" s="1">
        <v>42012</v>
      </c>
      <c r="T107" s="1">
        <v>42013</v>
      </c>
      <c r="U107">
        <v>-45.527999999999999</v>
      </c>
      <c r="V107">
        <v>6</v>
      </c>
      <c r="W107">
        <v>84.59</v>
      </c>
      <c r="X107">
        <v>87888</v>
      </c>
      <c r="Y107">
        <f>cleaneddata[[#This Row],[Unit Price]]-cleaneddata[[#This Row],[Discount]]</f>
        <v>14.49</v>
      </c>
      <c r="Z1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8" spans="1:26" x14ac:dyDescent="0.3">
      <c r="A108">
        <v>806</v>
      </c>
      <c r="B108" t="s">
        <v>312</v>
      </c>
      <c r="C108" t="s">
        <v>1</v>
      </c>
      <c r="D108">
        <v>0.06</v>
      </c>
      <c r="E108">
        <v>179.99</v>
      </c>
      <c r="F108">
        <v>13.99</v>
      </c>
      <c r="G108" t="s">
        <v>63</v>
      </c>
      <c r="H108" t="s">
        <v>3</v>
      </c>
      <c r="I108" t="s">
        <v>16</v>
      </c>
      <c r="J108" t="s">
        <v>111</v>
      </c>
      <c r="K108" t="s">
        <v>120</v>
      </c>
      <c r="L108" t="s">
        <v>313</v>
      </c>
      <c r="M108">
        <v>0.56999999999999995</v>
      </c>
      <c r="N108" t="s">
        <v>8</v>
      </c>
      <c r="O108" t="s">
        <v>9</v>
      </c>
      <c r="P108" t="s">
        <v>99</v>
      </c>
      <c r="Q108" t="s">
        <v>104</v>
      </c>
      <c r="R108">
        <v>33132</v>
      </c>
      <c r="S108" s="1">
        <v>42013</v>
      </c>
      <c r="T108" s="1">
        <v>42015</v>
      </c>
      <c r="U108">
        <v>1220.03784</v>
      </c>
      <c r="V108">
        <v>54</v>
      </c>
      <c r="W108">
        <v>8332.91</v>
      </c>
      <c r="X108">
        <v>40547</v>
      </c>
      <c r="Y108">
        <f>cleaneddata[[#This Row],[Unit Price]]-cleaneddata[[#This Row],[Discount]]</f>
        <v>179.93</v>
      </c>
      <c r="Z1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9" spans="1:26" x14ac:dyDescent="0.3">
      <c r="A109">
        <v>1527</v>
      </c>
      <c r="B109" t="s">
        <v>314</v>
      </c>
      <c r="C109" t="s">
        <v>1</v>
      </c>
      <c r="D109">
        <v>0.03</v>
      </c>
      <c r="E109">
        <v>30.98</v>
      </c>
      <c r="F109">
        <v>8.99</v>
      </c>
      <c r="G109" t="s">
        <v>63</v>
      </c>
      <c r="H109" t="s">
        <v>3</v>
      </c>
      <c r="I109" t="s">
        <v>24</v>
      </c>
      <c r="J109" t="s">
        <v>25</v>
      </c>
      <c r="K109" t="s">
        <v>18</v>
      </c>
      <c r="L109" t="s">
        <v>315</v>
      </c>
      <c r="M109">
        <v>0.57999999999999996</v>
      </c>
      <c r="N109" t="s">
        <v>8</v>
      </c>
      <c r="O109" t="s">
        <v>9</v>
      </c>
      <c r="P109" t="s">
        <v>140</v>
      </c>
      <c r="Q109" t="s">
        <v>316</v>
      </c>
      <c r="R109">
        <v>35601</v>
      </c>
      <c r="S109" s="1">
        <v>42013</v>
      </c>
      <c r="T109" s="1">
        <v>42015</v>
      </c>
      <c r="U109">
        <v>0.51</v>
      </c>
      <c r="V109">
        <v>5</v>
      </c>
      <c r="W109">
        <v>162.38999999999999</v>
      </c>
      <c r="X109">
        <v>86813</v>
      </c>
      <c r="Y109">
        <f>cleaneddata[[#This Row],[Unit Price]]-cleaneddata[[#This Row],[Discount]]</f>
        <v>30.95</v>
      </c>
      <c r="Z10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0" spans="1:26" x14ac:dyDescent="0.3">
      <c r="A110">
        <v>1528</v>
      </c>
      <c r="B110" t="s">
        <v>317</v>
      </c>
      <c r="C110" t="s">
        <v>1</v>
      </c>
      <c r="D110">
        <v>0.01</v>
      </c>
      <c r="E110">
        <v>525.98</v>
      </c>
      <c r="F110">
        <v>19.989999999999998</v>
      </c>
      <c r="G110" t="s">
        <v>14</v>
      </c>
      <c r="H110" t="s">
        <v>3</v>
      </c>
      <c r="I110" t="s">
        <v>24</v>
      </c>
      <c r="J110" t="s">
        <v>48</v>
      </c>
      <c r="K110" t="s">
        <v>49</v>
      </c>
      <c r="L110" t="s">
        <v>318</v>
      </c>
      <c r="M110">
        <v>0.37</v>
      </c>
      <c r="N110" t="s">
        <v>8</v>
      </c>
      <c r="O110" t="s">
        <v>9</v>
      </c>
      <c r="P110" t="s">
        <v>73</v>
      </c>
      <c r="Q110" t="s">
        <v>319</v>
      </c>
      <c r="R110">
        <v>27288</v>
      </c>
      <c r="S110" s="1">
        <v>42013</v>
      </c>
      <c r="T110" s="1">
        <v>42015</v>
      </c>
      <c r="U110">
        <v>-161.92400000000001</v>
      </c>
      <c r="V110">
        <v>9</v>
      </c>
      <c r="W110">
        <v>4920.8100000000004</v>
      </c>
      <c r="X110">
        <v>86813</v>
      </c>
      <c r="Y110">
        <f>cleaneddata[[#This Row],[Unit Price]]-cleaneddata[[#This Row],[Discount]]</f>
        <v>525.97</v>
      </c>
      <c r="Z11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1" spans="1:26" x14ac:dyDescent="0.3">
      <c r="A111">
        <v>3017</v>
      </c>
      <c r="B111" t="s">
        <v>320</v>
      </c>
      <c r="C111" t="s">
        <v>1</v>
      </c>
      <c r="D111">
        <v>0.01</v>
      </c>
      <c r="E111">
        <v>5.58</v>
      </c>
      <c r="F111">
        <v>5.3</v>
      </c>
      <c r="G111" t="s">
        <v>14</v>
      </c>
      <c r="H111" t="s">
        <v>70</v>
      </c>
      <c r="I111" t="s">
        <v>24</v>
      </c>
      <c r="J111" t="s">
        <v>321</v>
      </c>
      <c r="K111" t="s">
        <v>49</v>
      </c>
      <c r="L111" t="s">
        <v>322</v>
      </c>
      <c r="M111">
        <v>0.35</v>
      </c>
      <c r="N111" t="s">
        <v>8</v>
      </c>
      <c r="O111" t="s">
        <v>35</v>
      </c>
      <c r="P111" t="s">
        <v>66</v>
      </c>
      <c r="Q111" t="s">
        <v>323</v>
      </c>
      <c r="R111">
        <v>92024</v>
      </c>
      <c r="S111" s="1">
        <v>42013</v>
      </c>
      <c r="T111" s="1">
        <v>42014</v>
      </c>
      <c r="U111">
        <v>-7.25</v>
      </c>
      <c r="V111">
        <v>1</v>
      </c>
      <c r="W111">
        <v>11.16</v>
      </c>
      <c r="X111">
        <v>89071</v>
      </c>
      <c r="Y111">
        <f>cleaneddata[[#This Row],[Unit Price]]-cleaneddata[[#This Row],[Discount]]</f>
        <v>5.57</v>
      </c>
      <c r="Z11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2" spans="1:26" x14ac:dyDescent="0.3">
      <c r="A112">
        <v>3017</v>
      </c>
      <c r="B112" t="s">
        <v>320</v>
      </c>
      <c r="C112" t="s">
        <v>1</v>
      </c>
      <c r="D112">
        <v>0.03</v>
      </c>
      <c r="E112">
        <v>3.98</v>
      </c>
      <c r="F112">
        <v>0.7</v>
      </c>
      <c r="G112" t="s">
        <v>14</v>
      </c>
      <c r="H112" t="s">
        <v>70</v>
      </c>
      <c r="I112" t="s">
        <v>24</v>
      </c>
      <c r="J112" t="s">
        <v>25</v>
      </c>
      <c r="K112" t="s">
        <v>26</v>
      </c>
      <c r="L112" t="s">
        <v>324</v>
      </c>
      <c r="M112">
        <v>0.52</v>
      </c>
      <c r="N112" t="s">
        <v>8</v>
      </c>
      <c r="O112" t="s">
        <v>35</v>
      </c>
      <c r="P112" t="s">
        <v>66</v>
      </c>
      <c r="Q112" t="s">
        <v>323</v>
      </c>
      <c r="R112">
        <v>92024</v>
      </c>
      <c r="S112" s="1">
        <v>42013</v>
      </c>
      <c r="T112" s="1">
        <v>42014</v>
      </c>
      <c r="U112">
        <v>31.201799999999999</v>
      </c>
      <c r="V112">
        <v>11</v>
      </c>
      <c r="W112">
        <v>45.22</v>
      </c>
      <c r="X112">
        <v>89071</v>
      </c>
      <c r="Y112">
        <f>cleaneddata[[#This Row],[Unit Price]]-cleaneddata[[#This Row],[Discount]]</f>
        <v>3.95</v>
      </c>
      <c r="Z11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3" spans="1:26" x14ac:dyDescent="0.3">
      <c r="A113">
        <v>833</v>
      </c>
      <c r="B113" t="s">
        <v>325</v>
      </c>
      <c r="C113" t="s">
        <v>13</v>
      </c>
      <c r="D113">
        <v>0</v>
      </c>
      <c r="E113">
        <v>11.66</v>
      </c>
      <c r="F113">
        <v>8.99</v>
      </c>
      <c r="G113" t="s">
        <v>63</v>
      </c>
      <c r="H113" t="s">
        <v>70</v>
      </c>
      <c r="I113" t="s">
        <v>24</v>
      </c>
      <c r="J113" t="s">
        <v>25</v>
      </c>
      <c r="K113" t="s">
        <v>18</v>
      </c>
      <c r="L113" t="s">
        <v>326</v>
      </c>
      <c r="M113">
        <v>0.59</v>
      </c>
      <c r="N113" t="s">
        <v>8</v>
      </c>
      <c r="O113" t="s">
        <v>35</v>
      </c>
      <c r="P113" t="s">
        <v>66</v>
      </c>
      <c r="Q113" t="s">
        <v>327</v>
      </c>
      <c r="R113">
        <v>95020</v>
      </c>
      <c r="S113" s="1">
        <v>42013</v>
      </c>
      <c r="T113" s="1">
        <v>42015</v>
      </c>
      <c r="U113">
        <v>-203.67</v>
      </c>
      <c r="V113">
        <v>11</v>
      </c>
      <c r="W113">
        <v>138.51</v>
      </c>
      <c r="X113">
        <v>89770</v>
      </c>
      <c r="Y113">
        <f>cleaneddata[[#This Row],[Unit Price]]-cleaneddata[[#This Row],[Discount]]</f>
        <v>11.66</v>
      </c>
      <c r="Z11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4" spans="1:26" x14ac:dyDescent="0.3">
      <c r="A114">
        <v>358</v>
      </c>
      <c r="B114" t="s">
        <v>328</v>
      </c>
      <c r="C114" t="s">
        <v>23</v>
      </c>
      <c r="D114">
        <v>0.04</v>
      </c>
      <c r="E114">
        <v>125.99</v>
      </c>
      <c r="F114">
        <v>8.99</v>
      </c>
      <c r="G114" t="s">
        <v>14</v>
      </c>
      <c r="H114" t="s">
        <v>70</v>
      </c>
      <c r="I114" t="s">
        <v>16</v>
      </c>
      <c r="J114" t="s">
        <v>111</v>
      </c>
      <c r="K114" t="s">
        <v>49</v>
      </c>
      <c r="L114" t="s">
        <v>329</v>
      </c>
      <c r="M114">
        <v>0.59</v>
      </c>
      <c r="N114" t="s">
        <v>8</v>
      </c>
      <c r="O114" t="s">
        <v>87</v>
      </c>
      <c r="P114" t="s">
        <v>296</v>
      </c>
      <c r="Q114" t="s">
        <v>330</v>
      </c>
      <c r="R114">
        <v>19406</v>
      </c>
      <c r="S114" s="1">
        <v>42013</v>
      </c>
      <c r="T114" s="1">
        <v>42020</v>
      </c>
      <c r="U114">
        <v>-627.82191999999998</v>
      </c>
      <c r="V114">
        <v>1</v>
      </c>
      <c r="W114">
        <v>107.95</v>
      </c>
      <c r="X114">
        <v>91130</v>
      </c>
      <c r="Y114">
        <f>cleaneddata[[#This Row],[Unit Price]]-cleaneddata[[#This Row],[Discount]]</f>
        <v>125.94999999999999</v>
      </c>
      <c r="Z1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5" spans="1:26" x14ac:dyDescent="0.3">
      <c r="A115">
        <v>2555</v>
      </c>
      <c r="B115" t="s">
        <v>331</v>
      </c>
      <c r="C115" t="s">
        <v>23</v>
      </c>
      <c r="D115">
        <v>0.1</v>
      </c>
      <c r="E115">
        <v>2.6</v>
      </c>
      <c r="F115">
        <v>2.4</v>
      </c>
      <c r="G115" t="s">
        <v>14</v>
      </c>
      <c r="H115" t="s">
        <v>47</v>
      </c>
      <c r="I115" t="s">
        <v>24</v>
      </c>
      <c r="J115" t="s">
        <v>25</v>
      </c>
      <c r="K115" t="s">
        <v>26</v>
      </c>
      <c r="L115" t="s">
        <v>332</v>
      </c>
      <c r="M115">
        <v>0.57999999999999996</v>
      </c>
      <c r="N115" t="s">
        <v>8</v>
      </c>
      <c r="O115" t="s">
        <v>28</v>
      </c>
      <c r="P115" t="s">
        <v>333</v>
      </c>
      <c r="Q115" t="s">
        <v>334</v>
      </c>
      <c r="R115">
        <v>53711</v>
      </c>
      <c r="S115" s="1">
        <v>42013</v>
      </c>
      <c r="T115" s="1">
        <v>42018</v>
      </c>
      <c r="U115">
        <v>-88.04</v>
      </c>
      <c r="V115">
        <v>12</v>
      </c>
      <c r="W115">
        <v>30.1</v>
      </c>
      <c r="X115">
        <v>86527</v>
      </c>
      <c r="Y115">
        <f>cleaneddata[[#This Row],[Unit Price]]-cleaneddata[[#This Row],[Discount]]</f>
        <v>2.5</v>
      </c>
      <c r="Z1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6" spans="1:26" x14ac:dyDescent="0.3">
      <c r="A116">
        <v>1745</v>
      </c>
      <c r="B116" t="s">
        <v>335</v>
      </c>
      <c r="C116" t="s">
        <v>46</v>
      </c>
      <c r="D116">
        <v>0.02</v>
      </c>
      <c r="E116">
        <v>4.13</v>
      </c>
      <c r="F116">
        <v>6.89</v>
      </c>
      <c r="G116" t="s">
        <v>14</v>
      </c>
      <c r="H116" t="s">
        <v>47</v>
      </c>
      <c r="I116" t="s">
        <v>24</v>
      </c>
      <c r="J116" t="s">
        <v>128</v>
      </c>
      <c r="K116" t="s">
        <v>49</v>
      </c>
      <c r="L116" t="s">
        <v>336</v>
      </c>
      <c r="M116">
        <v>0.39</v>
      </c>
      <c r="N116" t="s">
        <v>8</v>
      </c>
      <c r="O116" t="s">
        <v>9</v>
      </c>
      <c r="P116" t="s">
        <v>51</v>
      </c>
      <c r="Q116" t="s">
        <v>337</v>
      </c>
      <c r="R116">
        <v>30305</v>
      </c>
      <c r="S116" s="1">
        <v>42013</v>
      </c>
      <c r="T116" s="1">
        <v>42014</v>
      </c>
      <c r="U116">
        <v>-51.737000000000002</v>
      </c>
      <c r="V116">
        <v>9</v>
      </c>
      <c r="W116">
        <v>45.87</v>
      </c>
      <c r="X116">
        <v>18561</v>
      </c>
      <c r="Y116">
        <f>cleaneddata[[#This Row],[Unit Price]]-cleaneddata[[#This Row],[Discount]]</f>
        <v>4.1100000000000003</v>
      </c>
      <c r="Z11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7" spans="1:26" x14ac:dyDescent="0.3">
      <c r="A117">
        <v>1749</v>
      </c>
      <c r="B117" t="s">
        <v>338</v>
      </c>
      <c r="C117" t="s">
        <v>46</v>
      </c>
      <c r="D117">
        <v>0.02</v>
      </c>
      <c r="E117">
        <v>4.13</v>
      </c>
      <c r="F117">
        <v>6.89</v>
      </c>
      <c r="G117" t="s">
        <v>14</v>
      </c>
      <c r="H117" t="s">
        <v>47</v>
      </c>
      <c r="I117" t="s">
        <v>24</v>
      </c>
      <c r="J117" t="s">
        <v>128</v>
      </c>
      <c r="K117" t="s">
        <v>49</v>
      </c>
      <c r="L117" t="s">
        <v>336</v>
      </c>
      <c r="M117">
        <v>0.39</v>
      </c>
      <c r="N117" t="s">
        <v>8</v>
      </c>
      <c r="O117" t="s">
        <v>28</v>
      </c>
      <c r="P117" t="s">
        <v>183</v>
      </c>
      <c r="Q117" t="s">
        <v>339</v>
      </c>
      <c r="R117">
        <v>73505</v>
      </c>
      <c r="S117" s="1">
        <v>42013</v>
      </c>
      <c r="T117" s="1">
        <v>42014</v>
      </c>
      <c r="U117">
        <v>-48.235999999999997</v>
      </c>
      <c r="V117">
        <v>2</v>
      </c>
      <c r="W117">
        <v>10.19</v>
      </c>
      <c r="X117">
        <v>87243</v>
      </c>
      <c r="Y117">
        <f>cleaneddata[[#This Row],[Unit Price]]-cleaneddata[[#This Row],[Discount]]</f>
        <v>4.1100000000000003</v>
      </c>
      <c r="Z11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8" spans="1:26" x14ac:dyDescent="0.3">
      <c r="A118">
        <v>2164</v>
      </c>
      <c r="B118" t="s">
        <v>340</v>
      </c>
      <c r="C118" t="s">
        <v>46</v>
      </c>
      <c r="D118">
        <v>0.01</v>
      </c>
      <c r="E118">
        <v>5.38</v>
      </c>
      <c r="F118">
        <v>7.57</v>
      </c>
      <c r="G118" t="s">
        <v>14</v>
      </c>
      <c r="H118" t="s">
        <v>3</v>
      </c>
      <c r="I118" t="s">
        <v>24</v>
      </c>
      <c r="J118" t="s">
        <v>48</v>
      </c>
      <c r="K118" t="s">
        <v>49</v>
      </c>
      <c r="L118" t="s">
        <v>341</v>
      </c>
      <c r="M118">
        <v>0.36</v>
      </c>
      <c r="N118" t="s">
        <v>8</v>
      </c>
      <c r="O118" t="s">
        <v>35</v>
      </c>
      <c r="P118" t="s">
        <v>66</v>
      </c>
      <c r="Q118" t="s">
        <v>342</v>
      </c>
      <c r="R118">
        <v>91104</v>
      </c>
      <c r="S118" s="1">
        <v>42013</v>
      </c>
      <c r="T118" s="1">
        <v>42014</v>
      </c>
      <c r="U118">
        <v>-66.779579999999996</v>
      </c>
      <c r="V118">
        <v>3</v>
      </c>
      <c r="W118">
        <v>18.68</v>
      </c>
      <c r="X118">
        <v>88794</v>
      </c>
      <c r="Y118">
        <f>cleaneddata[[#This Row],[Unit Price]]-cleaneddata[[#This Row],[Discount]]</f>
        <v>5.37</v>
      </c>
      <c r="Z11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9" spans="1:26" x14ac:dyDescent="0.3">
      <c r="A119">
        <v>2164</v>
      </c>
      <c r="B119" t="s">
        <v>340</v>
      </c>
      <c r="C119" t="s">
        <v>46</v>
      </c>
      <c r="D119">
        <v>0.05</v>
      </c>
      <c r="E119">
        <v>3.28</v>
      </c>
      <c r="F119">
        <v>3.97</v>
      </c>
      <c r="G119" t="s">
        <v>14</v>
      </c>
      <c r="H119" t="s">
        <v>3</v>
      </c>
      <c r="I119" t="s">
        <v>24</v>
      </c>
      <c r="J119" t="s">
        <v>25</v>
      </c>
      <c r="K119" t="s">
        <v>26</v>
      </c>
      <c r="L119" t="s">
        <v>343</v>
      </c>
      <c r="M119">
        <v>0.56000000000000005</v>
      </c>
      <c r="N119" t="s">
        <v>8</v>
      </c>
      <c r="O119" t="s">
        <v>35</v>
      </c>
      <c r="P119" t="s">
        <v>66</v>
      </c>
      <c r="Q119" t="s">
        <v>342</v>
      </c>
      <c r="R119">
        <v>91104</v>
      </c>
      <c r="S119" s="1">
        <v>42013</v>
      </c>
      <c r="T119" s="1">
        <v>42013</v>
      </c>
      <c r="U119">
        <v>-144.9188</v>
      </c>
      <c r="V119">
        <v>11</v>
      </c>
      <c r="W119">
        <v>36.299999999999997</v>
      </c>
      <c r="X119">
        <v>88794</v>
      </c>
      <c r="Y119">
        <f>cleaneddata[[#This Row],[Unit Price]]-cleaneddata[[#This Row],[Discount]]</f>
        <v>3.23</v>
      </c>
      <c r="Z1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0" spans="1:26" x14ac:dyDescent="0.3">
      <c r="A120">
        <v>2165</v>
      </c>
      <c r="B120" t="s">
        <v>344</v>
      </c>
      <c r="C120" t="s">
        <v>46</v>
      </c>
      <c r="D120">
        <v>0.09</v>
      </c>
      <c r="E120">
        <v>2.78</v>
      </c>
      <c r="F120">
        <v>0.97</v>
      </c>
      <c r="G120" t="s">
        <v>14</v>
      </c>
      <c r="H120" t="s">
        <v>3</v>
      </c>
      <c r="I120" t="s">
        <v>24</v>
      </c>
      <c r="J120" t="s">
        <v>25</v>
      </c>
      <c r="K120" t="s">
        <v>26</v>
      </c>
      <c r="L120" t="s">
        <v>345</v>
      </c>
      <c r="M120">
        <v>0.59</v>
      </c>
      <c r="N120" t="s">
        <v>8</v>
      </c>
      <c r="O120" t="s">
        <v>87</v>
      </c>
      <c r="P120" t="s">
        <v>307</v>
      </c>
      <c r="Q120" t="s">
        <v>346</v>
      </c>
      <c r="R120">
        <v>4330</v>
      </c>
      <c r="S120" s="1">
        <v>42013</v>
      </c>
      <c r="T120" s="1">
        <v>42015</v>
      </c>
      <c r="U120">
        <v>-5.0716000000000001</v>
      </c>
      <c r="V120">
        <v>6</v>
      </c>
      <c r="W120">
        <v>16.03</v>
      </c>
      <c r="X120">
        <v>88794</v>
      </c>
      <c r="Y120">
        <f>cleaneddata[[#This Row],[Unit Price]]-cleaneddata[[#This Row],[Discount]]</f>
        <v>2.69</v>
      </c>
      <c r="Z1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1" spans="1:26" x14ac:dyDescent="0.3">
      <c r="A121">
        <v>3331</v>
      </c>
      <c r="B121" t="s">
        <v>204</v>
      </c>
      <c r="C121" t="s">
        <v>46</v>
      </c>
      <c r="D121">
        <v>0.02</v>
      </c>
      <c r="E121">
        <v>4</v>
      </c>
      <c r="F121">
        <v>1.3</v>
      </c>
      <c r="G121" t="s">
        <v>14</v>
      </c>
      <c r="H121" t="s">
        <v>70</v>
      </c>
      <c r="I121" t="s">
        <v>24</v>
      </c>
      <c r="J121" t="s">
        <v>64</v>
      </c>
      <c r="K121" t="s">
        <v>26</v>
      </c>
      <c r="L121" t="s">
        <v>347</v>
      </c>
      <c r="M121">
        <v>0.37</v>
      </c>
      <c r="N121" t="s">
        <v>8</v>
      </c>
      <c r="O121" t="s">
        <v>9</v>
      </c>
      <c r="P121" t="s">
        <v>99</v>
      </c>
      <c r="Q121" t="s">
        <v>206</v>
      </c>
      <c r="R121">
        <v>32174</v>
      </c>
      <c r="S121" s="1">
        <v>42013</v>
      </c>
      <c r="T121" s="1">
        <v>42013</v>
      </c>
      <c r="U121">
        <v>-23.295999999999999</v>
      </c>
      <c r="V121">
        <v>12</v>
      </c>
      <c r="W121">
        <v>50.71</v>
      </c>
      <c r="X121">
        <v>86284</v>
      </c>
      <c r="Y121">
        <f>cleaneddata[[#This Row],[Unit Price]]-cleaneddata[[#This Row],[Discount]]</f>
        <v>3.98</v>
      </c>
      <c r="Z12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2" spans="1:26" x14ac:dyDescent="0.3">
      <c r="A122">
        <v>894</v>
      </c>
      <c r="B122" t="s">
        <v>348</v>
      </c>
      <c r="C122" t="s">
        <v>1</v>
      </c>
      <c r="D122">
        <v>0.01</v>
      </c>
      <c r="E122">
        <v>8.34</v>
      </c>
      <c r="F122">
        <v>0.96</v>
      </c>
      <c r="G122" t="s">
        <v>14</v>
      </c>
      <c r="H122" t="s">
        <v>70</v>
      </c>
      <c r="I122" t="s">
        <v>4</v>
      </c>
      <c r="J122" t="s">
        <v>102</v>
      </c>
      <c r="K122" t="s">
        <v>26</v>
      </c>
      <c r="L122" t="s">
        <v>349</v>
      </c>
      <c r="M122">
        <v>0.43</v>
      </c>
      <c r="N122" t="s">
        <v>8</v>
      </c>
      <c r="O122" t="s">
        <v>87</v>
      </c>
      <c r="P122" t="s">
        <v>350</v>
      </c>
      <c r="Q122" t="s">
        <v>42</v>
      </c>
      <c r="R122">
        <v>20024</v>
      </c>
      <c r="S122" s="1">
        <v>42014</v>
      </c>
      <c r="T122" s="1">
        <v>42016</v>
      </c>
      <c r="U122">
        <v>29.332000000000001</v>
      </c>
      <c r="V122">
        <v>24</v>
      </c>
      <c r="W122">
        <v>199.12</v>
      </c>
      <c r="X122">
        <v>14596</v>
      </c>
      <c r="Y122">
        <f>cleaneddata[[#This Row],[Unit Price]]-cleaneddata[[#This Row],[Discount]]</f>
        <v>8.33</v>
      </c>
      <c r="Z12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" spans="1:26" x14ac:dyDescent="0.3">
      <c r="A123">
        <v>894</v>
      </c>
      <c r="B123" t="s">
        <v>348</v>
      </c>
      <c r="C123" t="s">
        <v>1</v>
      </c>
      <c r="D123">
        <v>0.06</v>
      </c>
      <c r="E123">
        <v>3.28</v>
      </c>
      <c r="F123">
        <v>3.97</v>
      </c>
      <c r="G123" t="s">
        <v>14</v>
      </c>
      <c r="H123" t="s">
        <v>70</v>
      </c>
      <c r="I123" t="s">
        <v>24</v>
      </c>
      <c r="J123" t="s">
        <v>25</v>
      </c>
      <c r="K123" t="s">
        <v>26</v>
      </c>
      <c r="L123" t="s">
        <v>343</v>
      </c>
      <c r="M123">
        <v>0.56000000000000005</v>
      </c>
      <c r="N123" t="s">
        <v>8</v>
      </c>
      <c r="O123" t="s">
        <v>87</v>
      </c>
      <c r="P123" t="s">
        <v>350</v>
      </c>
      <c r="Q123" t="s">
        <v>42</v>
      </c>
      <c r="R123">
        <v>20024</v>
      </c>
      <c r="S123" s="1">
        <v>42014</v>
      </c>
      <c r="T123" s="1">
        <v>42015</v>
      </c>
      <c r="U123">
        <v>-86</v>
      </c>
      <c r="V123">
        <v>19</v>
      </c>
      <c r="W123">
        <v>63.14</v>
      </c>
      <c r="X123">
        <v>14596</v>
      </c>
      <c r="Y123">
        <f>cleaneddata[[#This Row],[Unit Price]]-cleaneddata[[#This Row],[Discount]]</f>
        <v>3.2199999999999998</v>
      </c>
      <c r="Z12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4" spans="1:26" x14ac:dyDescent="0.3">
      <c r="A124">
        <v>896</v>
      </c>
      <c r="B124" t="s">
        <v>351</v>
      </c>
      <c r="C124" t="s">
        <v>1</v>
      </c>
      <c r="D124">
        <v>0.01</v>
      </c>
      <c r="E124">
        <v>8.34</v>
      </c>
      <c r="F124">
        <v>0.96</v>
      </c>
      <c r="G124" t="s">
        <v>14</v>
      </c>
      <c r="H124" t="s">
        <v>70</v>
      </c>
      <c r="I124" t="s">
        <v>4</v>
      </c>
      <c r="J124" t="s">
        <v>102</v>
      </c>
      <c r="K124" t="s">
        <v>26</v>
      </c>
      <c r="L124" t="s">
        <v>349</v>
      </c>
      <c r="M124">
        <v>0.43</v>
      </c>
      <c r="N124" t="s">
        <v>8</v>
      </c>
      <c r="O124" t="s">
        <v>28</v>
      </c>
      <c r="P124" t="s">
        <v>163</v>
      </c>
      <c r="Q124" t="s">
        <v>352</v>
      </c>
      <c r="R124">
        <v>76201</v>
      </c>
      <c r="S124" s="1">
        <v>42014</v>
      </c>
      <c r="T124" s="1">
        <v>42016</v>
      </c>
      <c r="U124">
        <v>34.348199999999999</v>
      </c>
      <c r="V124">
        <v>6</v>
      </c>
      <c r="W124">
        <v>49.78</v>
      </c>
      <c r="X124">
        <v>90166</v>
      </c>
      <c r="Y124">
        <f>cleaneddata[[#This Row],[Unit Price]]-cleaneddata[[#This Row],[Discount]]</f>
        <v>8.33</v>
      </c>
      <c r="Z1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5" spans="1:26" x14ac:dyDescent="0.3">
      <c r="A125">
        <v>896</v>
      </c>
      <c r="B125" t="s">
        <v>351</v>
      </c>
      <c r="C125" t="s">
        <v>1</v>
      </c>
      <c r="D125">
        <v>0.06</v>
      </c>
      <c r="E125">
        <v>3.28</v>
      </c>
      <c r="F125">
        <v>3.97</v>
      </c>
      <c r="G125" t="s">
        <v>14</v>
      </c>
      <c r="H125" t="s">
        <v>70</v>
      </c>
      <c r="I125" t="s">
        <v>24</v>
      </c>
      <c r="J125" t="s">
        <v>25</v>
      </c>
      <c r="K125" t="s">
        <v>26</v>
      </c>
      <c r="L125" t="s">
        <v>343</v>
      </c>
      <c r="M125">
        <v>0.56000000000000005</v>
      </c>
      <c r="N125" t="s">
        <v>8</v>
      </c>
      <c r="O125" t="s">
        <v>28</v>
      </c>
      <c r="P125" t="s">
        <v>163</v>
      </c>
      <c r="Q125" t="s">
        <v>352</v>
      </c>
      <c r="R125">
        <v>76201</v>
      </c>
      <c r="S125" s="1">
        <v>42014</v>
      </c>
      <c r="T125" s="1">
        <v>42015</v>
      </c>
      <c r="U125">
        <v>-66.650000000000006</v>
      </c>
      <c r="V125">
        <v>5</v>
      </c>
      <c r="W125">
        <v>16.62</v>
      </c>
      <c r="X125">
        <v>90166</v>
      </c>
      <c r="Y125">
        <f>cleaneddata[[#This Row],[Unit Price]]-cleaneddata[[#This Row],[Discount]]</f>
        <v>3.2199999999999998</v>
      </c>
      <c r="Z1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6" spans="1:26" x14ac:dyDescent="0.3">
      <c r="A126">
        <v>1976</v>
      </c>
      <c r="B126" t="s">
        <v>353</v>
      </c>
      <c r="C126" t="s">
        <v>1</v>
      </c>
      <c r="D126">
        <v>0.05</v>
      </c>
      <c r="E126">
        <v>70.98</v>
      </c>
      <c r="F126">
        <v>46.74</v>
      </c>
      <c r="G126" t="s">
        <v>2</v>
      </c>
      <c r="H126" t="s">
        <v>15</v>
      </c>
      <c r="I126" t="s">
        <v>4</v>
      </c>
      <c r="J126" t="s">
        <v>93</v>
      </c>
      <c r="K126" t="s">
        <v>6</v>
      </c>
      <c r="L126" t="s">
        <v>354</v>
      </c>
      <c r="M126">
        <v>0.56000000000000005</v>
      </c>
      <c r="N126" t="s">
        <v>8</v>
      </c>
      <c r="O126" t="s">
        <v>28</v>
      </c>
      <c r="P126" t="s">
        <v>265</v>
      </c>
      <c r="Q126" t="s">
        <v>355</v>
      </c>
      <c r="R126">
        <v>48823</v>
      </c>
      <c r="S126" s="1">
        <v>42014</v>
      </c>
      <c r="T126" s="1">
        <v>42015</v>
      </c>
      <c r="U126">
        <v>-850.65239999999994</v>
      </c>
      <c r="V126">
        <v>8</v>
      </c>
      <c r="W126">
        <v>551.51</v>
      </c>
      <c r="X126">
        <v>89039</v>
      </c>
      <c r="Y126">
        <f>cleaneddata[[#This Row],[Unit Price]]-cleaneddata[[#This Row],[Discount]]</f>
        <v>70.930000000000007</v>
      </c>
      <c r="Z12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7" spans="1:26" x14ac:dyDescent="0.3">
      <c r="A127">
        <v>1976</v>
      </c>
      <c r="B127" t="s">
        <v>353</v>
      </c>
      <c r="C127" t="s">
        <v>1</v>
      </c>
      <c r="D127">
        <v>0.05</v>
      </c>
      <c r="E127">
        <v>11.55</v>
      </c>
      <c r="F127">
        <v>2.36</v>
      </c>
      <c r="G127" t="s">
        <v>14</v>
      </c>
      <c r="H127" t="s">
        <v>15</v>
      </c>
      <c r="I127" t="s">
        <v>24</v>
      </c>
      <c r="J127" t="s">
        <v>25</v>
      </c>
      <c r="K127" t="s">
        <v>26</v>
      </c>
      <c r="L127" t="s">
        <v>356</v>
      </c>
      <c r="M127">
        <v>0.55000000000000004</v>
      </c>
      <c r="N127" t="s">
        <v>8</v>
      </c>
      <c r="O127" t="s">
        <v>28</v>
      </c>
      <c r="P127" t="s">
        <v>265</v>
      </c>
      <c r="Q127" t="s">
        <v>355</v>
      </c>
      <c r="R127">
        <v>48823</v>
      </c>
      <c r="S127" s="1">
        <v>42014</v>
      </c>
      <c r="T127" s="1">
        <v>42016</v>
      </c>
      <c r="U127">
        <v>98.525099999999995</v>
      </c>
      <c r="V127">
        <v>12</v>
      </c>
      <c r="W127">
        <v>142.79</v>
      </c>
      <c r="X127">
        <v>89039</v>
      </c>
      <c r="Y127">
        <f>cleaneddata[[#This Row],[Unit Price]]-cleaneddata[[#This Row],[Discount]]</f>
        <v>11.5</v>
      </c>
      <c r="Z12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8" spans="1:26" x14ac:dyDescent="0.3">
      <c r="A128">
        <v>2418</v>
      </c>
      <c r="B128" t="s">
        <v>216</v>
      </c>
      <c r="C128" t="s">
        <v>13</v>
      </c>
      <c r="D128">
        <v>0.1</v>
      </c>
      <c r="E128">
        <v>599.99</v>
      </c>
      <c r="F128">
        <v>24.49</v>
      </c>
      <c r="G128" t="s">
        <v>14</v>
      </c>
      <c r="H128" t="s">
        <v>15</v>
      </c>
      <c r="I128" t="s">
        <v>16</v>
      </c>
      <c r="J128" t="s">
        <v>39</v>
      </c>
      <c r="K128" t="s">
        <v>40</v>
      </c>
      <c r="L128" t="s">
        <v>357</v>
      </c>
      <c r="M128">
        <v>0.5</v>
      </c>
      <c r="N128" t="s">
        <v>8</v>
      </c>
      <c r="O128" t="s">
        <v>9</v>
      </c>
      <c r="P128" t="s">
        <v>218</v>
      </c>
      <c r="Q128" t="s">
        <v>219</v>
      </c>
      <c r="R128">
        <v>23805</v>
      </c>
      <c r="S128" s="1">
        <v>42014</v>
      </c>
      <c r="T128" s="1">
        <v>42015</v>
      </c>
      <c r="U128">
        <v>-343.12599999999998</v>
      </c>
      <c r="V128">
        <v>11</v>
      </c>
      <c r="W128">
        <v>6355.69</v>
      </c>
      <c r="X128">
        <v>86753</v>
      </c>
      <c r="Y128">
        <f>cleaneddata[[#This Row],[Unit Price]]-cleaneddata[[#This Row],[Discount]]</f>
        <v>599.89</v>
      </c>
      <c r="Z12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9" spans="1:26" x14ac:dyDescent="0.3">
      <c r="A129">
        <v>2418</v>
      </c>
      <c r="B129" t="s">
        <v>216</v>
      </c>
      <c r="C129" t="s">
        <v>13</v>
      </c>
      <c r="D129">
        <v>0.06</v>
      </c>
      <c r="E129">
        <v>2.78</v>
      </c>
      <c r="F129">
        <v>1.25</v>
      </c>
      <c r="G129" t="s">
        <v>14</v>
      </c>
      <c r="H129" t="s">
        <v>15</v>
      </c>
      <c r="I129" t="s">
        <v>24</v>
      </c>
      <c r="J129" t="s">
        <v>25</v>
      </c>
      <c r="K129" t="s">
        <v>26</v>
      </c>
      <c r="L129" t="s">
        <v>358</v>
      </c>
      <c r="M129">
        <v>0.59</v>
      </c>
      <c r="N129" t="s">
        <v>8</v>
      </c>
      <c r="O129" t="s">
        <v>9</v>
      </c>
      <c r="P129" t="s">
        <v>218</v>
      </c>
      <c r="Q129" t="s">
        <v>219</v>
      </c>
      <c r="R129">
        <v>23805</v>
      </c>
      <c r="S129" s="1">
        <v>42014</v>
      </c>
      <c r="T129" s="1">
        <v>42016</v>
      </c>
      <c r="U129">
        <v>66.36</v>
      </c>
      <c r="V129">
        <v>10</v>
      </c>
      <c r="W129">
        <v>28.09</v>
      </c>
      <c r="X129">
        <v>86753</v>
      </c>
      <c r="Y129">
        <f>cleaneddata[[#This Row],[Unit Price]]-cleaneddata[[#This Row],[Discount]]</f>
        <v>2.7199999999999998</v>
      </c>
      <c r="Z12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0" spans="1:26" x14ac:dyDescent="0.3">
      <c r="A130">
        <v>2132</v>
      </c>
      <c r="B130" t="s">
        <v>359</v>
      </c>
      <c r="C130" t="s">
        <v>23</v>
      </c>
      <c r="D130">
        <v>0.05</v>
      </c>
      <c r="E130">
        <v>30.42</v>
      </c>
      <c r="F130">
        <v>8.65</v>
      </c>
      <c r="G130" t="s">
        <v>63</v>
      </c>
      <c r="H130" t="s">
        <v>47</v>
      </c>
      <c r="I130" t="s">
        <v>16</v>
      </c>
      <c r="J130" t="s">
        <v>17</v>
      </c>
      <c r="K130" t="s">
        <v>49</v>
      </c>
      <c r="L130" t="s">
        <v>360</v>
      </c>
      <c r="M130">
        <v>0.74</v>
      </c>
      <c r="N130" t="s">
        <v>8</v>
      </c>
      <c r="O130" t="s">
        <v>28</v>
      </c>
      <c r="P130" t="s">
        <v>56</v>
      </c>
      <c r="Q130" t="s">
        <v>361</v>
      </c>
      <c r="R130">
        <v>63042</v>
      </c>
      <c r="S130" s="1">
        <v>42014</v>
      </c>
      <c r="T130" s="1">
        <v>42018</v>
      </c>
      <c r="U130">
        <v>-191.2576</v>
      </c>
      <c r="V130">
        <v>11</v>
      </c>
      <c r="W130">
        <v>334.44</v>
      </c>
      <c r="X130">
        <v>90078</v>
      </c>
      <c r="Y130">
        <f>cleaneddata[[#This Row],[Unit Price]]-cleaneddata[[#This Row],[Discount]]</f>
        <v>30.37</v>
      </c>
      <c r="Z1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1" spans="1:26" x14ac:dyDescent="0.3">
      <c r="A131">
        <v>2346</v>
      </c>
      <c r="B131" t="s">
        <v>362</v>
      </c>
      <c r="C131" t="s">
        <v>23</v>
      </c>
      <c r="D131">
        <v>0.03</v>
      </c>
      <c r="E131">
        <v>297.64</v>
      </c>
      <c r="F131">
        <v>14.7</v>
      </c>
      <c r="G131" t="s">
        <v>2</v>
      </c>
      <c r="H131" t="s">
        <v>70</v>
      </c>
      <c r="I131" t="s">
        <v>16</v>
      </c>
      <c r="J131" t="s">
        <v>32</v>
      </c>
      <c r="K131" t="s">
        <v>33</v>
      </c>
      <c r="L131" t="s">
        <v>363</v>
      </c>
      <c r="M131">
        <v>0.56999999999999995</v>
      </c>
      <c r="N131" t="s">
        <v>8</v>
      </c>
      <c r="O131" t="s">
        <v>9</v>
      </c>
      <c r="P131" t="s">
        <v>364</v>
      </c>
      <c r="Q131" t="s">
        <v>365</v>
      </c>
      <c r="R131">
        <v>40258</v>
      </c>
      <c r="S131" s="1">
        <v>42014</v>
      </c>
      <c r="T131" s="1">
        <v>42019</v>
      </c>
      <c r="U131">
        <v>-48.972000000000001</v>
      </c>
      <c r="V131">
        <v>12</v>
      </c>
      <c r="W131">
        <v>3707.05</v>
      </c>
      <c r="X131">
        <v>89503</v>
      </c>
      <c r="Y131">
        <f>cleaneddata[[#This Row],[Unit Price]]-cleaneddata[[#This Row],[Discount]]</f>
        <v>297.61</v>
      </c>
      <c r="Z13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" spans="1:26" x14ac:dyDescent="0.3">
      <c r="A132">
        <v>2797</v>
      </c>
      <c r="B132" t="s">
        <v>366</v>
      </c>
      <c r="C132" t="s">
        <v>92</v>
      </c>
      <c r="D132">
        <v>0</v>
      </c>
      <c r="E132">
        <v>5.0199999999999996</v>
      </c>
      <c r="F132">
        <v>5.14</v>
      </c>
      <c r="G132" t="s">
        <v>14</v>
      </c>
      <c r="H132" t="s">
        <v>15</v>
      </c>
      <c r="I132" t="s">
        <v>16</v>
      </c>
      <c r="J132" t="s">
        <v>17</v>
      </c>
      <c r="K132" t="s">
        <v>18</v>
      </c>
      <c r="L132" t="s">
        <v>367</v>
      </c>
      <c r="M132">
        <v>0.79</v>
      </c>
      <c r="N132" t="s">
        <v>8</v>
      </c>
      <c r="O132" t="s">
        <v>87</v>
      </c>
      <c r="P132" t="s">
        <v>296</v>
      </c>
      <c r="Q132" t="s">
        <v>368</v>
      </c>
      <c r="R132">
        <v>15122</v>
      </c>
      <c r="S132" s="1">
        <v>42014</v>
      </c>
      <c r="T132" s="1">
        <v>42015</v>
      </c>
      <c r="U132">
        <v>-159.30279999999999</v>
      </c>
      <c r="V132">
        <v>8</v>
      </c>
      <c r="W132">
        <v>43.94</v>
      </c>
      <c r="X132">
        <v>87552</v>
      </c>
      <c r="Y132">
        <f>cleaneddata[[#This Row],[Unit Price]]-cleaneddata[[#This Row],[Discount]]</f>
        <v>5.0199999999999996</v>
      </c>
      <c r="Z1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3" spans="1:26" x14ac:dyDescent="0.3">
      <c r="A133">
        <v>194</v>
      </c>
      <c r="B133" t="s">
        <v>369</v>
      </c>
      <c r="C133" t="s">
        <v>46</v>
      </c>
      <c r="D133">
        <v>0.02</v>
      </c>
      <c r="E133">
        <v>6.48</v>
      </c>
      <c r="F133">
        <v>9.17</v>
      </c>
      <c r="G133" t="s">
        <v>14</v>
      </c>
      <c r="H133" t="s">
        <v>70</v>
      </c>
      <c r="I133" t="s">
        <v>24</v>
      </c>
      <c r="J133" t="s">
        <v>64</v>
      </c>
      <c r="K133" t="s">
        <v>49</v>
      </c>
      <c r="L133" t="s">
        <v>370</v>
      </c>
      <c r="M133">
        <v>0.37</v>
      </c>
      <c r="N133" t="s">
        <v>8</v>
      </c>
      <c r="O133" t="s">
        <v>35</v>
      </c>
      <c r="P133" t="s">
        <v>122</v>
      </c>
      <c r="Q133" t="s">
        <v>371</v>
      </c>
      <c r="R133">
        <v>84043</v>
      </c>
      <c r="S133" s="1">
        <v>42014</v>
      </c>
      <c r="T133" s="1">
        <v>42015</v>
      </c>
      <c r="U133">
        <v>-105.68519999999999</v>
      </c>
      <c r="V133">
        <v>4</v>
      </c>
      <c r="W133">
        <v>28.2</v>
      </c>
      <c r="X133">
        <v>90431</v>
      </c>
      <c r="Y133">
        <f>cleaneddata[[#This Row],[Unit Price]]-cleaneddata[[#This Row],[Discount]]</f>
        <v>6.4600000000000009</v>
      </c>
      <c r="Z13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4" spans="1:26" x14ac:dyDescent="0.3">
      <c r="A134">
        <v>947</v>
      </c>
      <c r="B134" t="s">
        <v>372</v>
      </c>
      <c r="C134" t="s">
        <v>1</v>
      </c>
      <c r="D134">
        <v>0.08</v>
      </c>
      <c r="E134">
        <v>14.2</v>
      </c>
      <c r="F134">
        <v>5.3</v>
      </c>
      <c r="G134" t="s">
        <v>63</v>
      </c>
      <c r="H134" t="s">
        <v>47</v>
      </c>
      <c r="I134" t="s">
        <v>4</v>
      </c>
      <c r="J134" t="s">
        <v>102</v>
      </c>
      <c r="K134" t="s">
        <v>26</v>
      </c>
      <c r="L134" t="s">
        <v>264</v>
      </c>
      <c r="M134">
        <v>0.46</v>
      </c>
      <c r="N134" t="s">
        <v>8</v>
      </c>
      <c r="O134" t="s">
        <v>87</v>
      </c>
      <c r="P134" t="s">
        <v>373</v>
      </c>
      <c r="Q134" t="s">
        <v>374</v>
      </c>
      <c r="R134">
        <v>7002</v>
      </c>
      <c r="S134" s="1">
        <v>42015</v>
      </c>
      <c r="T134" s="1">
        <v>42017</v>
      </c>
      <c r="U134">
        <v>27.23</v>
      </c>
      <c r="V134">
        <v>5</v>
      </c>
      <c r="W134">
        <v>72.11</v>
      </c>
      <c r="X134">
        <v>86565</v>
      </c>
      <c r="Y134">
        <f>cleaneddata[[#This Row],[Unit Price]]-cleaneddata[[#This Row],[Discount]]</f>
        <v>14.12</v>
      </c>
      <c r="Z1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5" spans="1:26" x14ac:dyDescent="0.3">
      <c r="A135">
        <v>166</v>
      </c>
      <c r="B135" t="s">
        <v>375</v>
      </c>
      <c r="C135" t="s">
        <v>23</v>
      </c>
      <c r="D135">
        <v>0.08</v>
      </c>
      <c r="E135">
        <v>399.98</v>
      </c>
      <c r="F135">
        <v>12.06</v>
      </c>
      <c r="G135" t="s">
        <v>2</v>
      </c>
      <c r="H135" t="s">
        <v>15</v>
      </c>
      <c r="I135" t="s">
        <v>16</v>
      </c>
      <c r="J135" t="s">
        <v>32</v>
      </c>
      <c r="K135" t="s">
        <v>6</v>
      </c>
      <c r="L135" t="s">
        <v>159</v>
      </c>
      <c r="M135">
        <v>0.56000000000000005</v>
      </c>
      <c r="N135" t="s">
        <v>8</v>
      </c>
      <c r="O135" t="s">
        <v>9</v>
      </c>
      <c r="P135" t="s">
        <v>376</v>
      </c>
      <c r="Q135" t="s">
        <v>377</v>
      </c>
      <c r="R135">
        <v>37087</v>
      </c>
      <c r="S135" s="1">
        <v>42015</v>
      </c>
      <c r="T135" s="1">
        <v>42022</v>
      </c>
      <c r="U135">
        <v>28.514099999999999</v>
      </c>
      <c r="V135">
        <v>5</v>
      </c>
      <c r="W135">
        <v>1839.91</v>
      </c>
      <c r="X135">
        <v>89426</v>
      </c>
      <c r="Y135">
        <f>cleaneddata[[#This Row],[Unit Price]]-cleaneddata[[#This Row],[Discount]]</f>
        <v>399.90000000000003</v>
      </c>
      <c r="Z13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6" spans="1:26" x14ac:dyDescent="0.3">
      <c r="A136">
        <v>466</v>
      </c>
      <c r="B136" t="s">
        <v>378</v>
      </c>
      <c r="C136" t="s">
        <v>46</v>
      </c>
      <c r="D136">
        <v>0.08</v>
      </c>
      <c r="E136">
        <v>297.64</v>
      </c>
      <c r="F136">
        <v>14.7</v>
      </c>
      <c r="G136" t="s">
        <v>2</v>
      </c>
      <c r="H136" t="s">
        <v>3</v>
      </c>
      <c r="I136" t="s">
        <v>16</v>
      </c>
      <c r="J136" t="s">
        <v>32</v>
      </c>
      <c r="K136" t="s">
        <v>33</v>
      </c>
      <c r="L136" t="s">
        <v>363</v>
      </c>
      <c r="M136">
        <v>0.56999999999999995</v>
      </c>
      <c r="N136" t="s">
        <v>8</v>
      </c>
      <c r="O136" t="s">
        <v>87</v>
      </c>
      <c r="P136" t="s">
        <v>379</v>
      </c>
      <c r="Q136" t="s">
        <v>380</v>
      </c>
      <c r="R136">
        <v>2019</v>
      </c>
      <c r="S136" s="1">
        <v>42015</v>
      </c>
      <c r="T136" s="1">
        <v>42015</v>
      </c>
      <c r="U136">
        <v>496.79680000000002</v>
      </c>
      <c r="V136">
        <v>5</v>
      </c>
      <c r="W136">
        <v>1132.8399999999999</v>
      </c>
      <c r="X136">
        <v>88060</v>
      </c>
      <c r="Y136">
        <f>cleaneddata[[#This Row],[Unit Price]]-cleaneddata[[#This Row],[Discount]]</f>
        <v>297.56</v>
      </c>
      <c r="Z1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7" spans="1:26" x14ac:dyDescent="0.3">
      <c r="A137">
        <v>467</v>
      </c>
      <c r="B137" t="s">
        <v>381</v>
      </c>
      <c r="C137" t="s">
        <v>46</v>
      </c>
      <c r="D137">
        <v>0.02</v>
      </c>
      <c r="E137">
        <v>12.99</v>
      </c>
      <c r="F137">
        <v>14.37</v>
      </c>
      <c r="G137" t="s">
        <v>14</v>
      </c>
      <c r="H137" t="s">
        <v>3</v>
      </c>
      <c r="I137" t="s">
        <v>4</v>
      </c>
      <c r="J137" t="s">
        <v>102</v>
      </c>
      <c r="K137" t="s">
        <v>40</v>
      </c>
      <c r="L137" t="s">
        <v>382</v>
      </c>
      <c r="M137">
        <v>0.73</v>
      </c>
      <c r="N137" t="s">
        <v>8</v>
      </c>
      <c r="O137" t="s">
        <v>87</v>
      </c>
      <c r="P137" t="s">
        <v>379</v>
      </c>
      <c r="Q137" t="s">
        <v>383</v>
      </c>
      <c r="R137">
        <v>1915</v>
      </c>
      <c r="S137" s="1">
        <v>42015</v>
      </c>
      <c r="T137" s="1">
        <v>42016</v>
      </c>
      <c r="U137">
        <v>-556.80960000000005</v>
      </c>
      <c r="V137">
        <v>11</v>
      </c>
      <c r="W137">
        <v>143.63</v>
      </c>
      <c r="X137">
        <v>88060</v>
      </c>
      <c r="Y137">
        <f>cleaneddata[[#This Row],[Unit Price]]-cleaneddata[[#This Row],[Discount]]</f>
        <v>12.97</v>
      </c>
      <c r="Z1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8" spans="1:26" x14ac:dyDescent="0.3">
      <c r="A138">
        <v>468</v>
      </c>
      <c r="B138" t="s">
        <v>384</v>
      </c>
      <c r="C138" t="s">
        <v>46</v>
      </c>
      <c r="D138">
        <v>0.06</v>
      </c>
      <c r="E138">
        <v>14.42</v>
      </c>
      <c r="F138">
        <v>6.75</v>
      </c>
      <c r="G138" t="s">
        <v>14</v>
      </c>
      <c r="H138" t="s">
        <v>3</v>
      </c>
      <c r="I138" t="s">
        <v>24</v>
      </c>
      <c r="J138" t="s">
        <v>71</v>
      </c>
      <c r="K138" t="s">
        <v>120</v>
      </c>
      <c r="L138" t="s">
        <v>385</v>
      </c>
      <c r="M138">
        <v>0.52</v>
      </c>
      <c r="N138" t="s">
        <v>8</v>
      </c>
      <c r="O138" t="s">
        <v>87</v>
      </c>
      <c r="P138" t="s">
        <v>379</v>
      </c>
      <c r="Q138" t="s">
        <v>386</v>
      </c>
      <c r="R138">
        <v>2341</v>
      </c>
      <c r="S138" s="1">
        <v>42015</v>
      </c>
      <c r="T138" s="1">
        <v>42016</v>
      </c>
      <c r="U138">
        <v>-27.738800000000001</v>
      </c>
      <c r="V138">
        <v>5</v>
      </c>
      <c r="W138">
        <v>73.040000000000006</v>
      </c>
      <c r="X138">
        <v>88060</v>
      </c>
      <c r="Y138">
        <f>cleaneddata[[#This Row],[Unit Price]]-cleaneddata[[#This Row],[Discount]]</f>
        <v>14.36</v>
      </c>
      <c r="Z13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9" spans="1:26" x14ac:dyDescent="0.3">
      <c r="A139">
        <v>469</v>
      </c>
      <c r="B139" t="s">
        <v>387</v>
      </c>
      <c r="C139" t="s">
        <v>46</v>
      </c>
      <c r="D139">
        <v>0.05</v>
      </c>
      <c r="E139">
        <v>4.1399999999999997</v>
      </c>
      <c r="F139">
        <v>6.6</v>
      </c>
      <c r="G139" t="s">
        <v>63</v>
      </c>
      <c r="H139" t="s">
        <v>3</v>
      </c>
      <c r="I139" t="s">
        <v>4</v>
      </c>
      <c r="J139" t="s">
        <v>102</v>
      </c>
      <c r="K139" t="s">
        <v>49</v>
      </c>
      <c r="L139" t="s">
        <v>388</v>
      </c>
      <c r="M139">
        <v>0.49</v>
      </c>
      <c r="N139" t="s">
        <v>8</v>
      </c>
      <c r="O139" t="s">
        <v>87</v>
      </c>
      <c r="P139" t="s">
        <v>373</v>
      </c>
      <c r="Q139" t="s">
        <v>389</v>
      </c>
      <c r="R139">
        <v>7506</v>
      </c>
      <c r="S139" s="1">
        <v>42015</v>
      </c>
      <c r="T139" s="1">
        <v>42017</v>
      </c>
      <c r="U139">
        <v>-128.68719999999999</v>
      </c>
      <c r="V139">
        <v>7</v>
      </c>
      <c r="W139">
        <v>33.35</v>
      </c>
      <c r="X139">
        <v>88060</v>
      </c>
      <c r="Y139">
        <f>cleaneddata[[#This Row],[Unit Price]]-cleaneddata[[#This Row],[Discount]]</f>
        <v>4.09</v>
      </c>
      <c r="Z13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0" spans="1:26" x14ac:dyDescent="0.3">
      <c r="A140">
        <v>470</v>
      </c>
      <c r="B140" t="s">
        <v>390</v>
      </c>
      <c r="C140" t="s">
        <v>46</v>
      </c>
      <c r="D140">
        <v>0.03</v>
      </c>
      <c r="E140">
        <v>11.34</v>
      </c>
      <c r="F140">
        <v>5.01</v>
      </c>
      <c r="G140" t="s">
        <v>14</v>
      </c>
      <c r="H140" t="s">
        <v>3</v>
      </c>
      <c r="I140" t="s">
        <v>24</v>
      </c>
      <c r="J140" t="s">
        <v>64</v>
      </c>
      <c r="K140" t="s">
        <v>49</v>
      </c>
      <c r="L140" t="s">
        <v>391</v>
      </c>
      <c r="M140">
        <v>0.36</v>
      </c>
      <c r="N140" t="s">
        <v>8</v>
      </c>
      <c r="O140" t="s">
        <v>87</v>
      </c>
      <c r="P140" t="s">
        <v>373</v>
      </c>
      <c r="Q140" t="s">
        <v>392</v>
      </c>
      <c r="R140">
        <v>8601</v>
      </c>
      <c r="S140" s="1">
        <v>42015</v>
      </c>
      <c r="T140" s="1">
        <v>42015</v>
      </c>
      <c r="U140">
        <v>23.2028</v>
      </c>
      <c r="V140">
        <v>5</v>
      </c>
      <c r="W140">
        <v>60.24</v>
      </c>
      <c r="X140">
        <v>88060</v>
      </c>
      <c r="Y140">
        <f>cleaneddata[[#This Row],[Unit Price]]-cleaneddata[[#This Row],[Discount]]</f>
        <v>11.31</v>
      </c>
      <c r="Z1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1" spans="1:26" x14ac:dyDescent="0.3">
      <c r="A141">
        <v>2776</v>
      </c>
      <c r="B141" t="s">
        <v>393</v>
      </c>
      <c r="C141" t="s">
        <v>1</v>
      </c>
      <c r="D141">
        <v>0.03</v>
      </c>
      <c r="E141">
        <v>350.98</v>
      </c>
      <c r="F141">
        <v>30</v>
      </c>
      <c r="G141" t="s">
        <v>2</v>
      </c>
      <c r="H141" t="s">
        <v>15</v>
      </c>
      <c r="I141" t="s">
        <v>4</v>
      </c>
      <c r="J141" t="s">
        <v>85</v>
      </c>
      <c r="K141" t="s">
        <v>33</v>
      </c>
      <c r="L141" t="s">
        <v>167</v>
      </c>
      <c r="M141">
        <v>0.61</v>
      </c>
      <c r="N141" t="s">
        <v>8</v>
      </c>
      <c r="O141" t="s">
        <v>87</v>
      </c>
      <c r="P141" t="s">
        <v>394</v>
      </c>
      <c r="Q141" t="s">
        <v>395</v>
      </c>
      <c r="R141">
        <v>20877</v>
      </c>
      <c r="S141" s="1">
        <v>42016</v>
      </c>
      <c r="T141" s="1">
        <v>42019</v>
      </c>
      <c r="U141">
        <v>2692.4421000000002</v>
      </c>
      <c r="V141">
        <v>11</v>
      </c>
      <c r="W141">
        <v>3902.09</v>
      </c>
      <c r="X141">
        <v>91228</v>
      </c>
      <c r="Y141">
        <f>cleaneddata[[#This Row],[Unit Price]]-cleaneddata[[#This Row],[Discount]]</f>
        <v>350.95000000000005</v>
      </c>
      <c r="Z14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2" spans="1:26" x14ac:dyDescent="0.3">
      <c r="A142">
        <v>2776</v>
      </c>
      <c r="B142" t="s">
        <v>393</v>
      </c>
      <c r="C142" t="s">
        <v>1</v>
      </c>
      <c r="D142">
        <v>0.04</v>
      </c>
      <c r="E142">
        <v>1.68</v>
      </c>
      <c r="F142">
        <v>1</v>
      </c>
      <c r="G142" t="s">
        <v>14</v>
      </c>
      <c r="H142" t="s">
        <v>15</v>
      </c>
      <c r="I142" t="s">
        <v>24</v>
      </c>
      <c r="J142" t="s">
        <v>25</v>
      </c>
      <c r="K142" t="s">
        <v>26</v>
      </c>
      <c r="L142" t="s">
        <v>396</v>
      </c>
      <c r="M142">
        <v>0.35</v>
      </c>
      <c r="N142" t="s">
        <v>8</v>
      </c>
      <c r="O142" t="s">
        <v>87</v>
      </c>
      <c r="P142" t="s">
        <v>394</v>
      </c>
      <c r="Q142" t="s">
        <v>395</v>
      </c>
      <c r="R142">
        <v>20877</v>
      </c>
      <c r="S142" s="1">
        <v>42016</v>
      </c>
      <c r="T142" s="1">
        <v>42018</v>
      </c>
      <c r="U142">
        <v>2.0672000000000001</v>
      </c>
      <c r="V142">
        <v>8</v>
      </c>
      <c r="W142">
        <v>14.18</v>
      </c>
      <c r="X142">
        <v>91228</v>
      </c>
      <c r="Y142">
        <f>cleaneddata[[#This Row],[Unit Price]]-cleaneddata[[#This Row],[Discount]]</f>
        <v>1.64</v>
      </c>
      <c r="Z14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3" spans="1:26" x14ac:dyDescent="0.3">
      <c r="A143">
        <v>120</v>
      </c>
      <c r="B143" t="s">
        <v>397</v>
      </c>
      <c r="C143" t="s">
        <v>13</v>
      </c>
      <c r="D143">
        <v>0.05</v>
      </c>
      <c r="E143">
        <v>6.3</v>
      </c>
      <c r="F143">
        <v>0.5</v>
      </c>
      <c r="G143" t="s">
        <v>14</v>
      </c>
      <c r="H143" t="s">
        <v>70</v>
      </c>
      <c r="I143" t="s">
        <v>24</v>
      </c>
      <c r="J143" t="s">
        <v>128</v>
      </c>
      <c r="K143" t="s">
        <v>49</v>
      </c>
      <c r="L143" t="s">
        <v>398</v>
      </c>
      <c r="M143">
        <v>0.39</v>
      </c>
      <c r="N143" t="s">
        <v>8</v>
      </c>
      <c r="O143" t="s">
        <v>35</v>
      </c>
      <c r="P143" t="s">
        <v>122</v>
      </c>
      <c r="Q143" t="s">
        <v>157</v>
      </c>
      <c r="R143">
        <v>84041</v>
      </c>
      <c r="S143" s="1">
        <v>42016</v>
      </c>
      <c r="T143" s="1">
        <v>42017</v>
      </c>
      <c r="U143">
        <v>41.296500000000002</v>
      </c>
      <c r="V143">
        <v>10</v>
      </c>
      <c r="W143">
        <v>59.85</v>
      </c>
      <c r="X143">
        <v>86520</v>
      </c>
      <c r="Y143">
        <f>cleaneddata[[#This Row],[Unit Price]]-cleaneddata[[#This Row],[Discount]]</f>
        <v>6.25</v>
      </c>
      <c r="Z1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4" spans="1:26" x14ac:dyDescent="0.3">
      <c r="A144">
        <v>120</v>
      </c>
      <c r="B144" t="s">
        <v>397</v>
      </c>
      <c r="C144" t="s">
        <v>13</v>
      </c>
      <c r="D144">
        <v>0.09</v>
      </c>
      <c r="E144">
        <v>205.99</v>
      </c>
      <c r="F144">
        <v>3</v>
      </c>
      <c r="G144" t="s">
        <v>63</v>
      </c>
      <c r="H144" t="s">
        <v>70</v>
      </c>
      <c r="I144" t="s">
        <v>16</v>
      </c>
      <c r="J144" t="s">
        <v>111</v>
      </c>
      <c r="K144" t="s">
        <v>49</v>
      </c>
      <c r="L144" t="s">
        <v>399</v>
      </c>
      <c r="M144">
        <v>0.57999999999999996</v>
      </c>
      <c r="N144" t="s">
        <v>8</v>
      </c>
      <c r="O144" t="s">
        <v>35</v>
      </c>
      <c r="P144" t="s">
        <v>122</v>
      </c>
      <c r="Q144" t="s">
        <v>157</v>
      </c>
      <c r="R144">
        <v>84041</v>
      </c>
      <c r="S144" s="1">
        <v>42016</v>
      </c>
      <c r="T144" s="1">
        <v>42018</v>
      </c>
      <c r="U144">
        <v>1179.0237</v>
      </c>
      <c r="V144">
        <v>10</v>
      </c>
      <c r="W144">
        <v>1708.73</v>
      </c>
      <c r="X144">
        <v>86520</v>
      </c>
      <c r="Y144">
        <f>cleaneddata[[#This Row],[Unit Price]]-cleaneddata[[#This Row],[Discount]]</f>
        <v>205.9</v>
      </c>
      <c r="Z1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5" spans="1:26" x14ac:dyDescent="0.3">
      <c r="A145">
        <v>898</v>
      </c>
      <c r="B145" t="s">
        <v>400</v>
      </c>
      <c r="C145" t="s">
        <v>13</v>
      </c>
      <c r="D145">
        <v>0.04</v>
      </c>
      <c r="E145">
        <v>90.97</v>
      </c>
      <c r="F145">
        <v>28</v>
      </c>
      <c r="G145" t="s">
        <v>2</v>
      </c>
      <c r="H145" t="s">
        <v>3</v>
      </c>
      <c r="I145" t="s">
        <v>16</v>
      </c>
      <c r="J145" t="s">
        <v>32</v>
      </c>
      <c r="K145" t="s">
        <v>33</v>
      </c>
      <c r="L145" t="s">
        <v>401</v>
      </c>
      <c r="M145">
        <v>0.38</v>
      </c>
      <c r="N145" t="s">
        <v>8</v>
      </c>
      <c r="O145" t="s">
        <v>87</v>
      </c>
      <c r="P145" t="s">
        <v>88</v>
      </c>
      <c r="Q145" t="s">
        <v>89</v>
      </c>
      <c r="R145">
        <v>10039</v>
      </c>
      <c r="S145" s="1">
        <v>42016</v>
      </c>
      <c r="T145" s="1">
        <v>42017</v>
      </c>
      <c r="U145">
        <v>-173.09520000000001</v>
      </c>
      <c r="V145">
        <v>6</v>
      </c>
      <c r="W145">
        <v>573.30999999999995</v>
      </c>
      <c r="X145">
        <v>33635</v>
      </c>
      <c r="Y145">
        <f>cleaneddata[[#This Row],[Unit Price]]-cleaneddata[[#This Row],[Discount]]</f>
        <v>90.929999999999993</v>
      </c>
      <c r="Z14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6" spans="1:26" x14ac:dyDescent="0.3">
      <c r="A146">
        <v>898</v>
      </c>
      <c r="B146" t="s">
        <v>400</v>
      </c>
      <c r="C146" t="s">
        <v>13</v>
      </c>
      <c r="D146">
        <v>7.0000000000000007E-2</v>
      </c>
      <c r="E146">
        <v>20.34</v>
      </c>
      <c r="F146">
        <v>35</v>
      </c>
      <c r="G146" t="s">
        <v>14</v>
      </c>
      <c r="H146" t="s">
        <v>3</v>
      </c>
      <c r="I146" t="s">
        <v>24</v>
      </c>
      <c r="J146" t="s">
        <v>54</v>
      </c>
      <c r="K146" t="s">
        <v>40</v>
      </c>
      <c r="L146" t="s">
        <v>236</v>
      </c>
      <c r="M146">
        <v>0.84</v>
      </c>
      <c r="N146" t="s">
        <v>8</v>
      </c>
      <c r="O146" t="s">
        <v>87</v>
      </c>
      <c r="P146" t="s">
        <v>88</v>
      </c>
      <c r="Q146" t="s">
        <v>89</v>
      </c>
      <c r="R146">
        <v>10039</v>
      </c>
      <c r="S146" s="1">
        <v>42016</v>
      </c>
      <c r="T146" s="1">
        <v>42017</v>
      </c>
      <c r="U146">
        <v>-96.16</v>
      </c>
      <c r="V146">
        <v>5</v>
      </c>
      <c r="W146">
        <v>140.22999999999999</v>
      </c>
      <c r="X146">
        <v>33635</v>
      </c>
      <c r="Y146">
        <f>cleaneddata[[#This Row],[Unit Price]]-cleaneddata[[#This Row],[Discount]]</f>
        <v>20.27</v>
      </c>
      <c r="Z1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7" spans="1:26" x14ac:dyDescent="0.3">
      <c r="A147">
        <v>899</v>
      </c>
      <c r="B147" t="s">
        <v>402</v>
      </c>
      <c r="C147" t="s">
        <v>13</v>
      </c>
      <c r="D147">
        <v>0.04</v>
      </c>
      <c r="E147">
        <v>90.97</v>
      </c>
      <c r="F147">
        <v>28</v>
      </c>
      <c r="G147" t="s">
        <v>2</v>
      </c>
      <c r="H147" t="s">
        <v>3</v>
      </c>
      <c r="I147" t="s">
        <v>16</v>
      </c>
      <c r="J147" t="s">
        <v>32</v>
      </c>
      <c r="K147" t="s">
        <v>33</v>
      </c>
      <c r="L147" t="s">
        <v>401</v>
      </c>
      <c r="M147">
        <v>0.38</v>
      </c>
      <c r="N147" t="s">
        <v>8</v>
      </c>
      <c r="O147" t="s">
        <v>87</v>
      </c>
      <c r="P147" t="s">
        <v>296</v>
      </c>
      <c r="Q147" t="s">
        <v>403</v>
      </c>
      <c r="R147">
        <v>16602</v>
      </c>
      <c r="S147" s="1">
        <v>42016</v>
      </c>
      <c r="T147" s="1">
        <v>42017</v>
      </c>
      <c r="U147">
        <v>-173.09520000000001</v>
      </c>
      <c r="V147">
        <v>2</v>
      </c>
      <c r="W147">
        <v>191.1</v>
      </c>
      <c r="X147">
        <v>86263</v>
      </c>
      <c r="Y147">
        <f>cleaneddata[[#This Row],[Unit Price]]-cleaneddata[[#This Row],[Discount]]</f>
        <v>90.929999999999993</v>
      </c>
      <c r="Z14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8" spans="1:26" x14ac:dyDescent="0.3">
      <c r="A148">
        <v>899</v>
      </c>
      <c r="B148" t="s">
        <v>402</v>
      </c>
      <c r="C148" t="s">
        <v>13</v>
      </c>
      <c r="D148">
        <v>7.0000000000000007E-2</v>
      </c>
      <c r="E148">
        <v>20.34</v>
      </c>
      <c r="F148">
        <v>35</v>
      </c>
      <c r="G148" t="s">
        <v>14</v>
      </c>
      <c r="H148" t="s">
        <v>3</v>
      </c>
      <c r="I148" t="s">
        <v>24</v>
      </c>
      <c r="J148" t="s">
        <v>54</v>
      </c>
      <c r="K148" t="s">
        <v>40</v>
      </c>
      <c r="L148" t="s">
        <v>236</v>
      </c>
      <c r="M148">
        <v>0.84</v>
      </c>
      <c r="N148" t="s">
        <v>8</v>
      </c>
      <c r="O148" t="s">
        <v>87</v>
      </c>
      <c r="P148" t="s">
        <v>296</v>
      </c>
      <c r="Q148" t="s">
        <v>403</v>
      </c>
      <c r="R148">
        <v>16602</v>
      </c>
      <c r="S148" s="1">
        <v>42016</v>
      </c>
      <c r="T148" s="1">
        <v>42017</v>
      </c>
      <c r="U148">
        <v>-96.16</v>
      </c>
      <c r="V148">
        <v>1</v>
      </c>
      <c r="W148">
        <v>28.05</v>
      </c>
      <c r="X148">
        <v>86263</v>
      </c>
      <c r="Y148">
        <f>cleaneddata[[#This Row],[Unit Price]]-cleaneddata[[#This Row],[Discount]]</f>
        <v>20.27</v>
      </c>
      <c r="Z1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9" spans="1:26" x14ac:dyDescent="0.3">
      <c r="A149">
        <v>1636</v>
      </c>
      <c r="B149" t="s">
        <v>404</v>
      </c>
      <c r="C149" t="s">
        <v>13</v>
      </c>
      <c r="D149">
        <v>0.04</v>
      </c>
      <c r="E149">
        <v>136.97999999999999</v>
      </c>
      <c r="F149">
        <v>24.49</v>
      </c>
      <c r="G149" t="s">
        <v>63</v>
      </c>
      <c r="H149" t="s">
        <v>47</v>
      </c>
      <c r="I149" t="s">
        <v>4</v>
      </c>
      <c r="J149" t="s">
        <v>102</v>
      </c>
      <c r="K149" t="s">
        <v>40</v>
      </c>
      <c r="L149" t="s">
        <v>405</v>
      </c>
      <c r="M149">
        <v>0.59</v>
      </c>
      <c r="N149" t="s">
        <v>8</v>
      </c>
      <c r="O149" t="s">
        <v>35</v>
      </c>
      <c r="P149" t="s">
        <v>66</v>
      </c>
      <c r="Q149" t="s">
        <v>406</v>
      </c>
      <c r="R149">
        <v>93905</v>
      </c>
      <c r="S149" s="1">
        <v>42016</v>
      </c>
      <c r="T149" s="1">
        <v>42018</v>
      </c>
      <c r="U149">
        <v>1127.5497</v>
      </c>
      <c r="V149">
        <v>12</v>
      </c>
      <c r="W149">
        <v>1634.13</v>
      </c>
      <c r="X149">
        <v>89706</v>
      </c>
      <c r="Y149">
        <f>cleaneddata[[#This Row],[Unit Price]]-cleaneddata[[#This Row],[Discount]]</f>
        <v>136.94</v>
      </c>
      <c r="Z14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" spans="1:26" x14ac:dyDescent="0.3">
      <c r="A150">
        <v>823</v>
      </c>
      <c r="B150" t="s">
        <v>407</v>
      </c>
      <c r="C150" t="s">
        <v>23</v>
      </c>
      <c r="D150">
        <v>0.04</v>
      </c>
      <c r="E150">
        <v>6.24</v>
      </c>
      <c r="F150">
        <v>5.22</v>
      </c>
      <c r="G150" t="s">
        <v>14</v>
      </c>
      <c r="H150" t="s">
        <v>3</v>
      </c>
      <c r="I150" t="s">
        <v>4</v>
      </c>
      <c r="J150" t="s">
        <v>102</v>
      </c>
      <c r="K150" t="s">
        <v>49</v>
      </c>
      <c r="L150" t="s">
        <v>408</v>
      </c>
      <c r="M150">
        <v>0.6</v>
      </c>
      <c r="N150" t="s">
        <v>8</v>
      </c>
      <c r="O150" t="s">
        <v>9</v>
      </c>
      <c r="P150" t="s">
        <v>376</v>
      </c>
      <c r="Q150" t="s">
        <v>409</v>
      </c>
      <c r="R150">
        <v>37167</v>
      </c>
      <c r="S150" s="1">
        <v>42016</v>
      </c>
      <c r="T150" s="1">
        <v>42021</v>
      </c>
      <c r="U150">
        <v>4.3808999999999996</v>
      </c>
      <c r="V150">
        <v>13</v>
      </c>
      <c r="W150">
        <v>80.23</v>
      </c>
      <c r="X150">
        <v>89257</v>
      </c>
      <c r="Y150">
        <f>cleaneddata[[#This Row],[Unit Price]]-cleaneddata[[#This Row],[Discount]]</f>
        <v>6.2</v>
      </c>
      <c r="Z15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1" spans="1:26" x14ac:dyDescent="0.3">
      <c r="A151">
        <v>824</v>
      </c>
      <c r="B151" t="s">
        <v>410</v>
      </c>
      <c r="C151" t="s">
        <v>23</v>
      </c>
      <c r="D151">
        <v>0.09</v>
      </c>
      <c r="E151">
        <v>260.98</v>
      </c>
      <c r="F151">
        <v>41.91</v>
      </c>
      <c r="G151" t="s">
        <v>2</v>
      </c>
      <c r="H151" t="s">
        <v>3</v>
      </c>
      <c r="I151" t="s">
        <v>4</v>
      </c>
      <c r="J151" t="s">
        <v>93</v>
      </c>
      <c r="K151" t="s">
        <v>6</v>
      </c>
      <c r="L151" t="s">
        <v>411</v>
      </c>
      <c r="M151">
        <v>0.59</v>
      </c>
      <c r="N151" t="s">
        <v>8</v>
      </c>
      <c r="O151" t="s">
        <v>9</v>
      </c>
      <c r="P151" t="s">
        <v>376</v>
      </c>
      <c r="Q151" t="s">
        <v>412</v>
      </c>
      <c r="R151">
        <v>37174</v>
      </c>
      <c r="S151" s="1">
        <v>42016</v>
      </c>
      <c r="T151" s="1">
        <v>42023</v>
      </c>
      <c r="U151">
        <v>-100.744</v>
      </c>
      <c r="V151">
        <v>8</v>
      </c>
      <c r="W151">
        <v>2044.9</v>
      </c>
      <c r="X151">
        <v>89257</v>
      </c>
      <c r="Y151">
        <f>cleaneddata[[#This Row],[Unit Price]]-cleaneddata[[#This Row],[Discount]]</f>
        <v>260.89000000000004</v>
      </c>
      <c r="Z15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2" spans="1:26" x14ac:dyDescent="0.3">
      <c r="A152">
        <v>1424</v>
      </c>
      <c r="B152" t="s">
        <v>413</v>
      </c>
      <c r="C152" t="s">
        <v>23</v>
      </c>
      <c r="D152">
        <v>0.05</v>
      </c>
      <c r="E152">
        <v>350.99</v>
      </c>
      <c r="F152">
        <v>39</v>
      </c>
      <c r="G152" t="s">
        <v>2</v>
      </c>
      <c r="H152" t="s">
        <v>47</v>
      </c>
      <c r="I152" t="s">
        <v>4</v>
      </c>
      <c r="J152" t="s">
        <v>85</v>
      </c>
      <c r="K152" t="s">
        <v>33</v>
      </c>
      <c r="L152" t="s">
        <v>414</v>
      </c>
      <c r="M152">
        <v>0.55000000000000004</v>
      </c>
      <c r="N152" t="s">
        <v>8</v>
      </c>
      <c r="O152" t="s">
        <v>35</v>
      </c>
      <c r="P152" t="s">
        <v>36</v>
      </c>
      <c r="Q152" t="s">
        <v>415</v>
      </c>
      <c r="R152">
        <v>80112</v>
      </c>
      <c r="S152" s="1">
        <v>42016</v>
      </c>
      <c r="T152" s="1">
        <v>42018</v>
      </c>
      <c r="U152">
        <v>451.28039999999999</v>
      </c>
      <c r="V152">
        <v>3</v>
      </c>
      <c r="W152">
        <v>1020.08</v>
      </c>
      <c r="X152">
        <v>89448</v>
      </c>
      <c r="Y152">
        <f>cleaneddata[[#This Row],[Unit Price]]-cleaneddata[[#This Row],[Discount]]</f>
        <v>350.94</v>
      </c>
      <c r="Z15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3" spans="1:26" x14ac:dyDescent="0.3">
      <c r="A153">
        <v>1424</v>
      </c>
      <c r="B153" t="s">
        <v>413</v>
      </c>
      <c r="C153" t="s">
        <v>23</v>
      </c>
      <c r="D153">
        <v>0</v>
      </c>
      <c r="E153">
        <v>8.74</v>
      </c>
      <c r="F153">
        <v>1.39</v>
      </c>
      <c r="G153" t="s">
        <v>14</v>
      </c>
      <c r="H153" t="s">
        <v>47</v>
      </c>
      <c r="I153" t="s">
        <v>24</v>
      </c>
      <c r="J153" t="s">
        <v>321</v>
      </c>
      <c r="K153" t="s">
        <v>49</v>
      </c>
      <c r="L153" t="s">
        <v>416</v>
      </c>
      <c r="M153">
        <v>0.38</v>
      </c>
      <c r="N153" t="s">
        <v>8</v>
      </c>
      <c r="O153" t="s">
        <v>35</v>
      </c>
      <c r="P153" t="s">
        <v>36</v>
      </c>
      <c r="Q153" t="s">
        <v>415</v>
      </c>
      <c r="R153">
        <v>80112</v>
      </c>
      <c r="S153" s="1">
        <v>42016</v>
      </c>
      <c r="T153" s="1">
        <v>42020</v>
      </c>
      <c r="U153">
        <v>44.988</v>
      </c>
      <c r="V153">
        <v>7</v>
      </c>
      <c r="W153">
        <v>65.2</v>
      </c>
      <c r="X153">
        <v>89448</v>
      </c>
      <c r="Y153">
        <f>cleaneddata[[#This Row],[Unit Price]]-cleaneddata[[#This Row],[Discount]]</f>
        <v>8.74</v>
      </c>
      <c r="Z15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4" spans="1:26" x14ac:dyDescent="0.3">
      <c r="A154">
        <v>1424</v>
      </c>
      <c r="B154" t="s">
        <v>413</v>
      </c>
      <c r="C154" t="s">
        <v>23</v>
      </c>
      <c r="D154">
        <v>0.02</v>
      </c>
      <c r="E154">
        <v>1.98</v>
      </c>
      <c r="F154">
        <v>0.7</v>
      </c>
      <c r="G154" t="s">
        <v>14</v>
      </c>
      <c r="H154" t="s">
        <v>47</v>
      </c>
      <c r="I154" t="s">
        <v>24</v>
      </c>
      <c r="J154" t="s">
        <v>152</v>
      </c>
      <c r="K154" t="s">
        <v>26</v>
      </c>
      <c r="L154" t="s">
        <v>417</v>
      </c>
      <c r="M154">
        <v>0.83</v>
      </c>
      <c r="N154" t="s">
        <v>8</v>
      </c>
      <c r="O154" t="s">
        <v>35</v>
      </c>
      <c r="P154" t="s">
        <v>36</v>
      </c>
      <c r="Q154" t="s">
        <v>415</v>
      </c>
      <c r="R154">
        <v>80112</v>
      </c>
      <c r="S154" s="1">
        <v>42016</v>
      </c>
      <c r="T154" s="1">
        <v>42020</v>
      </c>
      <c r="U154">
        <v>-20.732800000000001</v>
      </c>
      <c r="V154">
        <v>11</v>
      </c>
      <c r="W154">
        <v>22.59</v>
      </c>
      <c r="X154">
        <v>89448</v>
      </c>
      <c r="Y154">
        <f>cleaneddata[[#This Row],[Unit Price]]-cleaneddata[[#This Row],[Discount]]</f>
        <v>1.96</v>
      </c>
      <c r="Z15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5" spans="1:26" x14ac:dyDescent="0.3">
      <c r="A155">
        <v>2715</v>
      </c>
      <c r="B155" t="s">
        <v>418</v>
      </c>
      <c r="C155" t="s">
        <v>23</v>
      </c>
      <c r="D155">
        <v>0.01</v>
      </c>
      <c r="E155">
        <v>29.89</v>
      </c>
      <c r="F155">
        <v>1.99</v>
      </c>
      <c r="G155" t="s">
        <v>14</v>
      </c>
      <c r="H155" t="s">
        <v>70</v>
      </c>
      <c r="I155" t="s">
        <v>16</v>
      </c>
      <c r="J155" t="s">
        <v>17</v>
      </c>
      <c r="K155" t="s">
        <v>18</v>
      </c>
      <c r="L155" t="s">
        <v>419</v>
      </c>
      <c r="M155">
        <v>0.5</v>
      </c>
      <c r="N155" t="s">
        <v>8</v>
      </c>
      <c r="O155" t="s">
        <v>28</v>
      </c>
      <c r="P155" t="s">
        <v>265</v>
      </c>
      <c r="Q155" t="s">
        <v>420</v>
      </c>
      <c r="R155">
        <v>48911</v>
      </c>
      <c r="S155" s="1">
        <v>42016</v>
      </c>
      <c r="T155" s="1">
        <v>42020</v>
      </c>
      <c r="U155">
        <v>-74.64</v>
      </c>
      <c r="V155">
        <v>1</v>
      </c>
      <c r="W155">
        <v>31.96</v>
      </c>
      <c r="X155">
        <v>88702</v>
      </c>
      <c r="Y155">
        <f>cleaneddata[[#This Row],[Unit Price]]-cleaneddata[[#This Row],[Discount]]</f>
        <v>29.88</v>
      </c>
      <c r="Z1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6" spans="1:26" x14ac:dyDescent="0.3">
      <c r="A156">
        <v>2069</v>
      </c>
      <c r="B156" t="s">
        <v>421</v>
      </c>
      <c r="C156" t="s">
        <v>92</v>
      </c>
      <c r="D156">
        <v>0.1</v>
      </c>
      <c r="E156">
        <v>40.98</v>
      </c>
      <c r="F156">
        <v>6.5</v>
      </c>
      <c r="G156" t="s">
        <v>14</v>
      </c>
      <c r="H156" t="s">
        <v>15</v>
      </c>
      <c r="I156" t="s">
        <v>16</v>
      </c>
      <c r="J156" t="s">
        <v>17</v>
      </c>
      <c r="K156" t="s">
        <v>49</v>
      </c>
      <c r="L156" t="s">
        <v>422</v>
      </c>
      <c r="M156">
        <v>0.74</v>
      </c>
      <c r="N156" t="s">
        <v>8</v>
      </c>
      <c r="O156" t="s">
        <v>9</v>
      </c>
      <c r="P156" t="s">
        <v>364</v>
      </c>
      <c r="Q156" t="s">
        <v>423</v>
      </c>
      <c r="R156">
        <v>41075</v>
      </c>
      <c r="S156" s="1">
        <v>42016</v>
      </c>
      <c r="T156" s="1">
        <v>42018</v>
      </c>
      <c r="U156">
        <v>66.852000000000004</v>
      </c>
      <c r="V156">
        <v>3</v>
      </c>
      <c r="W156">
        <v>120.34</v>
      </c>
      <c r="X156">
        <v>88554</v>
      </c>
      <c r="Y156">
        <f>cleaneddata[[#This Row],[Unit Price]]-cleaneddata[[#This Row],[Discount]]</f>
        <v>40.879999999999995</v>
      </c>
      <c r="Z15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7" spans="1:26" x14ac:dyDescent="0.3">
      <c r="A157">
        <v>750</v>
      </c>
      <c r="B157" t="s">
        <v>424</v>
      </c>
      <c r="C157" t="s">
        <v>46</v>
      </c>
      <c r="D157">
        <v>0.09</v>
      </c>
      <c r="E157">
        <v>27.75</v>
      </c>
      <c r="F157">
        <v>19.989999999999998</v>
      </c>
      <c r="G157" t="s">
        <v>14</v>
      </c>
      <c r="H157" t="s">
        <v>70</v>
      </c>
      <c r="I157" t="s">
        <v>24</v>
      </c>
      <c r="J157" t="s">
        <v>54</v>
      </c>
      <c r="K157" t="s">
        <v>49</v>
      </c>
      <c r="L157" t="s">
        <v>425</v>
      </c>
      <c r="M157">
        <v>0.67</v>
      </c>
      <c r="N157" t="s">
        <v>8</v>
      </c>
      <c r="O157" t="s">
        <v>9</v>
      </c>
      <c r="P157" t="s">
        <v>364</v>
      </c>
      <c r="Q157" t="s">
        <v>426</v>
      </c>
      <c r="R157">
        <v>41042</v>
      </c>
      <c r="S157" s="1">
        <v>42016</v>
      </c>
      <c r="T157" s="1">
        <v>42017</v>
      </c>
      <c r="U157">
        <v>-224.64400000000001</v>
      </c>
      <c r="V157">
        <v>10</v>
      </c>
      <c r="W157">
        <v>257.52</v>
      </c>
      <c r="X157">
        <v>91200</v>
      </c>
      <c r="Y157">
        <f>cleaneddata[[#This Row],[Unit Price]]-cleaneddata[[#This Row],[Discount]]</f>
        <v>27.66</v>
      </c>
      <c r="Z15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8" spans="1:26" x14ac:dyDescent="0.3">
      <c r="A158">
        <v>2489</v>
      </c>
      <c r="B158" t="s">
        <v>427</v>
      </c>
      <c r="C158" t="s">
        <v>46</v>
      </c>
      <c r="D158">
        <v>7.0000000000000007E-2</v>
      </c>
      <c r="E158">
        <v>65.989999999999995</v>
      </c>
      <c r="F158">
        <v>8.8000000000000007</v>
      </c>
      <c r="G158" t="s">
        <v>14</v>
      </c>
      <c r="H158" t="s">
        <v>47</v>
      </c>
      <c r="I158" t="s">
        <v>16</v>
      </c>
      <c r="J158" t="s">
        <v>111</v>
      </c>
      <c r="K158" t="s">
        <v>49</v>
      </c>
      <c r="L158" t="s">
        <v>428</v>
      </c>
      <c r="M158">
        <v>0.57999999999999996</v>
      </c>
      <c r="N158" t="s">
        <v>8</v>
      </c>
      <c r="O158" t="s">
        <v>35</v>
      </c>
      <c r="P158" t="s">
        <v>66</v>
      </c>
      <c r="Q158" t="s">
        <v>429</v>
      </c>
      <c r="R158">
        <v>94521</v>
      </c>
      <c r="S158" s="1">
        <v>42016</v>
      </c>
      <c r="T158" s="1">
        <v>42016</v>
      </c>
      <c r="U158">
        <v>109.836</v>
      </c>
      <c r="V158">
        <v>9</v>
      </c>
      <c r="W158">
        <v>471.66</v>
      </c>
      <c r="X158">
        <v>86886</v>
      </c>
      <c r="Y158">
        <f>cleaneddata[[#This Row],[Unit Price]]-cleaneddata[[#This Row],[Discount]]</f>
        <v>65.92</v>
      </c>
      <c r="Z15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9" spans="1:26" x14ac:dyDescent="0.3">
      <c r="A159">
        <v>2490</v>
      </c>
      <c r="B159" t="s">
        <v>430</v>
      </c>
      <c r="C159" t="s">
        <v>46</v>
      </c>
      <c r="D159">
        <v>0</v>
      </c>
      <c r="E159">
        <v>10.01</v>
      </c>
      <c r="F159">
        <v>1.99</v>
      </c>
      <c r="G159" t="s">
        <v>63</v>
      </c>
      <c r="H159" t="s">
        <v>47</v>
      </c>
      <c r="I159" t="s">
        <v>16</v>
      </c>
      <c r="J159" t="s">
        <v>17</v>
      </c>
      <c r="K159" t="s">
        <v>18</v>
      </c>
      <c r="L159" t="s">
        <v>431</v>
      </c>
      <c r="M159">
        <v>0.41</v>
      </c>
      <c r="N159" t="s">
        <v>8</v>
      </c>
      <c r="O159" t="s">
        <v>35</v>
      </c>
      <c r="P159" t="s">
        <v>66</v>
      </c>
      <c r="Q159" t="s">
        <v>432</v>
      </c>
      <c r="R159">
        <v>92627</v>
      </c>
      <c r="S159" s="1">
        <v>42016</v>
      </c>
      <c r="T159" s="1">
        <v>42018</v>
      </c>
      <c r="U159">
        <v>82.703400000000002</v>
      </c>
      <c r="V159">
        <v>11</v>
      </c>
      <c r="W159">
        <v>119.86</v>
      </c>
      <c r="X159">
        <v>86886</v>
      </c>
      <c r="Y159">
        <f>cleaneddata[[#This Row],[Unit Price]]-cleaneddata[[#This Row],[Discount]]</f>
        <v>10.01</v>
      </c>
      <c r="Z1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0" spans="1:26" x14ac:dyDescent="0.3">
      <c r="A160">
        <v>2491</v>
      </c>
      <c r="B160" t="s">
        <v>433</v>
      </c>
      <c r="C160" t="s">
        <v>46</v>
      </c>
      <c r="D160">
        <v>7.0000000000000007E-2</v>
      </c>
      <c r="E160">
        <v>65.989999999999995</v>
      </c>
      <c r="F160">
        <v>8.8000000000000007</v>
      </c>
      <c r="G160" t="s">
        <v>14</v>
      </c>
      <c r="H160" t="s">
        <v>47</v>
      </c>
      <c r="I160" t="s">
        <v>16</v>
      </c>
      <c r="J160" t="s">
        <v>111</v>
      </c>
      <c r="K160" t="s">
        <v>49</v>
      </c>
      <c r="L160" t="s">
        <v>428</v>
      </c>
      <c r="M160">
        <v>0.57999999999999996</v>
      </c>
      <c r="N160" t="s">
        <v>8</v>
      </c>
      <c r="O160" t="s">
        <v>35</v>
      </c>
      <c r="P160" t="s">
        <v>66</v>
      </c>
      <c r="Q160" t="s">
        <v>76</v>
      </c>
      <c r="R160">
        <v>90045</v>
      </c>
      <c r="S160" s="1">
        <v>42016</v>
      </c>
      <c r="T160" s="1">
        <v>42016</v>
      </c>
      <c r="U160">
        <v>109.836</v>
      </c>
      <c r="V160">
        <v>37</v>
      </c>
      <c r="W160">
        <v>1939.03</v>
      </c>
      <c r="X160">
        <v>23877</v>
      </c>
      <c r="Y160">
        <f>cleaneddata[[#This Row],[Unit Price]]-cleaneddata[[#This Row],[Discount]]</f>
        <v>65.92</v>
      </c>
      <c r="Z1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1" spans="1:26" x14ac:dyDescent="0.3">
      <c r="A161">
        <v>2491</v>
      </c>
      <c r="B161" t="s">
        <v>433</v>
      </c>
      <c r="C161" t="s">
        <v>46</v>
      </c>
      <c r="D161">
        <v>0</v>
      </c>
      <c r="E161">
        <v>10.01</v>
      </c>
      <c r="F161">
        <v>1.99</v>
      </c>
      <c r="G161" t="s">
        <v>63</v>
      </c>
      <c r="H161" t="s">
        <v>47</v>
      </c>
      <c r="I161" t="s">
        <v>16</v>
      </c>
      <c r="J161" t="s">
        <v>17</v>
      </c>
      <c r="K161" t="s">
        <v>18</v>
      </c>
      <c r="L161" t="s">
        <v>431</v>
      </c>
      <c r="M161">
        <v>0.41</v>
      </c>
      <c r="N161" t="s">
        <v>8</v>
      </c>
      <c r="O161" t="s">
        <v>35</v>
      </c>
      <c r="P161" t="s">
        <v>66</v>
      </c>
      <c r="Q161" t="s">
        <v>76</v>
      </c>
      <c r="R161">
        <v>90045</v>
      </c>
      <c r="S161" s="1">
        <v>42016</v>
      </c>
      <c r="T161" s="1">
        <v>42018</v>
      </c>
      <c r="U161">
        <v>128.03</v>
      </c>
      <c r="V161">
        <v>42</v>
      </c>
      <c r="W161">
        <v>457.63</v>
      </c>
      <c r="X161">
        <v>23877</v>
      </c>
      <c r="Y161">
        <f>cleaneddata[[#This Row],[Unit Price]]-cleaneddata[[#This Row],[Discount]]</f>
        <v>10.01</v>
      </c>
      <c r="Z1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2" spans="1:26" x14ac:dyDescent="0.3">
      <c r="A162">
        <v>2338</v>
      </c>
      <c r="B162" t="s">
        <v>434</v>
      </c>
      <c r="C162" t="s">
        <v>1</v>
      </c>
      <c r="D162">
        <v>0.06</v>
      </c>
      <c r="E162">
        <v>2.08</v>
      </c>
      <c r="F162">
        <v>5.33</v>
      </c>
      <c r="G162" t="s">
        <v>14</v>
      </c>
      <c r="H162" t="s">
        <v>47</v>
      </c>
      <c r="I162" t="s">
        <v>4</v>
      </c>
      <c r="J162" t="s">
        <v>102</v>
      </c>
      <c r="K162" t="s">
        <v>49</v>
      </c>
      <c r="L162" t="s">
        <v>435</v>
      </c>
      <c r="M162">
        <v>0.43</v>
      </c>
      <c r="N162" t="s">
        <v>8</v>
      </c>
      <c r="O162" t="s">
        <v>87</v>
      </c>
      <c r="P162" t="s">
        <v>394</v>
      </c>
      <c r="Q162" t="s">
        <v>436</v>
      </c>
      <c r="R162">
        <v>20740</v>
      </c>
      <c r="S162" s="1">
        <v>42017</v>
      </c>
      <c r="T162" s="1">
        <v>42017</v>
      </c>
      <c r="U162">
        <v>-82.559200000000004</v>
      </c>
      <c r="V162">
        <v>4</v>
      </c>
      <c r="W162">
        <v>9.23</v>
      </c>
      <c r="X162">
        <v>91480</v>
      </c>
      <c r="Y162">
        <f>cleaneddata[[#This Row],[Unit Price]]-cleaneddata[[#This Row],[Discount]]</f>
        <v>2.02</v>
      </c>
      <c r="Z16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3" spans="1:26" x14ac:dyDescent="0.3">
      <c r="A163">
        <v>510</v>
      </c>
      <c r="B163" t="s">
        <v>437</v>
      </c>
      <c r="C163" t="s">
        <v>23</v>
      </c>
      <c r="D163">
        <v>0.02</v>
      </c>
      <c r="E163">
        <v>48.04</v>
      </c>
      <c r="F163">
        <v>5.09</v>
      </c>
      <c r="G163" t="s">
        <v>14</v>
      </c>
      <c r="H163" t="s">
        <v>70</v>
      </c>
      <c r="I163" t="s">
        <v>24</v>
      </c>
      <c r="J163" t="s">
        <v>64</v>
      </c>
      <c r="K163" t="s">
        <v>49</v>
      </c>
      <c r="L163" t="s">
        <v>438</v>
      </c>
      <c r="M163">
        <v>0.37</v>
      </c>
      <c r="N163" t="s">
        <v>8</v>
      </c>
      <c r="O163" t="s">
        <v>35</v>
      </c>
      <c r="P163" t="s">
        <v>66</v>
      </c>
      <c r="Q163" t="s">
        <v>439</v>
      </c>
      <c r="R163">
        <v>95336</v>
      </c>
      <c r="S163" s="1">
        <v>42017</v>
      </c>
      <c r="T163" s="1">
        <v>42017</v>
      </c>
      <c r="U163">
        <v>105.2526</v>
      </c>
      <c r="V163">
        <v>3</v>
      </c>
      <c r="W163">
        <v>152.54</v>
      </c>
      <c r="X163">
        <v>90058</v>
      </c>
      <c r="Y163">
        <f>cleaneddata[[#This Row],[Unit Price]]-cleaneddata[[#This Row],[Discount]]</f>
        <v>48.019999999999996</v>
      </c>
      <c r="Z1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4" spans="1:26" x14ac:dyDescent="0.3">
      <c r="A164">
        <v>570</v>
      </c>
      <c r="B164" t="s">
        <v>440</v>
      </c>
      <c r="C164" t="s">
        <v>23</v>
      </c>
      <c r="D164">
        <v>0.06</v>
      </c>
      <c r="E164">
        <v>7.99</v>
      </c>
      <c r="F164">
        <v>5.03</v>
      </c>
      <c r="G164" t="s">
        <v>14</v>
      </c>
      <c r="H164" t="s">
        <v>15</v>
      </c>
      <c r="I164" t="s">
        <v>16</v>
      </c>
      <c r="J164" t="s">
        <v>111</v>
      </c>
      <c r="K164" t="s">
        <v>120</v>
      </c>
      <c r="L164" t="s">
        <v>441</v>
      </c>
      <c r="M164">
        <v>0.6</v>
      </c>
      <c r="N164" t="s">
        <v>8</v>
      </c>
      <c r="O164" t="s">
        <v>35</v>
      </c>
      <c r="P164" t="s">
        <v>272</v>
      </c>
      <c r="Q164" t="s">
        <v>442</v>
      </c>
      <c r="R164">
        <v>89015</v>
      </c>
      <c r="S164" s="1">
        <v>42017</v>
      </c>
      <c r="T164" s="1">
        <v>42017</v>
      </c>
      <c r="U164">
        <v>-122.133</v>
      </c>
      <c r="V164">
        <v>10</v>
      </c>
      <c r="W164">
        <v>65.739999999999995</v>
      </c>
      <c r="X164">
        <v>88881</v>
      </c>
      <c r="Y164">
        <f>cleaneddata[[#This Row],[Unit Price]]-cleaneddata[[#This Row],[Discount]]</f>
        <v>7.9300000000000006</v>
      </c>
      <c r="Z16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5" spans="1:26" x14ac:dyDescent="0.3">
      <c r="A165">
        <v>576</v>
      </c>
      <c r="B165" t="s">
        <v>443</v>
      </c>
      <c r="C165" t="s">
        <v>23</v>
      </c>
      <c r="D165">
        <v>0.06</v>
      </c>
      <c r="E165">
        <v>4.4800000000000004</v>
      </c>
      <c r="F165">
        <v>49</v>
      </c>
      <c r="G165" t="s">
        <v>14</v>
      </c>
      <c r="H165" t="s">
        <v>70</v>
      </c>
      <c r="I165" t="s">
        <v>24</v>
      </c>
      <c r="J165" t="s">
        <v>71</v>
      </c>
      <c r="K165" t="s">
        <v>40</v>
      </c>
      <c r="L165" t="s">
        <v>444</v>
      </c>
      <c r="M165">
        <v>0.6</v>
      </c>
      <c r="N165" t="s">
        <v>8</v>
      </c>
      <c r="O165" t="s">
        <v>35</v>
      </c>
      <c r="P165" t="s">
        <v>66</v>
      </c>
      <c r="Q165" t="s">
        <v>445</v>
      </c>
      <c r="R165">
        <v>91767</v>
      </c>
      <c r="S165" s="1">
        <v>42017</v>
      </c>
      <c r="T165" s="1">
        <v>42021</v>
      </c>
      <c r="U165">
        <v>-566</v>
      </c>
      <c r="V165">
        <v>4</v>
      </c>
      <c r="W165">
        <v>32.6</v>
      </c>
      <c r="X165">
        <v>88645</v>
      </c>
      <c r="Y165">
        <f>cleaneddata[[#This Row],[Unit Price]]-cleaneddata[[#This Row],[Discount]]</f>
        <v>4.4200000000000008</v>
      </c>
      <c r="Z16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6" spans="1:26" x14ac:dyDescent="0.3">
      <c r="A166">
        <v>2369</v>
      </c>
      <c r="B166" t="s">
        <v>446</v>
      </c>
      <c r="C166" t="s">
        <v>23</v>
      </c>
      <c r="D166">
        <v>7.0000000000000007E-2</v>
      </c>
      <c r="E166">
        <v>5.98</v>
      </c>
      <c r="F166">
        <v>5.79</v>
      </c>
      <c r="G166" t="s">
        <v>14</v>
      </c>
      <c r="H166" t="s">
        <v>15</v>
      </c>
      <c r="I166" t="s">
        <v>24</v>
      </c>
      <c r="J166" t="s">
        <v>64</v>
      </c>
      <c r="K166" t="s">
        <v>49</v>
      </c>
      <c r="L166" t="s">
        <v>447</v>
      </c>
      <c r="M166">
        <v>0.36</v>
      </c>
      <c r="N166" t="s">
        <v>8</v>
      </c>
      <c r="O166" t="s">
        <v>9</v>
      </c>
      <c r="P166" t="s">
        <v>99</v>
      </c>
      <c r="Q166" t="s">
        <v>448</v>
      </c>
      <c r="R166">
        <v>33024</v>
      </c>
      <c r="S166" s="1">
        <v>42017</v>
      </c>
      <c r="T166" s="1">
        <v>42019</v>
      </c>
      <c r="U166">
        <v>-41.972700000000003</v>
      </c>
      <c r="V166">
        <v>13</v>
      </c>
      <c r="W166">
        <v>77.42</v>
      </c>
      <c r="X166">
        <v>90408</v>
      </c>
      <c r="Y166">
        <f>cleaneddata[[#This Row],[Unit Price]]-cleaneddata[[#This Row],[Discount]]</f>
        <v>5.91</v>
      </c>
      <c r="Z1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7" spans="1:26" x14ac:dyDescent="0.3">
      <c r="A167">
        <v>3340</v>
      </c>
      <c r="B167" t="s">
        <v>449</v>
      </c>
      <c r="C167" t="s">
        <v>92</v>
      </c>
      <c r="D167">
        <v>0.08</v>
      </c>
      <c r="E167">
        <v>125.99</v>
      </c>
      <c r="F167">
        <v>4.2</v>
      </c>
      <c r="G167" t="s">
        <v>14</v>
      </c>
      <c r="H167" t="s">
        <v>15</v>
      </c>
      <c r="I167" t="s">
        <v>16</v>
      </c>
      <c r="J167" t="s">
        <v>111</v>
      </c>
      <c r="K167" t="s">
        <v>49</v>
      </c>
      <c r="L167" t="s">
        <v>450</v>
      </c>
      <c r="M167">
        <v>0.56999999999999995</v>
      </c>
      <c r="N167" t="s">
        <v>8</v>
      </c>
      <c r="O167" t="s">
        <v>35</v>
      </c>
      <c r="P167" t="s">
        <v>115</v>
      </c>
      <c r="Q167" t="s">
        <v>451</v>
      </c>
      <c r="R167">
        <v>97060</v>
      </c>
      <c r="S167" s="1">
        <v>42017</v>
      </c>
      <c r="T167" s="1">
        <v>42018</v>
      </c>
      <c r="U167">
        <v>989.81190000000004</v>
      </c>
      <c r="V167">
        <v>14</v>
      </c>
      <c r="W167">
        <v>1434.51</v>
      </c>
      <c r="X167">
        <v>85980</v>
      </c>
      <c r="Y167">
        <f>cleaneddata[[#This Row],[Unit Price]]-cleaneddata[[#This Row],[Discount]]</f>
        <v>125.91</v>
      </c>
      <c r="Z16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8" spans="1:26" x14ac:dyDescent="0.3">
      <c r="A168">
        <v>772</v>
      </c>
      <c r="B168" t="s">
        <v>452</v>
      </c>
      <c r="C168" t="s">
        <v>1</v>
      </c>
      <c r="D168">
        <v>0.08</v>
      </c>
      <c r="E168">
        <v>7.77</v>
      </c>
      <c r="F168">
        <v>9.23</v>
      </c>
      <c r="G168" t="s">
        <v>14</v>
      </c>
      <c r="H168" t="s">
        <v>3</v>
      </c>
      <c r="I168" t="s">
        <v>24</v>
      </c>
      <c r="J168" t="s">
        <v>71</v>
      </c>
      <c r="K168" t="s">
        <v>49</v>
      </c>
      <c r="L168" t="s">
        <v>453</v>
      </c>
      <c r="M168">
        <v>0.57999999999999996</v>
      </c>
      <c r="N168" t="s">
        <v>8</v>
      </c>
      <c r="O168" t="s">
        <v>87</v>
      </c>
      <c r="P168" t="s">
        <v>296</v>
      </c>
      <c r="Q168" t="s">
        <v>454</v>
      </c>
      <c r="R168">
        <v>18103</v>
      </c>
      <c r="S168" s="1">
        <v>42018</v>
      </c>
      <c r="T168" s="1">
        <v>42020</v>
      </c>
      <c r="U168">
        <v>-209.25</v>
      </c>
      <c r="V168">
        <v>7</v>
      </c>
      <c r="W168">
        <v>56.44</v>
      </c>
      <c r="X168">
        <v>88666</v>
      </c>
      <c r="Y168">
        <f>cleaneddata[[#This Row],[Unit Price]]-cleaneddata[[#This Row],[Discount]]</f>
        <v>7.6899999999999995</v>
      </c>
      <c r="Z16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9" spans="1:26" x14ac:dyDescent="0.3">
      <c r="A169">
        <v>772</v>
      </c>
      <c r="B169" t="s">
        <v>452</v>
      </c>
      <c r="C169" t="s">
        <v>1</v>
      </c>
      <c r="D169">
        <v>0.1</v>
      </c>
      <c r="E169">
        <v>18.97</v>
      </c>
      <c r="F169">
        <v>9.5399999999999991</v>
      </c>
      <c r="G169" t="s">
        <v>63</v>
      </c>
      <c r="H169" t="s">
        <v>3</v>
      </c>
      <c r="I169" t="s">
        <v>24</v>
      </c>
      <c r="J169" t="s">
        <v>64</v>
      </c>
      <c r="K169" t="s">
        <v>49</v>
      </c>
      <c r="L169" t="s">
        <v>455</v>
      </c>
      <c r="M169">
        <v>0.37</v>
      </c>
      <c r="N169" t="s">
        <v>8</v>
      </c>
      <c r="O169" t="s">
        <v>87</v>
      </c>
      <c r="P169" t="s">
        <v>296</v>
      </c>
      <c r="Q169" t="s">
        <v>454</v>
      </c>
      <c r="R169">
        <v>18103</v>
      </c>
      <c r="S169" s="1">
        <v>42018</v>
      </c>
      <c r="T169" s="1">
        <v>42020</v>
      </c>
      <c r="U169">
        <v>-9.1636000000000006</v>
      </c>
      <c r="V169">
        <v>3</v>
      </c>
      <c r="W169">
        <v>56.73</v>
      </c>
      <c r="X169">
        <v>88666</v>
      </c>
      <c r="Y169">
        <f>cleaneddata[[#This Row],[Unit Price]]-cleaneddata[[#This Row],[Discount]]</f>
        <v>18.869999999999997</v>
      </c>
      <c r="Z16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0" spans="1:26" x14ac:dyDescent="0.3">
      <c r="A170">
        <v>1636</v>
      </c>
      <c r="B170" t="s">
        <v>404</v>
      </c>
      <c r="C170" t="s">
        <v>1</v>
      </c>
      <c r="D170">
        <v>0.08</v>
      </c>
      <c r="E170">
        <v>115.99</v>
      </c>
      <c r="F170">
        <v>56.14</v>
      </c>
      <c r="G170" t="s">
        <v>2</v>
      </c>
      <c r="H170" t="s">
        <v>47</v>
      </c>
      <c r="I170" t="s">
        <v>16</v>
      </c>
      <c r="J170" t="s">
        <v>32</v>
      </c>
      <c r="K170" t="s">
        <v>33</v>
      </c>
      <c r="L170" t="s">
        <v>456</v>
      </c>
      <c r="M170">
        <v>0.4</v>
      </c>
      <c r="N170" t="s">
        <v>8</v>
      </c>
      <c r="O170" t="s">
        <v>35</v>
      </c>
      <c r="P170" t="s">
        <v>66</v>
      </c>
      <c r="Q170" t="s">
        <v>406</v>
      </c>
      <c r="R170">
        <v>93905</v>
      </c>
      <c r="S170" s="1">
        <v>42018</v>
      </c>
      <c r="T170" s="1">
        <v>42020</v>
      </c>
      <c r="U170">
        <v>-272.860884</v>
      </c>
      <c r="V170">
        <v>5</v>
      </c>
      <c r="W170">
        <v>562.92999999999995</v>
      </c>
      <c r="X170">
        <v>89704</v>
      </c>
      <c r="Y170">
        <f>cleaneddata[[#This Row],[Unit Price]]-cleaneddata[[#This Row],[Discount]]</f>
        <v>115.91</v>
      </c>
      <c r="Z1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1" spans="1:26" x14ac:dyDescent="0.3">
      <c r="A171">
        <v>1636</v>
      </c>
      <c r="B171" t="s">
        <v>404</v>
      </c>
      <c r="C171" t="s">
        <v>1</v>
      </c>
      <c r="D171">
        <v>0.08</v>
      </c>
      <c r="E171">
        <v>4.28</v>
      </c>
      <c r="F171">
        <v>0.94</v>
      </c>
      <c r="G171" t="s">
        <v>14</v>
      </c>
      <c r="H171" t="s">
        <v>47</v>
      </c>
      <c r="I171" t="s">
        <v>24</v>
      </c>
      <c r="J171" t="s">
        <v>25</v>
      </c>
      <c r="K171" t="s">
        <v>26</v>
      </c>
      <c r="L171" t="s">
        <v>457</v>
      </c>
      <c r="M171">
        <v>0.56000000000000005</v>
      </c>
      <c r="N171" t="s">
        <v>8</v>
      </c>
      <c r="O171" t="s">
        <v>35</v>
      </c>
      <c r="P171" t="s">
        <v>66</v>
      </c>
      <c r="Q171" t="s">
        <v>406</v>
      </c>
      <c r="R171">
        <v>93905</v>
      </c>
      <c r="S171" s="1">
        <v>42018</v>
      </c>
      <c r="T171" s="1">
        <v>42021</v>
      </c>
      <c r="U171">
        <v>10.5792</v>
      </c>
      <c r="V171">
        <v>7</v>
      </c>
      <c r="W171">
        <v>29.18</v>
      </c>
      <c r="X171">
        <v>89704</v>
      </c>
      <c r="Y171">
        <f>cleaneddata[[#This Row],[Unit Price]]-cleaneddata[[#This Row],[Discount]]</f>
        <v>4.2</v>
      </c>
      <c r="Z1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2" spans="1:26" x14ac:dyDescent="0.3">
      <c r="A172">
        <v>463</v>
      </c>
      <c r="B172" t="s">
        <v>458</v>
      </c>
      <c r="C172" t="s">
        <v>23</v>
      </c>
      <c r="D172">
        <v>7.0000000000000007E-2</v>
      </c>
      <c r="E172">
        <v>165.2</v>
      </c>
      <c r="F172">
        <v>19.989999999999998</v>
      </c>
      <c r="G172" t="s">
        <v>14</v>
      </c>
      <c r="H172" t="s">
        <v>3</v>
      </c>
      <c r="I172" t="s">
        <v>24</v>
      </c>
      <c r="J172" t="s">
        <v>54</v>
      </c>
      <c r="K172" t="s">
        <v>49</v>
      </c>
      <c r="L172" t="s">
        <v>459</v>
      </c>
      <c r="M172">
        <v>0.59</v>
      </c>
      <c r="N172" t="s">
        <v>8</v>
      </c>
      <c r="O172" t="s">
        <v>35</v>
      </c>
      <c r="P172" t="s">
        <v>66</v>
      </c>
      <c r="Q172" t="s">
        <v>460</v>
      </c>
      <c r="R172">
        <v>90069</v>
      </c>
      <c r="S172" s="1">
        <v>42018</v>
      </c>
      <c r="T172" s="1">
        <v>42020</v>
      </c>
      <c r="U172">
        <v>521.69000000000005</v>
      </c>
      <c r="V172">
        <v>7</v>
      </c>
      <c r="W172">
        <v>1081.54</v>
      </c>
      <c r="X172">
        <v>88061</v>
      </c>
      <c r="Y172">
        <f>cleaneddata[[#This Row],[Unit Price]]-cleaneddata[[#This Row],[Discount]]</f>
        <v>165.13</v>
      </c>
      <c r="Z17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3" spans="1:26" x14ac:dyDescent="0.3">
      <c r="A173">
        <v>3064</v>
      </c>
      <c r="B173" t="s">
        <v>461</v>
      </c>
      <c r="C173" t="s">
        <v>23</v>
      </c>
      <c r="D173">
        <v>0.03</v>
      </c>
      <c r="E173">
        <v>6.45</v>
      </c>
      <c r="F173">
        <v>1.34</v>
      </c>
      <c r="G173" t="s">
        <v>14</v>
      </c>
      <c r="H173" t="s">
        <v>15</v>
      </c>
      <c r="I173" t="s">
        <v>24</v>
      </c>
      <c r="J173" t="s">
        <v>64</v>
      </c>
      <c r="K173" t="s">
        <v>26</v>
      </c>
      <c r="L173" t="s">
        <v>462</v>
      </c>
      <c r="M173">
        <v>0.36</v>
      </c>
      <c r="N173" t="s">
        <v>8</v>
      </c>
      <c r="O173" t="s">
        <v>35</v>
      </c>
      <c r="P173" t="s">
        <v>42</v>
      </c>
      <c r="Q173" t="s">
        <v>463</v>
      </c>
      <c r="R173">
        <v>98503</v>
      </c>
      <c r="S173" s="1">
        <v>42018</v>
      </c>
      <c r="T173" s="1">
        <v>42023</v>
      </c>
      <c r="U173">
        <v>39.129899999999999</v>
      </c>
      <c r="V173">
        <v>9</v>
      </c>
      <c r="W173">
        <v>56.71</v>
      </c>
      <c r="X173">
        <v>88448</v>
      </c>
      <c r="Y173">
        <f>cleaneddata[[#This Row],[Unit Price]]-cleaneddata[[#This Row],[Discount]]</f>
        <v>6.42</v>
      </c>
      <c r="Z17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4" spans="1:26" x14ac:dyDescent="0.3">
      <c r="A174">
        <v>3148</v>
      </c>
      <c r="B174" t="s">
        <v>464</v>
      </c>
      <c r="C174" t="s">
        <v>92</v>
      </c>
      <c r="D174">
        <v>0.06</v>
      </c>
      <c r="E174">
        <v>19.989999999999998</v>
      </c>
      <c r="F174">
        <v>11.17</v>
      </c>
      <c r="G174" t="s">
        <v>14</v>
      </c>
      <c r="H174" t="s">
        <v>70</v>
      </c>
      <c r="I174" t="s">
        <v>4</v>
      </c>
      <c r="J174" t="s">
        <v>102</v>
      </c>
      <c r="K174" t="s">
        <v>40</v>
      </c>
      <c r="L174" t="s">
        <v>465</v>
      </c>
      <c r="M174">
        <v>0.6</v>
      </c>
      <c r="N174" t="s">
        <v>8</v>
      </c>
      <c r="O174" t="s">
        <v>35</v>
      </c>
      <c r="P174" t="s">
        <v>466</v>
      </c>
      <c r="Q174" t="s">
        <v>467</v>
      </c>
      <c r="R174">
        <v>83854</v>
      </c>
      <c r="S174" s="1">
        <v>42018</v>
      </c>
      <c r="T174" s="1">
        <v>42018</v>
      </c>
      <c r="U174">
        <v>-66.823599999999999</v>
      </c>
      <c r="V174">
        <v>7</v>
      </c>
      <c r="W174">
        <v>139.49</v>
      </c>
      <c r="X174">
        <v>89716</v>
      </c>
      <c r="Y174">
        <f>cleaneddata[[#This Row],[Unit Price]]-cleaneddata[[#This Row],[Discount]]</f>
        <v>19.93</v>
      </c>
      <c r="Z1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5" spans="1:26" x14ac:dyDescent="0.3">
      <c r="A175">
        <v>3149</v>
      </c>
      <c r="B175" t="s">
        <v>468</v>
      </c>
      <c r="C175" t="s">
        <v>92</v>
      </c>
      <c r="D175">
        <v>0.06</v>
      </c>
      <c r="E175">
        <v>320.98</v>
      </c>
      <c r="F175">
        <v>58.95</v>
      </c>
      <c r="G175" t="s">
        <v>2</v>
      </c>
      <c r="H175" t="s">
        <v>70</v>
      </c>
      <c r="I175" t="s">
        <v>4</v>
      </c>
      <c r="J175" t="s">
        <v>85</v>
      </c>
      <c r="K175" t="s">
        <v>33</v>
      </c>
      <c r="L175" t="s">
        <v>469</v>
      </c>
      <c r="M175">
        <v>0.56999999999999995</v>
      </c>
      <c r="N175" t="s">
        <v>8</v>
      </c>
      <c r="O175" t="s">
        <v>35</v>
      </c>
      <c r="P175" t="s">
        <v>466</v>
      </c>
      <c r="Q175" t="s">
        <v>470</v>
      </c>
      <c r="R175">
        <v>83440</v>
      </c>
      <c r="S175" s="1">
        <v>42018</v>
      </c>
      <c r="T175" s="1">
        <v>42020</v>
      </c>
      <c r="U175">
        <v>971.62199999999996</v>
      </c>
      <c r="V175">
        <v>6</v>
      </c>
      <c r="W175">
        <v>1952.43</v>
      </c>
      <c r="X175">
        <v>89716</v>
      </c>
      <c r="Y175">
        <f>cleaneddata[[#This Row],[Unit Price]]-cleaneddata[[#This Row],[Discount]]</f>
        <v>320.92</v>
      </c>
      <c r="Z1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6" spans="1:26" x14ac:dyDescent="0.3">
      <c r="A176">
        <v>2820</v>
      </c>
      <c r="B176" t="s">
        <v>471</v>
      </c>
      <c r="C176" t="s">
        <v>46</v>
      </c>
      <c r="D176">
        <v>0.1</v>
      </c>
      <c r="E176">
        <v>22.01</v>
      </c>
      <c r="F176">
        <v>5.53</v>
      </c>
      <c r="G176" t="s">
        <v>14</v>
      </c>
      <c r="H176" t="s">
        <v>47</v>
      </c>
      <c r="I176" t="s">
        <v>24</v>
      </c>
      <c r="J176" t="s">
        <v>25</v>
      </c>
      <c r="K176" t="s">
        <v>18</v>
      </c>
      <c r="L176" t="s">
        <v>472</v>
      </c>
      <c r="M176">
        <v>0.59</v>
      </c>
      <c r="N176" t="s">
        <v>8</v>
      </c>
      <c r="O176" t="s">
        <v>28</v>
      </c>
      <c r="P176" t="s">
        <v>56</v>
      </c>
      <c r="Q176" t="s">
        <v>473</v>
      </c>
      <c r="R176">
        <v>63129</v>
      </c>
      <c r="S176" s="1">
        <v>42018</v>
      </c>
      <c r="T176" s="1">
        <v>42019</v>
      </c>
      <c r="U176">
        <v>31.59</v>
      </c>
      <c r="V176">
        <v>14</v>
      </c>
      <c r="W176">
        <v>281.75</v>
      </c>
      <c r="X176">
        <v>87900</v>
      </c>
      <c r="Y176">
        <f>cleaneddata[[#This Row],[Unit Price]]-cleaneddata[[#This Row],[Discount]]</f>
        <v>21.91</v>
      </c>
      <c r="Z17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7" spans="1:26" x14ac:dyDescent="0.3">
      <c r="A177">
        <v>3225</v>
      </c>
      <c r="B177" t="s">
        <v>474</v>
      </c>
      <c r="C177" t="s">
        <v>46</v>
      </c>
      <c r="D177">
        <v>0.1</v>
      </c>
      <c r="E177">
        <v>208.16</v>
      </c>
      <c r="F177">
        <v>68.02</v>
      </c>
      <c r="G177" t="s">
        <v>2</v>
      </c>
      <c r="H177" t="s">
        <v>3</v>
      </c>
      <c r="I177" t="s">
        <v>24</v>
      </c>
      <c r="J177" t="s">
        <v>71</v>
      </c>
      <c r="K177" t="s">
        <v>33</v>
      </c>
      <c r="L177" t="s">
        <v>475</v>
      </c>
      <c r="M177">
        <v>0.57999999999999996</v>
      </c>
      <c r="N177" t="s">
        <v>8</v>
      </c>
      <c r="O177" t="s">
        <v>9</v>
      </c>
      <c r="P177" t="s">
        <v>376</v>
      </c>
      <c r="Q177" t="s">
        <v>476</v>
      </c>
      <c r="R177">
        <v>38138</v>
      </c>
      <c r="S177" s="1">
        <v>42018</v>
      </c>
      <c r="T177" s="1">
        <v>42018</v>
      </c>
      <c r="U177">
        <v>-137.52199999999999</v>
      </c>
      <c r="V177">
        <v>4</v>
      </c>
      <c r="W177">
        <v>768.81</v>
      </c>
      <c r="X177">
        <v>86507</v>
      </c>
      <c r="Y177">
        <f>cleaneddata[[#This Row],[Unit Price]]-cleaneddata[[#This Row],[Discount]]</f>
        <v>208.06</v>
      </c>
      <c r="Z1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8" spans="1:26" x14ac:dyDescent="0.3">
      <c r="A178">
        <v>3226</v>
      </c>
      <c r="B178" t="s">
        <v>477</v>
      </c>
      <c r="C178" t="s">
        <v>46</v>
      </c>
      <c r="D178">
        <v>7.0000000000000007E-2</v>
      </c>
      <c r="E178">
        <v>90.48</v>
      </c>
      <c r="F178">
        <v>19.989999999999998</v>
      </c>
      <c r="G178" t="s">
        <v>14</v>
      </c>
      <c r="H178" t="s">
        <v>3</v>
      </c>
      <c r="I178" t="s">
        <v>24</v>
      </c>
      <c r="J178" t="s">
        <v>321</v>
      </c>
      <c r="K178" t="s">
        <v>49</v>
      </c>
      <c r="L178" t="s">
        <v>478</v>
      </c>
      <c r="M178">
        <v>0.4</v>
      </c>
      <c r="N178" t="s">
        <v>8</v>
      </c>
      <c r="O178" t="s">
        <v>9</v>
      </c>
      <c r="P178" t="s">
        <v>376</v>
      </c>
      <c r="Q178" t="s">
        <v>479</v>
      </c>
      <c r="R178">
        <v>37075</v>
      </c>
      <c r="S178" s="1">
        <v>42018</v>
      </c>
      <c r="T178" s="1">
        <v>42019</v>
      </c>
      <c r="U178">
        <v>-11.816000000000001</v>
      </c>
      <c r="V178">
        <v>2</v>
      </c>
      <c r="W178">
        <v>183.39</v>
      </c>
      <c r="X178">
        <v>86507</v>
      </c>
      <c r="Y178">
        <f>cleaneddata[[#This Row],[Unit Price]]-cleaneddata[[#This Row],[Discount]]</f>
        <v>90.410000000000011</v>
      </c>
      <c r="Z1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9" spans="1:26" x14ac:dyDescent="0.3">
      <c r="A179">
        <v>3226</v>
      </c>
      <c r="B179" t="s">
        <v>477</v>
      </c>
      <c r="C179" t="s">
        <v>46</v>
      </c>
      <c r="D179">
        <v>0.01</v>
      </c>
      <c r="E179">
        <v>9.48</v>
      </c>
      <c r="F179">
        <v>7.29</v>
      </c>
      <c r="G179" t="s">
        <v>63</v>
      </c>
      <c r="H179" t="s">
        <v>3</v>
      </c>
      <c r="I179" t="s">
        <v>4</v>
      </c>
      <c r="J179" t="s">
        <v>102</v>
      </c>
      <c r="K179" t="s">
        <v>18</v>
      </c>
      <c r="L179" t="s">
        <v>480</v>
      </c>
      <c r="M179">
        <v>0.45</v>
      </c>
      <c r="N179" t="s">
        <v>8</v>
      </c>
      <c r="O179" t="s">
        <v>9</v>
      </c>
      <c r="P179" t="s">
        <v>376</v>
      </c>
      <c r="Q179" t="s">
        <v>479</v>
      </c>
      <c r="R179">
        <v>37075</v>
      </c>
      <c r="S179" s="1">
        <v>42018</v>
      </c>
      <c r="T179" s="1">
        <v>42020</v>
      </c>
      <c r="U179">
        <v>238.93379999999999</v>
      </c>
      <c r="V179">
        <v>1</v>
      </c>
      <c r="W179">
        <v>12.9</v>
      </c>
      <c r="X179">
        <v>86507</v>
      </c>
      <c r="Y179">
        <f>cleaneddata[[#This Row],[Unit Price]]-cleaneddata[[#This Row],[Discount]]</f>
        <v>9.4700000000000006</v>
      </c>
      <c r="Z17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0" spans="1:26" x14ac:dyDescent="0.3">
      <c r="A180">
        <v>3226</v>
      </c>
      <c r="B180" t="s">
        <v>477</v>
      </c>
      <c r="C180" t="s">
        <v>46</v>
      </c>
      <c r="D180">
        <v>0.02</v>
      </c>
      <c r="E180">
        <v>4.28</v>
      </c>
      <c r="F180">
        <v>0.94</v>
      </c>
      <c r="G180" t="s">
        <v>14</v>
      </c>
      <c r="H180" t="s">
        <v>3</v>
      </c>
      <c r="I180" t="s">
        <v>24</v>
      </c>
      <c r="J180" t="s">
        <v>25</v>
      </c>
      <c r="K180" t="s">
        <v>26</v>
      </c>
      <c r="L180" t="s">
        <v>457</v>
      </c>
      <c r="M180">
        <v>0.56000000000000005</v>
      </c>
      <c r="N180" t="s">
        <v>8</v>
      </c>
      <c r="O180" t="s">
        <v>9</v>
      </c>
      <c r="P180" t="s">
        <v>376</v>
      </c>
      <c r="Q180" t="s">
        <v>479</v>
      </c>
      <c r="R180">
        <v>37075</v>
      </c>
      <c r="S180" s="1">
        <v>42018</v>
      </c>
      <c r="T180" s="1">
        <v>42019</v>
      </c>
      <c r="U180">
        <v>-105.126</v>
      </c>
      <c r="V180">
        <v>4</v>
      </c>
      <c r="W180">
        <v>17.89</v>
      </c>
      <c r="X180">
        <v>86507</v>
      </c>
      <c r="Y180">
        <f>cleaneddata[[#This Row],[Unit Price]]-cleaneddata[[#This Row],[Discount]]</f>
        <v>4.2600000000000007</v>
      </c>
      <c r="Z18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1" spans="1:26" x14ac:dyDescent="0.3">
      <c r="A181">
        <v>152</v>
      </c>
      <c r="B181" t="s">
        <v>481</v>
      </c>
      <c r="C181" t="s">
        <v>1</v>
      </c>
      <c r="D181">
        <v>0.09</v>
      </c>
      <c r="E181">
        <v>2.88</v>
      </c>
      <c r="F181">
        <v>0.7</v>
      </c>
      <c r="G181" t="s">
        <v>14</v>
      </c>
      <c r="H181" t="s">
        <v>15</v>
      </c>
      <c r="I181" t="s">
        <v>24</v>
      </c>
      <c r="J181" t="s">
        <v>25</v>
      </c>
      <c r="K181" t="s">
        <v>26</v>
      </c>
      <c r="L181" t="s">
        <v>482</v>
      </c>
      <c r="M181">
        <v>0.56000000000000005</v>
      </c>
      <c r="N181" t="s">
        <v>8</v>
      </c>
      <c r="O181" t="s">
        <v>9</v>
      </c>
      <c r="P181" t="s">
        <v>376</v>
      </c>
      <c r="Q181" t="s">
        <v>483</v>
      </c>
      <c r="R181">
        <v>37918</v>
      </c>
      <c r="S181" s="1">
        <v>42019</v>
      </c>
      <c r="T181" s="1">
        <v>42020</v>
      </c>
      <c r="U181">
        <v>-172.71799999999999</v>
      </c>
      <c r="V181">
        <v>2</v>
      </c>
      <c r="W181">
        <v>5.5</v>
      </c>
      <c r="X181">
        <v>89520</v>
      </c>
      <c r="Y181">
        <f>cleaneddata[[#This Row],[Unit Price]]-cleaneddata[[#This Row],[Discount]]</f>
        <v>2.79</v>
      </c>
      <c r="Z18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2" spans="1:26" x14ac:dyDescent="0.3">
      <c r="A182">
        <v>2791</v>
      </c>
      <c r="B182" t="s">
        <v>484</v>
      </c>
      <c r="C182" t="s">
        <v>1</v>
      </c>
      <c r="D182">
        <v>0.09</v>
      </c>
      <c r="E182">
        <v>2.88</v>
      </c>
      <c r="F182">
        <v>0.7</v>
      </c>
      <c r="G182" t="s">
        <v>14</v>
      </c>
      <c r="H182" t="s">
        <v>70</v>
      </c>
      <c r="I182" t="s">
        <v>24</v>
      </c>
      <c r="J182" t="s">
        <v>25</v>
      </c>
      <c r="K182" t="s">
        <v>26</v>
      </c>
      <c r="L182" t="s">
        <v>485</v>
      </c>
      <c r="M182">
        <v>0.56000000000000005</v>
      </c>
      <c r="N182" t="s">
        <v>8</v>
      </c>
      <c r="O182" t="s">
        <v>28</v>
      </c>
      <c r="P182" t="s">
        <v>265</v>
      </c>
      <c r="Q182" t="s">
        <v>486</v>
      </c>
      <c r="R182">
        <v>48071</v>
      </c>
      <c r="S182" s="1">
        <v>42019</v>
      </c>
      <c r="T182" s="1">
        <v>42019</v>
      </c>
      <c r="U182">
        <v>4.8499999999999996</v>
      </c>
      <c r="V182">
        <v>7</v>
      </c>
      <c r="W182">
        <v>19.29</v>
      </c>
      <c r="X182">
        <v>88758</v>
      </c>
      <c r="Y182">
        <f>cleaneddata[[#This Row],[Unit Price]]-cleaneddata[[#This Row],[Discount]]</f>
        <v>2.79</v>
      </c>
      <c r="Z18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3" spans="1:26" x14ac:dyDescent="0.3">
      <c r="A183">
        <v>428</v>
      </c>
      <c r="B183" t="s">
        <v>487</v>
      </c>
      <c r="C183" t="s">
        <v>13</v>
      </c>
      <c r="D183">
        <v>0.02</v>
      </c>
      <c r="E183">
        <v>15.28</v>
      </c>
      <c r="F183">
        <v>1.99</v>
      </c>
      <c r="G183" t="s">
        <v>14</v>
      </c>
      <c r="H183" t="s">
        <v>70</v>
      </c>
      <c r="I183" t="s">
        <v>16</v>
      </c>
      <c r="J183" t="s">
        <v>17</v>
      </c>
      <c r="K183" t="s">
        <v>18</v>
      </c>
      <c r="L183" t="s">
        <v>488</v>
      </c>
      <c r="M183">
        <v>0.42</v>
      </c>
      <c r="N183" t="s">
        <v>8</v>
      </c>
      <c r="O183" t="s">
        <v>35</v>
      </c>
      <c r="P183" t="s">
        <v>272</v>
      </c>
      <c r="Q183" t="s">
        <v>489</v>
      </c>
      <c r="R183">
        <v>89701</v>
      </c>
      <c r="S183" s="1">
        <v>42019</v>
      </c>
      <c r="T183" s="1">
        <v>42020</v>
      </c>
      <c r="U183">
        <v>163.1574</v>
      </c>
      <c r="V183">
        <v>15</v>
      </c>
      <c r="W183">
        <v>236.46</v>
      </c>
      <c r="X183">
        <v>88479</v>
      </c>
      <c r="Y183">
        <f>cleaneddata[[#This Row],[Unit Price]]-cleaneddata[[#This Row],[Discount]]</f>
        <v>15.26</v>
      </c>
      <c r="Z18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4" spans="1:26" x14ac:dyDescent="0.3">
      <c r="A184">
        <v>428</v>
      </c>
      <c r="B184" t="s">
        <v>487</v>
      </c>
      <c r="C184" t="s">
        <v>13</v>
      </c>
      <c r="D184">
        <v>0</v>
      </c>
      <c r="E184">
        <v>85.99</v>
      </c>
      <c r="F184">
        <v>3.3</v>
      </c>
      <c r="G184" t="s">
        <v>14</v>
      </c>
      <c r="H184" t="s">
        <v>70</v>
      </c>
      <c r="I184" t="s">
        <v>16</v>
      </c>
      <c r="J184" t="s">
        <v>111</v>
      </c>
      <c r="K184" t="s">
        <v>18</v>
      </c>
      <c r="L184" t="s">
        <v>490</v>
      </c>
      <c r="M184">
        <v>0.37</v>
      </c>
      <c r="N184" t="s">
        <v>8</v>
      </c>
      <c r="O184" t="s">
        <v>35</v>
      </c>
      <c r="P184" t="s">
        <v>272</v>
      </c>
      <c r="Q184" t="s">
        <v>489</v>
      </c>
      <c r="R184">
        <v>89701</v>
      </c>
      <c r="S184" s="1">
        <v>42019</v>
      </c>
      <c r="T184" s="1">
        <v>42020</v>
      </c>
      <c r="U184">
        <v>-302.22500000000002</v>
      </c>
      <c r="V184">
        <v>1</v>
      </c>
      <c r="W184">
        <v>73.819999999999993</v>
      </c>
      <c r="X184">
        <v>88479</v>
      </c>
      <c r="Y184">
        <f>cleaneddata[[#This Row],[Unit Price]]-cleaneddata[[#This Row],[Discount]]</f>
        <v>85.99</v>
      </c>
      <c r="Z18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5" spans="1:26" x14ac:dyDescent="0.3">
      <c r="A185">
        <v>1212</v>
      </c>
      <c r="B185" t="s">
        <v>491</v>
      </c>
      <c r="C185" t="s">
        <v>13</v>
      </c>
      <c r="D185">
        <v>0.08</v>
      </c>
      <c r="E185">
        <v>4.91</v>
      </c>
      <c r="F185">
        <v>4.97</v>
      </c>
      <c r="G185" t="s">
        <v>14</v>
      </c>
      <c r="H185" t="s">
        <v>70</v>
      </c>
      <c r="I185" t="s">
        <v>24</v>
      </c>
      <c r="J185" t="s">
        <v>48</v>
      </c>
      <c r="K185" t="s">
        <v>49</v>
      </c>
      <c r="L185" t="s">
        <v>492</v>
      </c>
      <c r="M185">
        <v>0.38</v>
      </c>
      <c r="N185" t="s">
        <v>8</v>
      </c>
      <c r="O185" t="s">
        <v>28</v>
      </c>
      <c r="P185" t="s">
        <v>29</v>
      </c>
      <c r="Q185" t="s">
        <v>493</v>
      </c>
      <c r="R185">
        <v>46404</v>
      </c>
      <c r="S185" s="1">
        <v>42019</v>
      </c>
      <c r="T185" s="1">
        <v>42020</v>
      </c>
      <c r="U185">
        <v>-99.762500000000003</v>
      </c>
      <c r="V185">
        <v>12</v>
      </c>
      <c r="W185">
        <v>58.95</v>
      </c>
      <c r="X185">
        <v>88600</v>
      </c>
      <c r="Y185">
        <f>cleaneddata[[#This Row],[Unit Price]]-cleaneddata[[#This Row],[Discount]]</f>
        <v>4.83</v>
      </c>
      <c r="Z18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6" spans="1:26" x14ac:dyDescent="0.3">
      <c r="A186">
        <v>1212</v>
      </c>
      <c r="B186" t="s">
        <v>491</v>
      </c>
      <c r="C186" t="s">
        <v>13</v>
      </c>
      <c r="D186">
        <v>0.01</v>
      </c>
      <c r="E186">
        <v>3499.99</v>
      </c>
      <c r="F186">
        <v>24.49</v>
      </c>
      <c r="G186" t="s">
        <v>14</v>
      </c>
      <c r="H186" t="s">
        <v>70</v>
      </c>
      <c r="I186" t="s">
        <v>16</v>
      </c>
      <c r="J186" t="s">
        <v>39</v>
      </c>
      <c r="K186" t="s">
        <v>40</v>
      </c>
      <c r="L186" t="s">
        <v>494</v>
      </c>
      <c r="M186">
        <v>0.37</v>
      </c>
      <c r="N186" t="s">
        <v>8</v>
      </c>
      <c r="O186" t="s">
        <v>28</v>
      </c>
      <c r="P186" t="s">
        <v>29</v>
      </c>
      <c r="Q186" t="s">
        <v>493</v>
      </c>
      <c r="R186">
        <v>46404</v>
      </c>
      <c r="S186" s="1">
        <v>42019</v>
      </c>
      <c r="T186" s="1">
        <v>42020</v>
      </c>
      <c r="U186">
        <v>-3061.82</v>
      </c>
      <c r="V186">
        <v>1</v>
      </c>
      <c r="W186">
        <v>3672.89</v>
      </c>
      <c r="X186">
        <v>88600</v>
      </c>
      <c r="Y186">
        <f>cleaneddata[[#This Row],[Unit Price]]-cleaneddata[[#This Row],[Discount]]</f>
        <v>3499.9799999999996</v>
      </c>
      <c r="Z18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7" spans="1:26" x14ac:dyDescent="0.3">
      <c r="A187">
        <v>1213</v>
      </c>
      <c r="B187" t="s">
        <v>495</v>
      </c>
      <c r="C187" t="s">
        <v>13</v>
      </c>
      <c r="D187">
        <v>0.03</v>
      </c>
      <c r="E187">
        <v>5.84</v>
      </c>
      <c r="F187">
        <v>1.2</v>
      </c>
      <c r="G187" t="s">
        <v>14</v>
      </c>
      <c r="H187" t="s">
        <v>70</v>
      </c>
      <c r="I187" t="s">
        <v>24</v>
      </c>
      <c r="J187" t="s">
        <v>25</v>
      </c>
      <c r="K187" t="s">
        <v>26</v>
      </c>
      <c r="L187" t="s">
        <v>44</v>
      </c>
      <c r="M187">
        <v>0.55000000000000004</v>
      </c>
      <c r="N187" t="s">
        <v>8</v>
      </c>
      <c r="O187" t="s">
        <v>28</v>
      </c>
      <c r="P187" t="s">
        <v>29</v>
      </c>
      <c r="Q187" t="s">
        <v>496</v>
      </c>
      <c r="R187">
        <v>46530</v>
      </c>
      <c r="S187" s="1">
        <v>42019</v>
      </c>
      <c r="T187" s="1">
        <v>42021</v>
      </c>
      <c r="U187">
        <v>-0.01</v>
      </c>
      <c r="V187">
        <v>2</v>
      </c>
      <c r="W187">
        <v>11.74</v>
      </c>
      <c r="X187">
        <v>88600</v>
      </c>
      <c r="Y187">
        <f>cleaneddata[[#This Row],[Unit Price]]-cleaneddata[[#This Row],[Discount]]</f>
        <v>5.81</v>
      </c>
      <c r="Z1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8" spans="1:26" x14ac:dyDescent="0.3">
      <c r="A188">
        <v>1632</v>
      </c>
      <c r="B188" t="s">
        <v>497</v>
      </c>
      <c r="C188" t="s">
        <v>13</v>
      </c>
      <c r="D188">
        <v>0.08</v>
      </c>
      <c r="E188">
        <v>8.09</v>
      </c>
      <c r="F188">
        <v>7.96</v>
      </c>
      <c r="G188" t="s">
        <v>63</v>
      </c>
      <c r="H188" t="s">
        <v>47</v>
      </c>
      <c r="I188" t="s">
        <v>4</v>
      </c>
      <c r="J188" t="s">
        <v>102</v>
      </c>
      <c r="K188" t="s">
        <v>49</v>
      </c>
      <c r="L188" t="s">
        <v>498</v>
      </c>
      <c r="M188">
        <v>0.49</v>
      </c>
      <c r="N188" t="s">
        <v>8</v>
      </c>
      <c r="O188" t="s">
        <v>9</v>
      </c>
      <c r="P188" t="s">
        <v>10</v>
      </c>
      <c r="Q188" t="s">
        <v>499</v>
      </c>
      <c r="R188">
        <v>39401</v>
      </c>
      <c r="S188" s="1">
        <v>42019</v>
      </c>
      <c r="T188" s="1">
        <v>42020</v>
      </c>
      <c r="U188">
        <v>15.984</v>
      </c>
      <c r="V188">
        <v>6</v>
      </c>
      <c r="W188">
        <v>48.25</v>
      </c>
      <c r="X188">
        <v>90530</v>
      </c>
      <c r="Y188">
        <f>cleaneddata[[#This Row],[Unit Price]]-cleaneddata[[#This Row],[Discount]]</f>
        <v>8.01</v>
      </c>
      <c r="Z1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9" spans="1:26" x14ac:dyDescent="0.3">
      <c r="A189">
        <v>3035</v>
      </c>
      <c r="B189" t="s">
        <v>500</v>
      </c>
      <c r="C189" t="s">
        <v>23</v>
      </c>
      <c r="D189">
        <v>0.01</v>
      </c>
      <c r="E189">
        <v>4.9800000000000004</v>
      </c>
      <c r="F189">
        <v>4.75</v>
      </c>
      <c r="G189" t="s">
        <v>14</v>
      </c>
      <c r="H189" t="s">
        <v>47</v>
      </c>
      <c r="I189" t="s">
        <v>24</v>
      </c>
      <c r="J189" t="s">
        <v>64</v>
      </c>
      <c r="K189" t="s">
        <v>49</v>
      </c>
      <c r="L189" t="s">
        <v>501</v>
      </c>
      <c r="M189">
        <v>0.36</v>
      </c>
      <c r="N189" t="s">
        <v>8</v>
      </c>
      <c r="O189" t="s">
        <v>28</v>
      </c>
      <c r="P189" t="s">
        <v>79</v>
      </c>
      <c r="Q189" t="s">
        <v>502</v>
      </c>
      <c r="R189">
        <v>60148</v>
      </c>
      <c r="S189" s="1">
        <v>42019</v>
      </c>
      <c r="T189" s="1">
        <v>42024</v>
      </c>
      <c r="U189">
        <v>-75.900400000000005</v>
      </c>
      <c r="V189">
        <v>10</v>
      </c>
      <c r="W189">
        <v>52.93</v>
      </c>
      <c r="X189">
        <v>89128</v>
      </c>
      <c r="Y189">
        <f>cleaneddata[[#This Row],[Unit Price]]-cleaneddata[[#This Row],[Discount]]</f>
        <v>4.9700000000000006</v>
      </c>
      <c r="Z18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0" spans="1:26" x14ac:dyDescent="0.3">
      <c r="A190">
        <v>3035</v>
      </c>
      <c r="B190" t="s">
        <v>500</v>
      </c>
      <c r="C190" t="s">
        <v>23</v>
      </c>
      <c r="D190">
        <v>0.04</v>
      </c>
      <c r="E190">
        <v>6.35</v>
      </c>
      <c r="F190">
        <v>1.02</v>
      </c>
      <c r="G190" t="s">
        <v>14</v>
      </c>
      <c r="H190" t="s">
        <v>47</v>
      </c>
      <c r="I190" t="s">
        <v>24</v>
      </c>
      <c r="J190" t="s">
        <v>64</v>
      </c>
      <c r="K190" t="s">
        <v>26</v>
      </c>
      <c r="L190" t="s">
        <v>503</v>
      </c>
      <c r="M190">
        <v>0.39</v>
      </c>
      <c r="N190" t="s">
        <v>8</v>
      </c>
      <c r="O190" t="s">
        <v>28</v>
      </c>
      <c r="P190" t="s">
        <v>79</v>
      </c>
      <c r="Q190" t="s">
        <v>502</v>
      </c>
      <c r="R190">
        <v>60148</v>
      </c>
      <c r="S190" s="1">
        <v>42019</v>
      </c>
      <c r="T190" s="1">
        <v>42024</v>
      </c>
      <c r="U190">
        <v>52.170900000000003</v>
      </c>
      <c r="V190">
        <v>12</v>
      </c>
      <c r="W190">
        <v>75.61</v>
      </c>
      <c r="X190">
        <v>89128</v>
      </c>
      <c r="Y190">
        <f>cleaneddata[[#This Row],[Unit Price]]-cleaneddata[[#This Row],[Discount]]</f>
        <v>6.31</v>
      </c>
      <c r="Z19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1" spans="1:26" x14ac:dyDescent="0.3">
      <c r="A191">
        <v>145</v>
      </c>
      <c r="B191" t="s">
        <v>504</v>
      </c>
      <c r="C191" t="s">
        <v>92</v>
      </c>
      <c r="D191">
        <v>0.06</v>
      </c>
      <c r="E191">
        <v>7.04</v>
      </c>
      <c r="F191">
        <v>2.17</v>
      </c>
      <c r="G191" t="s">
        <v>14</v>
      </c>
      <c r="H191" t="s">
        <v>3</v>
      </c>
      <c r="I191" t="s">
        <v>24</v>
      </c>
      <c r="J191" t="s">
        <v>64</v>
      </c>
      <c r="K191" t="s">
        <v>26</v>
      </c>
      <c r="L191" t="s">
        <v>505</v>
      </c>
      <c r="M191">
        <v>0.38</v>
      </c>
      <c r="N191" t="s">
        <v>8</v>
      </c>
      <c r="O191" t="s">
        <v>87</v>
      </c>
      <c r="P191" t="s">
        <v>296</v>
      </c>
      <c r="Q191" t="s">
        <v>506</v>
      </c>
      <c r="R191">
        <v>15122</v>
      </c>
      <c r="S191" s="1">
        <v>42019</v>
      </c>
      <c r="T191" s="1">
        <v>42021</v>
      </c>
      <c r="U191">
        <v>2.4851999999999999</v>
      </c>
      <c r="V191">
        <v>2</v>
      </c>
      <c r="W191">
        <v>14.65</v>
      </c>
      <c r="X191">
        <v>91086</v>
      </c>
      <c r="Y191">
        <f>cleaneddata[[#This Row],[Unit Price]]-cleaneddata[[#This Row],[Discount]]</f>
        <v>6.98</v>
      </c>
      <c r="Z19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2" spans="1:26" x14ac:dyDescent="0.3">
      <c r="A192">
        <v>1402</v>
      </c>
      <c r="B192" t="s">
        <v>507</v>
      </c>
      <c r="C192" t="s">
        <v>46</v>
      </c>
      <c r="D192">
        <v>0</v>
      </c>
      <c r="E192">
        <v>8.6</v>
      </c>
      <c r="F192">
        <v>6.19</v>
      </c>
      <c r="G192" t="s">
        <v>14</v>
      </c>
      <c r="H192" t="s">
        <v>70</v>
      </c>
      <c r="I192" t="s">
        <v>24</v>
      </c>
      <c r="J192" t="s">
        <v>48</v>
      </c>
      <c r="K192" t="s">
        <v>49</v>
      </c>
      <c r="L192" t="s">
        <v>508</v>
      </c>
      <c r="M192">
        <v>0.38</v>
      </c>
      <c r="N192" t="s">
        <v>8</v>
      </c>
      <c r="O192" t="s">
        <v>28</v>
      </c>
      <c r="P192" t="s">
        <v>79</v>
      </c>
      <c r="Q192" t="s">
        <v>509</v>
      </c>
      <c r="R192">
        <v>60653</v>
      </c>
      <c r="S192" s="1">
        <v>42019</v>
      </c>
      <c r="T192" s="1">
        <v>42019</v>
      </c>
      <c r="U192">
        <v>-42.8536</v>
      </c>
      <c r="V192">
        <v>48</v>
      </c>
      <c r="W192">
        <v>447.89</v>
      </c>
      <c r="X192">
        <v>37729</v>
      </c>
      <c r="Y192">
        <f>cleaneddata[[#This Row],[Unit Price]]-cleaneddata[[#This Row],[Discount]]</f>
        <v>8.6</v>
      </c>
      <c r="Z1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3" spans="1:26" x14ac:dyDescent="0.3">
      <c r="A193">
        <v>1405</v>
      </c>
      <c r="B193" t="s">
        <v>510</v>
      </c>
      <c r="C193" t="s">
        <v>46</v>
      </c>
      <c r="D193">
        <v>0</v>
      </c>
      <c r="E193">
        <v>8.6</v>
      </c>
      <c r="F193">
        <v>6.19</v>
      </c>
      <c r="G193" t="s">
        <v>14</v>
      </c>
      <c r="H193" t="s">
        <v>70</v>
      </c>
      <c r="I193" t="s">
        <v>24</v>
      </c>
      <c r="J193" t="s">
        <v>48</v>
      </c>
      <c r="K193" t="s">
        <v>49</v>
      </c>
      <c r="L193" t="s">
        <v>508</v>
      </c>
      <c r="M193">
        <v>0.38</v>
      </c>
      <c r="N193" t="s">
        <v>8</v>
      </c>
      <c r="O193" t="s">
        <v>28</v>
      </c>
      <c r="P193" t="s">
        <v>265</v>
      </c>
      <c r="Q193" t="s">
        <v>511</v>
      </c>
      <c r="R193">
        <v>49017</v>
      </c>
      <c r="S193" s="1">
        <v>42019</v>
      </c>
      <c r="T193" s="1">
        <v>42019</v>
      </c>
      <c r="U193">
        <v>-33.211539999999999</v>
      </c>
      <c r="V193">
        <v>12</v>
      </c>
      <c r="W193">
        <v>111.97</v>
      </c>
      <c r="X193">
        <v>86144</v>
      </c>
      <c r="Y193">
        <f>cleaneddata[[#This Row],[Unit Price]]-cleaneddata[[#This Row],[Discount]]</f>
        <v>8.6</v>
      </c>
      <c r="Z1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4" spans="1:26" x14ac:dyDescent="0.3">
      <c r="A194">
        <v>288</v>
      </c>
      <c r="B194" t="s">
        <v>512</v>
      </c>
      <c r="C194" t="s">
        <v>1</v>
      </c>
      <c r="D194">
        <v>0.09</v>
      </c>
      <c r="E194">
        <v>28.48</v>
      </c>
      <c r="F194">
        <v>1.99</v>
      </c>
      <c r="G194" t="s">
        <v>14</v>
      </c>
      <c r="H194" t="s">
        <v>3</v>
      </c>
      <c r="I194" t="s">
        <v>16</v>
      </c>
      <c r="J194" t="s">
        <v>17</v>
      </c>
      <c r="K194" t="s">
        <v>18</v>
      </c>
      <c r="L194" t="s">
        <v>188</v>
      </c>
      <c r="M194">
        <v>0.4</v>
      </c>
      <c r="N194" t="s">
        <v>8</v>
      </c>
      <c r="O194" t="s">
        <v>28</v>
      </c>
      <c r="P194" t="s">
        <v>513</v>
      </c>
      <c r="Q194" t="s">
        <v>514</v>
      </c>
      <c r="R194">
        <v>67212</v>
      </c>
      <c r="S194" s="1">
        <v>42020</v>
      </c>
      <c r="T194" s="1">
        <v>42023</v>
      </c>
      <c r="U194">
        <v>132.68700000000001</v>
      </c>
      <c r="V194">
        <v>7</v>
      </c>
      <c r="W194">
        <v>192.3</v>
      </c>
      <c r="X194">
        <v>89762</v>
      </c>
      <c r="Y194">
        <f>cleaneddata[[#This Row],[Unit Price]]-cleaneddata[[#This Row],[Discount]]</f>
        <v>28.39</v>
      </c>
      <c r="Z1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5" spans="1:26" x14ac:dyDescent="0.3">
      <c r="A195">
        <v>288</v>
      </c>
      <c r="B195" t="s">
        <v>512</v>
      </c>
      <c r="C195" t="s">
        <v>1</v>
      </c>
      <c r="D195">
        <v>0.08</v>
      </c>
      <c r="E195">
        <v>65.989999999999995</v>
      </c>
      <c r="F195">
        <v>4.99</v>
      </c>
      <c r="G195" t="s">
        <v>63</v>
      </c>
      <c r="H195" t="s">
        <v>3</v>
      </c>
      <c r="I195" t="s">
        <v>16</v>
      </c>
      <c r="J195" t="s">
        <v>111</v>
      </c>
      <c r="K195" t="s">
        <v>49</v>
      </c>
      <c r="L195" t="s">
        <v>515</v>
      </c>
      <c r="M195">
        <v>0.57999999999999996</v>
      </c>
      <c r="N195" t="s">
        <v>8</v>
      </c>
      <c r="O195" t="s">
        <v>28</v>
      </c>
      <c r="P195" t="s">
        <v>513</v>
      </c>
      <c r="Q195" t="s">
        <v>514</v>
      </c>
      <c r="R195">
        <v>67212</v>
      </c>
      <c r="S195" s="1">
        <v>42020</v>
      </c>
      <c r="T195" s="1">
        <v>42022</v>
      </c>
      <c r="U195">
        <v>496.89</v>
      </c>
      <c r="V195">
        <v>14</v>
      </c>
      <c r="W195">
        <v>748.1</v>
      </c>
      <c r="X195">
        <v>89762</v>
      </c>
      <c r="Y195">
        <f>cleaneddata[[#This Row],[Unit Price]]-cleaneddata[[#This Row],[Discount]]</f>
        <v>65.91</v>
      </c>
      <c r="Z1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6" spans="1:26" x14ac:dyDescent="0.3">
      <c r="A196">
        <v>1603</v>
      </c>
      <c r="B196" t="s">
        <v>516</v>
      </c>
      <c r="C196" t="s">
        <v>1</v>
      </c>
      <c r="D196">
        <v>0.09</v>
      </c>
      <c r="E196">
        <v>2.1800000000000002</v>
      </c>
      <c r="F196">
        <v>0.78</v>
      </c>
      <c r="G196" t="s">
        <v>14</v>
      </c>
      <c r="H196" t="s">
        <v>3</v>
      </c>
      <c r="I196" t="s">
        <v>24</v>
      </c>
      <c r="J196" t="s">
        <v>152</v>
      </c>
      <c r="K196" t="s">
        <v>26</v>
      </c>
      <c r="L196" t="s">
        <v>517</v>
      </c>
      <c r="M196">
        <v>0.52</v>
      </c>
      <c r="N196" t="s">
        <v>8</v>
      </c>
      <c r="O196" t="s">
        <v>87</v>
      </c>
      <c r="P196" t="s">
        <v>88</v>
      </c>
      <c r="Q196" t="s">
        <v>518</v>
      </c>
      <c r="R196">
        <v>11598</v>
      </c>
      <c r="S196" s="1">
        <v>42020</v>
      </c>
      <c r="T196" s="1">
        <v>42022</v>
      </c>
      <c r="U196">
        <v>2.4548000000000001</v>
      </c>
      <c r="V196">
        <v>9</v>
      </c>
      <c r="W196">
        <v>19.12</v>
      </c>
      <c r="X196">
        <v>89679</v>
      </c>
      <c r="Y196">
        <f>cleaneddata[[#This Row],[Unit Price]]-cleaneddata[[#This Row],[Discount]]</f>
        <v>2.0900000000000003</v>
      </c>
      <c r="Z19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7" spans="1:26" x14ac:dyDescent="0.3">
      <c r="A197">
        <v>1603</v>
      </c>
      <c r="B197" t="s">
        <v>516</v>
      </c>
      <c r="C197" t="s">
        <v>1</v>
      </c>
      <c r="D197">
        <v>0.05</v>
      </c>
      <c r="E197">
        <v>179.29</v>
      </c>
      <c r="F197">
        <v>29.21</v>
      </c>
      <c r="G197" t="s">
        <v>2</v>
      </c>
      <c r="H197" t="s">
        <v>3</v>
      </c>
      <c r="I197" t="s">
        <v>4</v>
      </c>
      <c r="J197" t="s">
        <v>5</v>
      </c>
      <c r="K197" t="s">
        <v>6</v>
      </c>
      <c r="L197" t="s">
        <v>519</v>
      </c>
      <c r="M197">
        <v>0.76</v>
      </c>
      <c r="N197" t="s">
        <v>8</v>
      </c>
      <c r="O197" t="s">
        <v>87</v>
      </c>
      <c r="P197" t="s">
        <v>88</v>
      </c>
      <c r="Q197" t="s">
        <v>518</v>
      </c>
      <c r="R197">
        <v>11598</v>
      </c>
      <c r="S197" s="1">
        <v>42020</v>
      </c>
      <c r="T197" s="1">
        <v>42022</v>
      </c>
      <c r="U197">
        <v>-537.27977731999999</v>
      </c>
      <c r="V197">
        <v>1</v>
      </c>
      <c r="W197">
        <v>186.64</v>
      </c>
      <c r="X197">
        <v>89679</v>
      </c>
      <c r="Y197">
        <f>cleaneddata[[#This Row],[Unit Price]]-cleaneddata[[#This Row],[Discount]]</f>
        <v>179.23999999999998</v>
      </c>
      <c r="Z19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8" spans="1:26" x14ac:dyDescent="0.3">
      <c r="A198">
        <v>2924</v>
      </c>
      <c r="B198" t="s">
        <v>520</v>
      </c>
      <c r="C198" t="s">
        <v>1</v>
      </c>
      <c r="D198">
        <v>0.02</v>
      </c>
      <c r="E198">
        <v>110.98</v>
      </c>
      <c r="F198">
        <v>13.99</v>
      </c>
      <c r="G198" t="s">
        <v>14</v>
      </c>
      <c r="H198" t="s">
        <v>15</v>
      </c>
      <c r="I198" t="s">
        <v>4</v>
      </c>
      <c r="J198" t="s">
        <v>102</v>
      </c>
      <c r="K198" t="s">
        <v>120</v>
      </c>
      <c r="L198" t="s">
        <v>521</v>
      </c>
      <c r="M198">
        <v>0.69</v>
      </c>
      <c r="N198" t="s">
        <v>8</v>
      </c>
      <c r="O198" t="s">
        <v>87</v>
      </c>
      <c r="P198" t="s">
        <v>394</v>
      </c>
      <c r="Q198" t="s">
        <v>522</v>
      </c>
      <c r="R198">
        <v>20707</v>
      </c>
      <c r="S198" s="1">
        <v>42020</v>
      </c>
      <c r="T198" s="1">
        <v>42022</v>
      </c>
      <c r="U198">
        <v>-106.3424</v>
      </c>
      <c r="V198">
        <v>2</v>
      </c>
      <c r="W198">
        <v>226.53</v>
      </c>
      <c r="X198">
        <v>86591</v>
      </c>
      <c r="Y198">
        <f>cleaneddata[[#This Row],[Unit Price]]-cleaneddata[[#This Row],[Discount]]</f>
        <v>110.96000000000001</v>
      </c>
      <c r="Z19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9" spans="1:26" x14ac:dyDescent="0.3">
      <c r="A199">
        <v>2924</v>
      </c>
      <c r="B199" t="s">
        <v>520</v>
      </c>
      <c r="C199" t="s">
        <v>1</v>
      </c>
      <c r="D199">
        <v>0.01</v>
      </c>
      <c r="E199">
        <v>8.01</v>
      </c>
      <c r="F199">
        <v>2.87</v>
      </c>
      <c r="G199" t="s">
        <v>14</v>
      </c>
      <c r="H199" t="s">
        <v>15</v>
      </c>
      <c r="I199" t="s">
        <v>24</v>
      </c>
      <c r="J199" t="s">
        <v>64</v>
      </c>
      <c r="K199" t="s">
        <v>26</v>
      </c>
      <c r="L199" t="s">
        <v>523</v>
      </c>
      <c r="M199">
        <v>0.4</v>
      </c>
      <c r="N199" t="s">
        <v>8</v>
      </c>
      <c r="O199" t="s">
        <v>87</v>
      </c>
      <c r="P199" t="s">
        <v>394</v>
      </c>
      <c r="Q199" t="s">
        <v>522</v>
      </c>
      <c r="R199">
        <v>20707</v>
      </c>
      <c r="S199" s="1">
        <v>42020</v>
      </c>
      <c r="T199" s="1">
        <v>42022</v>
      </c>
      <c r="U199">
        <v>44.976799999999997</v>
      </c>
      <c r="V199">
        <v>8</v>
      </c>
      <c r="W199">
        <v>68.650000000000006</v>
      </c>
      <c r="X199">
        <v>86591</v>
      </c>
      <c r="Y199">
        <f>cleaneddata[[#This Row],[Unit Price]]-cleaneddata[[#This Row],[Discount]]</f>
        <v>8</v>
      </c>
      <c r="Z1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00" spans="1:26" x14ac:dyDescent="0.3">
      <c r="A200">
        <v>202</v>
      </c>
      <c r="B200" t="s">
        <v>524</v>
      </c>
      <c r="C200" t="s">
        <v>13</v>
      </c>
      <c r="D200">
        <v>0.03</v>
      </c>
      <c r="E200">
        <v>7.37</v>
      </c>
      <c r="F200">
        <v>5.53</v>
      </c>
      <c r="G200" t="s">
        <v>14</v>
      </c>
      <c r="H200" t="s">
        <v>70</v>
      </c>
      <c r="I200" t="s">
        <v>16</v>
      </c>
      <c r="J200" t="s">
        <v>17</v>
      </c>
      <c r="K200" t="s">
        <v>18</v>
      </c>
      <c r="L200" t="s">
        <v>525</v>
      </c>
      <c r="M200">
        <v>0.69</v>
      </c>
      <c r="N200" t="s">
        <v>8</v>
      </c>
      <c r="O200" t="s">
        <v>28</v>
      </c>
      <c r="P200" t="s">
        <v>183</v>
      </c>
      <c r="Q200" t="s">
        <v>526</v>
      </c>
      <c r="R200">
        <v>74006</v>
      </c>
      <c r="S200" s="1">
        <v>42020</v>
      </c>
      <c r="T200" s="1">
        <v>42022</v>
      </c>
      <c r="U200">
        <v>-133.69999999999999</v>
      </c>
      <c r="V200">
        <v>11</v>
      </c>
      <c r="W200">
        <v>85.79</v>
      </c>
      <c r="X200">
        <v>88972</v>
      </c>
      <c r="Y200">
        <f>cleaneddata[[#This Row],[Unit Price]]-cleaneddata[[#This Row],[Discount]]</f>
        <v>7.34</v>
      </c>
      <c r="Z2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01" spans="1:26" x14ac:dyDescent="0.3">
      <c r="A201">
        <v>665</v>
      </c>
      <c r="B201" t="s">
        <v>527</v>
      </c>
      <c r="C201" t="s">
        <v>23</v>
      </c>
      <c r="D201">
        <v>0.04</v>
      </c>
      <c r="E201">
        <v>22.72</v>
      </c>
      <c r="F201">
        <v>8.99</v>
      </c>
      <c r="G201" t="s">
        <v>14</v>
      </c>
      <c r="H201" t="s">
        <v>70</v>
      </c>
      <c r="I201" t="s">
        <v>4</v>
      </c>
      <c r="J201" t="s">
        <v>102</v>
      </c>
      <c r="K201" t="s">
        <v>18</v>
      </c>
      <c r="L201" t="s">
        <v>304</v>
      </c>
      <c r="M201">
        <v>0.44</v>
      </c>
      <c r="N201" t="s">
        <v>8</v>
      </c>
      <c r="O201" t="s">
        <v>9</v>
      </c>
      <c r="P201" t="s">
        <v>376</v>
      </c>
      <c r="Q201" t="s">
        <v>528</v>
      </c>
      <c r="R201">
        <v>37130</v>
      </c>
      <c r="S201" s="1">
        <v>42020</v>
      </c>
      <c r="T201" s="1">
        <v>42024</v>
      </c>
      <c r="U201">
        <v>-678.49599999999998</v>
      </c>
      <c r="V201">
        <v>9</v>
      </c>
      <c r="W201">
        <v>202.41</v>
      </c>
      <c r="X201">
        <v>88677</v>
      </c>
      <c r="Y201">
        <f>cleaneddata[[#This Row],[Unit Price]]-cleaneddata[[#This Row],[Discount]]</f>
        <v>22.68</v>
      </c>
      <c r="Z20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02" spans="1:26" x14ac:dyDescent="0.3">
      <c r="A202">
        <v>667</v>
      </c>
      <c r="B202" t="s">
        <v>529</v>
      </c>
      <c r="C202" t="s">
        <v>23</v>
      </c>
      <c r="D202">
        <v>0.04</v>
      </c>
      <c r="E202">
        <v>22.72</v>
      </c>
      <c r="F202">
        <v>8.99</v>
      </c>
      <c r="G202" t="s">
        <v>14</v>
      </c>
      <c r="H202" t="s">
        <v>70</v>
      </c>
      <c r="I202" t="s">
        <v>4</v>
      </c>
      <c r="J202" t="s">
        <v>102</v>
      </c>
      <c r="K202" t="s">
        <v>18</v>
      </c>
      <c r="L202" t="s">
        <v>304</v>
      </c>
      <c r="M202">
        <v>0.44</v>
      </c>
      <c r="N202" t="s">
        <v>8</v>
      </c>
      <c r="O202" t="s">
        <v>28</v>
      </c>
      <c r="P202" t="s">
        <v>163</v>
      </c>
      <c r="Q202" t="s">
        <v>530</v>
      </c>
      <c r="R202">
        <v>75203</v>
      </c>
      <c r="S202" s="1">
        <v>42020</v>
      </c>
      <c r="T202" s="1">
        <v>42024</v>
      </c>
      <c r="U202">
        <v>70.028000000000006</v>
      </c>
      <c r="V202">
        <v>37</v>
      </c>
      <c r="W202">
        <v>832.14</v>
      </c>
      <c r="X202">
        <v>22147</v>
      </c>
      <c r="Y202">
        <f>cleaneddata[[#This Row],[Unit Price]]-cleaneddata[[#This Row],[Discount]]</f>
        <v>22.68</v>
      </c>
      <c r="Z20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03" spans="1:26" x14ac:dyDescent="0.3">
      <c r="A203">
        <v>3385</v>
      </c>
      <c r="B203" t="s">
        <v>531</v>
      </c>
      <c r="C203" t="s">
        <v>23</v>
      </c>
      <c r="D203">
        <v>0.04</v>
      </c>
      <c r="E203">
        <v>2.98</v>
      </c>
      <c r="F203">
        <v>2.0299999999999998</v>
      </c>
      <c r="G203" t="s">
        <v>63</v>
      </c>
      <c r="H203" t="s">
        <v>70</v>
      </c>
      <c r="I203" t="s">
        <v>24</v>
      </c>
      <c r="J203" t="s">
        <v>25</v>
      </c>
      <c r="K203" t="s">
        <v>26</v>
      </c>
      <c r="L203" t="s">
        <v>532</v>
      </c>
      <c r="M203">
        <v>0.56999999999999995</v>
      </c>
      <c r="N203" t="s">
        <v>8</v>
      </c>
      <c r="O203" t="s">
        <v>87</v>
      </c>
      <c r="P203" t="s">
        <v>293</v>
      </c>
      <c r="Q203" t="s">
        <v>533</v>
      </c>
      <c r="R203">
        <v>44512</v>
      </c>
      <c r="S203" s="1">
        <v>42020</v>
      </c>
      <c r="T203" s="1">
        <v>42020</v>
      </c>
      <c r="U203">
        <v>-22.01</v>
      </c>
      <c r="V203">
        <v>5</v>
      </c>
      <c r="W203">
        <v>15.7</v>
      </c>
      <c r="X203">
        <v>88745</v>
      </c>
      <c r="Y203">
        <f>cleaneddata[[#This Row],[Unit Price]]-cleaneddata[[#This Row],[Discount]]</f>
        <v>2.94</v>
      </c>
      <c r="Z20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04" spans="1:26" x14ac:dyDescent="0.3">
      <c r="A204">
        <v>3385</v>
      </c>
      <c r="B204" t="s">
        <v>531</v>
      </c>
      <c r="C204" t="s">
        <v>23</v>
      </c>
      <c r="D204">
        <v>0.01</v>
      </c>
      <c r="E204">
        <v>125.99</v>
      </c>
      <c r="F204">
        <v>8.99</v>
      </c>
      <c r="G204" t="s">
        <v>14</v>
      </c>
      <c r="H204" t="s">
        <v>70</v>
      </c>
      <c r="I204" t="s">
        <v>16</v>
      </c>
      <c r="J204" t="s">
        <v>111</v>
      </c>
      <c r="K204" t="s">
        <v>49</v>
      </c>
      <c r="L204" t="s">
        <v>329</v>
      </c>
      <c r="M204">
        <v>0.59</v>
      </c>
      <c r="N204" t="s">
        <v>8</v>
      </c>
      <c r="O204" t="s">
        <v>87</v>
      </c>
      <c r="P204" t="s">
        <v>293</v>
      </c>
      <c r="Q204" t="s">
        <v>533</v>
      </c>
      <c r="R204">
        <v>44512</v>
      </c>
      <c r="S204" s="1">
        <v>42020</v>
      </c>
      <c r="T204" s="1">
        <v>42025</v>
      </c>
      <c r="U204">
        <v>426.46032000000002</v>
      </c>
      <c r="V204">
        <v>6</v>
      </c>
      <c r="W204">
        <v>680.65</v>
      </c>
      <c r="X204">
        <v>88745</v>
      </c>
      <c r="Y204">
        <f>cleaneddata[[#This Row],[Unit Price]]-cleaneddata[[#This Row],[Discount]]</f>
        <v>125.97999999999999</v>
      </c>
      <c r="Z20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05" spans="1:26" x14ac:dyDescent="0.3">
      <c r="A205">
        <v>1697</v>
      </c>
      <c r="B205" t="s">
        <v>534</v>
      </c>
      <c r="C205" t="s">
        <v>92</v>
      </c>
      <c r="D205">
        <v>0</v>
      </c>
      <c r="E205">
        <v>13.43</v>
      </c>
      <c r="F205">
        <v>5.5</v>
      </c>
      <c r="G205" t="s">
        <v>14</v>
      </c>
      <c r="H205" t="s">
        <v>47</v>
      </c>
      <c r="I205" t="s">
        <v>24</v>
      </c>
      <c r="J205" t="s">
        <v>54</v>
      </c>
      <c r="K205" t="s">
        <v>49</v>
      </c>
      <c r="L205" t="s">
        <v>535</v>
      </c>
      <c r="M205">
        <v>0.56999999999999995</v>
      </c>
      <c r="N205" t="s">
        <v>8</v>
      </c>
      <c r="O205" t="s">
        <v>9</v>
      </c>
      <c r="P205" t="s">
        <v>20</v>
      </c>
      <c r="Q205" t="s">
        <v>536</v>
      </c>
      <c r="R205">
        <v>71901</v>
      </c>
      <c r="S205" s="1">
        <v>42020</v>
      </c>
      <c r="T205" s="1">
        <v>42021</v>
      </c>
      <c r="U205">
        <v>-253.77799999999999</v>
      </c>
      <c r="V205">
        <v>9</v>
      </c>
      <c r="W205">
        <v>129.54</v>
      </c>
      <c r="X205">
        <v>86338</v>
      </c>
      <c r="Y205">
        <f>cleaneddata[[#This Row],[Unit Price]]-cleaneddata[[#This Row],[Discount]]</f>
        <v>13.43</v>
      </c>
      <c r="Z20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06" spans="1:26" x14ac:dyDescent="0.3">
      <c r="A206">
        <v>3133</v>
      </c>
      <c r="B206" t="s">
        <v>537</v>
      </c>
      <c r="C206" t="s">
        <v>92</v>
      </c>
      <c r="D206">
        <v>0.1</v>
      </c>
      <c r="E206">
        <v>5.81</v>
      </c>
      <c r="F206">
        <v>8.49</v>
      </c>
      <c r="G206" t="s">
        <v>14</v>
      </c>
      <c r="H206" t="s">
        <v>70</v>
      </c>
      <c r="I206" t="s">
        <v>24</v>
      </c>
      <c r="J206" t="s">
        <v>48</v>
      </c>
      <c r="K206" t="s">
        <v>49</v>
      </c>
      <c r="L206" t="s">
        <v>306</v>
      </c>
      <c r="M206">
        <v>0.39</v>
      </c>
      <c r="N206" t="s">
        <v>8</v>
      </c>
      <c r="O206" t="s">
        <v>28</v>
      </c>
      <c r="P206" t="s">
        <v>79</v>
      </c>
      <c r="Q206" t="s">
        <v>538</v>
      </c>
      <c r="R206">
        <v>60540</v>
      </c>
      <c r="S206" s="1">
        <v>42020</v>
      </c>
      <c r="T206" s="1">
        <v>42021</v>
      </c>
      <c r="U206">
        <v>-350.43950000000001</v>
      </c>
      <c r="V206">
        <v>12</v>
      </c>
      <c r="W206">
        <v>64.959999999999994</v>
      </c>
      <c r="X206">
        <v>86789</v>
      </c>
      <c r="Y206">
        <f>cleaneddata[[#This Row],[Unit Price]]-cleaneddata[[#This Row],[Discount]]</f>
        <v>5.71</v>
      </c>
      <c r="Z2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07" spans="1:26" x14ac:dyDescent="0.3">
      <c r="A207">
        <v>3133</v>
      </c>
      <c r="B207" t="s">
        <v>537</v>
      </c>
      <c r="C207" t="s">
        <v>92</v>
      </c>
      <c r="D207">
        <v>0.03</v>
      </c>
      <c r="E207">
        <v>1.81</v>
      </c>
      <c r="F207">
        <v>0.75</v>
      </c>
      <c r="G207" t="s">
        <v>14</v>
      </c>
      <c r="H207" t="s">
        <v>70</v>
      </c>
      <c r="I207" t="s">
        <v>24</v>
      </c>
      <c r="J207" t="s">
        <v>152</v>
      </c>
      <c r="K207" t="s">
        <v>26</v>
      </c>
      <c r="L207" t="s">
        <v>539</v>
      </c>
      <c r="M207">
        <v>0.52</v>
      </c>
      <c r="N207" t="s">
        <v>8</v>
      </c>
      <c r="O207" t="s">
        <v>28</v>
      </c>
      <c r="P207" t="s">
        <v>79</v>
      </c>
      <c r="Q207" t="s">
        <v>538</v>
      </c>
      <c r="R207">
        <v>60540</v>
      </c>
      <c r="S207" s="1">
        <v>42020</v>
      </c>
      <c r="T207" s="1">
        <v>42021</v>
      </c>
      <c r="U207">
        <v>4.2027999999999999</v>
      </c>
      <c r="V207">
        <v>10</v>
      </c>
      <c r="W207">
        <v>19.14</v>
      </c>
      <c r="X207">
        <v>86789</v>
      </c>
      <c r="Y207">
        <f>cleaneddata[[#This Row],[Unit Price]]-cleaneddata[[#This Row],[Discount]]</f>
        <v>1.78</v>
      </c>
      <c r="Z20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08" spans="1:26" x14ac:dyDescent="0.3">
      <c r="A208">
        <v>3036</v>
      </c>
      <c r="B208" t="s">
        <v>540</v>
      </c>
      <c r="C208" t="s">
        <v>46</v>
      </c>
      <c r="D208">
        <v>0.02</v>
      </c>
      <c r="E208">
        <v>12.99</v>
      </c>
      <c r="F208">
        <v>14.37</v>
      </c>
      <c r="G208" t="s">
        <v>14</v>
      </c>
      <c r="H208" t="s">
        <v>47</v>
      </c>
      <c r="I208" t="s">
        <v>4</v>
      </c>
      <c r="J208" t="s">
        <v>102</v>
      </c>
      <c r="K208" t="s">
        <v>40</v>
      </c>
      <c r="L208" t="s">
        <v>382</v>
      </c>
      <c r="M208">
        <v>0.73</v>
      </c>
      <c r="N208" t="s">
        <v>8</v>
      </c>
      <c r="O208" t="s">
        <v>28</v>
      </c>
      <c r="P208" t="s">
        <v>541</v>
      </c>
      <c r="Q208" t="s">
        <v>542</v>
      </c>
      <c r="R208">
        <v>58554</v>
      </c>
      <c r="S208" s="1">
        <v>42020</v>
      </c>
      <c r="T208" s="1">
        <v>42022</v>
      </c>
      <c r="U208">
        <v>-159.86000000000001</v>
      </c>
      <c r="V208">
        <v>5</v>
      </c>
      <c r="W208">
        <v>67.64</v>
      </c>
      <c r="X208">
        <v>89129</v>
      </c>
      <c r="Y208">
        <f>cleaneddata[[#This Row],[Unit Price]]-cleaneddata[[#This Row],[Discount]]</f>
        <v>12.97</v>
      </c>
      <c r="Z20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09" spans="1:26" x14ac:dyDescent="0.3">
      <c r="A209">
        <v>3036</v>
      </c>
      <c r="B209" t="s">
        <v>540</v>
      </c>
      <c r="C209" t="s">
        <v>46</v>
      </c>
      <c r="D209">
        <v>0.05</v>
      </c>
      <c r="E209">
        <v>35.44</v>
      </c>
      <c r="F209">
        <v>7.5</v>
      </c>
      <c r="G209" t="s">
        <v>14</v>
      </c>
      <c r="H209" t="s">
        <v>47</v>
      </c>
      <c r="I209" t="s">
        <v>24</v>
      </c>
      <c r="J209" t="s">
        <v>64</v>
      </c>
      <c r="K209" t="s">
        <v>49</v>
      </c>
      <c r="L209" t="s">
        <v>543</v>
      </c>
      <c r="M209">
        <v>0.38</v>
      </c>
      <c r="N209" t="s">
        <v>8</v>
      </c>
      <c r="O209" t="s">
        <v>28</v>
      </c>
      <c r="P209" t="s">
        <v>541</v>
      </c>
      <c r="Q209" t="s">
        <v>542</v>
      </c>
      <c r="R209">
        <v>58554</v>
      </c>
      <c r="S209" s="1">
        <v>42020</v>
      </c>
      <c r="T209" s="1">
        <v>42022</v>
      </c>
      <c r="U209">
        <v>165.88980000000001</v>
      </c>
      <c r="V209">
        <v>7</v>
      </c>
      <c r="W209">
        <v>240.42</v>
      </c>
      <c r="X209">
        <v>89129</v>
      </c>
      <c r="Y209">
        <f>cleaneddata[[#This Row],[Unit Price]]-cleaneddata[[#This Row],[Discount]]</f>
        <v>35.39</v>
      </c>
      <c r="Z2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10" spans="1:26" x14ac:dyDescent="0.3">
      <c r="A210">
        <v>3036</v>
      </c>
      <c r="B210" t="s">
        <v>540</v>
      </c>
      <c r="C210" t="s">
        <v>46</v>
      </c>
      <c r="D210">
        <v>0.02</v>
      </c>
      <c r="E210">
        <v>12.98</v>
      </c>
      <c r="F210">
        <v>3.14</v>
      </c>
      <c r="G210" t="s">
        <v>14</v>
      </c>
      <c r="H210" t="s">
        <v>47</v>
      </c>
      <c r="I210" t="s">
        <v>24</v>
      </c>
      <c r="J210" t="s">
        <v>544</v>
      </c>
      <c r="K210" t="s">
        <v>18</v>
      </c>
      <c r="L210" t="s">
        <v>545</v>
      </c>
      <c r="M210">
        <v>0.6</v>
      </c>
      <c r="N210" t="s">
        <v>8</v>
      </c>
      <c r="O210" t="s">
        <v>28</v>
      </c>
      <c r="P210" t="s">
        <v>541</v>
      </c>
      <c r="Q210" t="s">
        <v>542</v>
      </c>
      <c r="R210">
        <v>58554</v>
      </c>
      <c r="S210" s="1">
        <v>42020</v>
      </c>
      <c r="T210" s="1">
        <v>42023</v>
      </c>
      <c r="U210">
        <v>75.010000000000005</v>
      </c>
      <c r="V210">
        <v>14</v>
      </c>
      <c r="W210">
        <v>184.4</v>
      </c>
      <c r="X210">
        <v>89129</v>
      </c>
      <c r="Y210">
        <f>cleaneddata[[#This Row],[Unit Price]]-cleaneddata[[#This Row],[Discount]]</f>
        <v>12.96</v>
      </c>
      <c r="Z2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11" spans="1:26" x14ac:dyDescent="0.3">
      <c r="A211">
        <v>592</v>
      </c>
      <c r="B211" t="s">
        <v>546</v>
      </c>
      <c r="C211" t="s">
        <v>1</v>
      </c>
      <c r="D211">
        <v>0.08</v>
      </c>
      <c r="E211">
        <v>30.53</v>
      </c>
      <c r="F211">
        <v>19.989999999999998</v>
      </c>
      <c r="G211" t="s">
        <v>14</v>
      </c>
      <c r="H211" t="s">
        <v>3</v>
      </c>
      <c r="I211" t="s">
        <v>24</v>
      </c>
      <c r="J211" t="s">
        <v>128</v>
      </c>
      <c r="K211" t="s">
        <v>49</v>
      </c>
      <c r="L211" t="s">
        <v>547</v>
      </c>
      <c r="M211">
        <v>0.39</v>
      </c>
      <c r="N211" t="s">
        <v>8</v>
      </c>
      <c r="O211" t="s">
        <v>28</v>
      </c>
      <c r="P211" t="s">
        <v>79</v>
      </c>
      <c r="Q211" t="s">
        <v>548</v>
      </c>
      <c r="R211">
        <v>60091</v>
      </c>
      <c r="S211" s="1">
        <v>42021</v>
      </c>
      <c r="T211" s="1">
        <v>42021</v>
      </c>
      <c r="U211">
        <v>-239.8656</v>
      </c>
      <c r="V211">
        <v>10</v>
      </c>
      <c r="W211">
        <v>285.87</v>
      </c>
      <c r="X211">
        <v>86307</v>
      </c>
      <c r="Y211">
        <f>cleaneddata[[#This Row],[Unit Price]]-cleaneddata[[#This Row],[Discount]]</f>
        <v>30.450000000000003</v>
      </c>
      <c r="Z21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12" spans="1:26" x14ac:dyDescent="0.3">
      <c r="A212">
        <v>593</v>
      </c>
      <c r="B212" t="s">
        <v>549</v>
      </c>
      <c r="C212" t="s">
        <v>1</v>
      </c>
      <c r="D212">
        <v>0.01</v>
      </c>
      <c r="E212">
        <v>1.68</v>
      </c>
      <c r="F212">
        <v>1.57</v>
      </c>
      <c r="G212" t="s">
        <v>14</v>
      </c>
      <c r="H212" t="s">
        <v>3</v>
      </c>
      <c r="I212" t="s">
        <v>24</v>
      </c>
      <c r="J212" t="s">
        <v>25</v>
      </c>
      <c r="K212" t="s">
        <v>26</v>
      </c>
      <c r="L212" t="s">
        <v>550</v>
      </c>
      <c r="M212">
        <v>0.59</v>
      </c>
      <c r="N212" t="s">
        <v>8</v>
      </c>
      <c r="O212" t="s">
        <v>28</v>
      </c>
      <c r="P212" t="s">
        <v>79</v>
      </c>
      <c r="Q212" t="s">
        <v>551</v>
      </c>
      <c r="R212">
        <v>60517</v>
      </c>
      <c r="S212" s="1">
        <v>42021</v>
      </c>
      <c r="T212" s="1">
        <v>42023</v>
      </c>
      <c r="U212">
        <v>-53.444000000000003</v>
      </c>
      <c r="V212">
        <v>12</v>
      </c>
      <c r="W212">
        <v>20.37</v>
      </c>
      <c r="X212">
        <v>86307</v>
      </c>
      <c r="Y212">
        <f>cleaneddata[[#This Row],[Unit Price]]-cleaneddata[[#This Row],[Discount]]</f>
        <v>1.67</v>
      </c>
      <c r="Z21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13" spans="1:26" x14ac:dyDescent="0.3">
      <c r="A213">
        <v>1531</v>
      </c>
      <c r="B213" t="s">
        <v>552</v>
      </c>
      <c r="C213" t="s">
        <v>1</v>
      </c>
      <c r="D213">
        <v>7.0000000000000007E-2</v>
      </c>
      <c r="E213">
        <v>4.91</v>
      </c>
      <c r="F213">
        <v>0.5</v>
      </c>
      <c r="G213" t="s">
        <v>14</v>
      </c>
      <c r="H213" t="s">
        <v>15</v>
      </c>
      <c r="I213" t="s">
        <v>24</v>
      </c>
      <c r="J213" t="s">
        <v>128</v>
      </c>
      <c r="K213" t="s">
        <v>49</v>
      </c>
      <c r="L213" t="s">
        <v>553</v>
      </c>
      <c r="M213">
        <v>0.36</v>
      </c>
      <c r="N213" t="s">
        <v>8</v>
      </c>
      <c r="O213" t="s">
        <v>9</v>
      </c>
      <c r="P213" t="s">
        <v>99</v>
      </c>
      <c r="Q213" t="s">
        <v>554</v>
      </c>
      <c r="R213">
        <v>32137</v>
      </c>
      <c r="S213" s="1">
        <v>42021</v>
      </c>
      <c r="T213" s="1">
        <v>42022</v>
      </c>
      <c r="U213">
        <v>-157.696</v>
      </c>
      <c r="V213">
        <v>6</v>
      </c>
      <c r="W213">
        <v>28.22</v>
      </c>
      <c r="X213">
        <v>88852</v>
      </c>
      <c r="Y213">
        <f>cleaneddata[[#This Row],[Unit Price]]-cleaneddata[[#This Row],[Discount]]</f>
        <v>4.84</v>
      </c>
      <c r="Z2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14" spans="1:26" x14ac:dyDescent="0.3">
      <c r="A214">
        <v>210</v>
      </c>
      <c r="B214" t="s">
        <v>555</v>
      </c>
      <c r="C214" t="s">
        <v>23</v>
      </c>
      <c r="D214">
        <v>0.05</v>
      </c>
      <c r="E214">
        <v>1.86</v>
      </c>
      <c r="F214">
        <v>2.58</v>
      </c>
      <c r="G214" t="s">
        <v>14</v>
      </c>
      <c r="H214" t="s">
        <v>47</v>
      </c>
      <c r="I214" t="s">
        <v>24</v>
      </c>
      <c r="J214" t="s">
        <v>152</v>
      </c>
      <c r="K214" t="s">
        <v>26</v>
      </c>
      <c r="L214" t="s">
        <v>556</v>
      </c>
      <c r="M214">
        <v>0.82</v>
      </c>
      <c r="N214" t="s">
        <v>8</v>
      </c>
      <c r="O214" t="s">
        <v>87</v>
      </c>
      <c r="P214" t="s">
        <v>88</v>
      </c>
      <c r="Q214" t="s">
        <v>557</v>
      </c>
      <c r="R214">
        <v>12180</v>
      </c>
      <c r="S214" s="1">
        <v>42021</v>
      </c>
      <c r="T214" s="1">
        <v>42025</v>
      </c>
      <c r="U214">
        <v>-66.62</v>
      </c>
      <c r="V214">
        <v>9</v>
      </c>
      <c r="W214">
        <v>17.61</v>
      </c>
      <c r="X214">
        <v>85965</v>
      </c>
      <c r="Y214">
        <f>cleaneddata[[#This Row],[Unit Price]]-cleaneddata[[#This Row],[Discount]]</f>
        <v>1.81</v>
      </c>
      <c r="Z2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15" spans="1:26" x14ac:dyDescent="0.3">
      <c r="A215">
        <v>366</v>
      </c>
      <c r="B215" t="s">
        <v>558</v>
      </c>
      <c r="C215" t="s">
        <v>92</v>
      </c>
      <c r="D215">
        <v>0.05</v>
      </c>
      <c r="E215">
        <v>328.14</v>
      </c>
      <c r="F215">
        <v>91.05</v>
      </c>
      <c r="G215" t="s">
        <v>2</v>
      </c>
      <c r="H215" t="s">
        <v>3</v>
      </c>
      <c r="I215" t="s">
        <v>24</v>
      </c>
      <c r="J215" t="s">
        <v>71</v>
      </c>
      <c r="K215" t="s">
        <v>33</v>
      </c>
      <c r="L215" t="s">
        <v>559</v>
      </c>
      <c r="M215">
        <v>0.56999999999999995</v>
      </c>
      <c r="N215" t="s">
        <v>8</v>
      </c>
      <c r="O215" t="s">
        <v>87</v>
      </c>
      <c r="P215" t="s">
        <v>560</v>
      </c>
      <c r="Q215" t="s">
        <v>561</v>
      </c>
      <c r="R215">
        <v>2910</v>
      </c>
      <c r="S215" s="1">
        <v>42021</v>
      </c>
      <c r="T215" s="1">
        <v>42023</v>
      </c>
      <c r="U215">
        <v>411.5172</v>
      </c>
      <c r="V215">
        <v>6</v>
      </c>
      <c r="W215">
        <v>1967.98</v>
      </c>
      <c r="X215">
        <v>87347</v>
      </c>
      <c r="Y215">
        <f>cleaneddata[[#This Row],[Unit Price]]-cleaneddata[[#This Row],[Discount]]</f>
        <v>328.09</v>
      </c>
      <c r="Z21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16" spans="1:26" x14ac:dyDescent="0.3">
      <c r="A216">
        <v>744</v>
      </c>
      <c r="B216" t="s">
        <v>562</v>
      </c>
      <c r="C216" t="s">
        <v>92</v>
      </c>
      <c r="D216">
        <v>0.03</v>
      </c>
      <c r="E216">
        <v>119.99</v>
      </c>
      <c r="F216">
        <v>56.14</v>
      </c>
      <c r="G216" t="s">
        <v>2</v>
      </c>
      <c r="H216" t="s">
        <v>15</v>
      </c>
      <c r="I216" t="s">
        <v>16</v>
      </c>
      <c r="J216" t="s">
        <v>32</v>
      </c>
      <c r="K216" t="s">
        <v>6</v>
      </c>
      <c r="L216" t="s">
        <v>563</v>
      </c>
      <c r="M216">
        <v>0.39</v>
      </c>
      <c r="N216" t="s">
        <v>8</v>
      </c>
      <c r="O216" t="s">
        <v>35</v>
      </c>
      <c r="P216" t="s">
        <v>564</v>
      </c>
      <c r="Q216" t="s">
        <v>565</v>
      </c>
      <c r="R216">
        <v>85737</v>
      </c>
      <c r="S216" s="1">
        <v>42021</v>
      </c>
      <c r="T216" s="1">
        <v>42023</v>
      </c>
      <c r="U216">
        <v>1400.1</v>
      </c>
      <c r="V216">
        <v>13</v>
      </c>
      <c r="W216">
        <v>1545.58</v>
      </c>
      <c r="X216">
        <v>87726</v>
      </c>
      <c r="Y216">
        <f>cleaneddata[[#This Row],[Unit Price]]-cleaneddata[[#This Row],[Discount]]</f>
        <v>119.96</v>
      </c>
      <c r="Z21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17" spans="1:26" x14ac:dyDescent="0.3">
      <c r="A217">
        <v>745</v>
      </c>
      <c r="B217" t="s">
        <v>566</v>
      </c>
      <c r="C217" t="s">
        <v>92</v>
      </c>
      <c r="D217">
        <v>0.05</v>
      </c>
      <c r="E217">
        <v>115.79</v>
      </c>
      <c r="F217">
        <v>1.99</v>
      </c>
      <c r="G217" t="s">
        <v>14</v>
      </c>
      <c r="H217" t="s">
        <v>15</v>
      </c>
      <c r="I217" t="s">
        <v>16</v>
      </c>
      <c r="J217" t="s">
        <v>17</v>
      </c>
      <c r="K217" t="s">
        <v>18</v>
      </c>
      <c r="L217" t="s">
        <v>567</v>
      </c>
      <c r="M217">
        <v>0.49</v>
      </c>
      <c r="N217" t="s">
        <v>8</v>
      </c>
      <c r="O217" t="s">
        <v>35</v>
      </c>
      <c r="P217" t="s">
        <v>564</v>
      </c>
      <c r="Q217" t="s">
        <v>568</v>
      </c>
      <c r="R217">
        <v>85345</v>
      </c>
      <c r="S217" s="1">
        <v>42021</v>
      </c>
      <c r="T217" s="1">
        <v>42023</v>
      </c>
      <c r="U217">
        <v>67.599999999999994</v>
      </c>
      <c r="V217">
        <v>3</v>
      </c>
      <c r="W217">
        <v>353.1</v>
      </c>
      <c r="X217">
        <v>87726</v>
      </c>
      <c r="Y217">
        <f>cleaneddata[[#This Row],[Unit Price]]-cleaneddata[[#This Row],[Discount]]</f>
        <v>115.74000000000001</v>
      </c>
      <c r="Z2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18" spans="1:26" x14ac:dyDescent="0.3">
      <c r="A218">
        <v>1702</v>
      </c>
      <c r="B218" t="s">
        <v>569</v>
      </c>
      <c r="C218" t="s">
        <v>92</v>
      </c>
      <c r="D218">
        <v>0.05</v>
      </c>
      <c r="E218">
        <v>14.81</v>
      </c>
      <c r="F218">
        <v>13.32</v>
      </c>
      <c r="G218" t="s">
        <v>14</v>
      </c>
      <c r="H218" t="s">
        <v>47</v>
      </c>
      <c r="I218" t="s">
        <v>24</v>
      </c>
      <c r="J218" t="s">
        <v>71</v>
      </c>
      <c r="K218" t="s">
        <v>49</v>
      </c>
      <c r="L218" t="s">
        <v>570</v>
      </c>
      <c r="M218">
        <v>0.43</v>
      </c>
      <c r="N218" t="s">
        <v>8</v>
      </c>
      <c r="O218" t="s">
        <v>9</v>
      </c>
      <c r="P218" t="s">
        <v>10</v>
      </c>
      <c r="Q218" t="s">
        <v>571</v>
      </c>
      <c r="R218">
        <v>39301</v>
      </c>
      <c r="S218" s="1">
        <v>42021</v>
      </c>
      <c r="T218" s="1">
        <v>42024</v>
      </c>
      <c r="U218">
        <v>-220.05199999999999</v>
      </c>
      <c r="V218">
        <v>3</v>
      </c>
      <c r="W218">
        <v>45.28</v>
      </c>
      <c r="X218">
        <v>90473</v>
      </c>
      <c r="Y218">
        <f>cleaneddata[[#This Row],[Unit Price]]-cleaneddata[[#This Row],[Discount]]</f>
        <v>14.76</v>
      </c>
      <c r="Z21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19" spans="1:26" x14ac:dyDescent="0.3">
      <c r="A219">
        <v>1702</v>
      </c>
      <c r="B219" t="s">
        <v>569</v>
      </c>
      <c r="C219" t="s">
        <v>92</v>
      </c>
      <c r="D219">
        <v>0.05</v>
      </c>
      <c r="E219">
        <v>4.2</v>
      </c>
      <c r="F219">
        <v>2.2599999999999998</v>
      </c>
      <c r="G219" t="s">
        <v>63</v>
      </c>
      <c r="H219" t="s">
        <v>47</v>
      </c>
      <c r="I219" t="s">
        <v>24</v>
      </c>
      <c r="J219" t="s">
        <v>64</v>
      </c>
      <c r="K219" t="s">
        <v>26</v>
      </c>
      <c r="L219" t="s">
        <v>572</v>
      </c>
      <c r="M219">
        <v>0.36</v>
      </c>
      <c r="N219" t="s">
        <v>8</v>
      </c>
      <c r="O219" t="s">
        <v>9</v>
      </c>
      <c r="P219" t="s">
        <v>10</v>
      </c>
      <c r="Q219" t="s">
        <v>571</v>
      </c>
      <c r="R219">
        <v>39301</v>
      </c>
      <c r="S219" s="1">
        <v>42021</v>
      </c>
      <c r="T219" s="1">
        <v>42023</v>
      </c>
      <c r="U219">
        <v>20.393370000000001</v>
      </c>
      <c r="V219">
        <v>3</v>
      </c>
      <c r="W219">
        <v>13.57</v>
      </c>
      <c r="X219">
        <v>90473</v>
      </c>
      <c r="Y219">
        <f>cleaneddata[[#This Row],[Unit Price]]-cleaneddata[[#This Row],[Discount]]</f>
        <v>4.1500000000000004</v>
      </c>
      <c r="Z21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20" spans="1:26" x14ac:dyDescent="0.3">
      <c r="A220">
        <v>1708</v>
      </c>
      <c r="B220" t="s">
        <v>573</v>
      </c>
      <c r="C220" t="s">
        <v>92</v>
      </c>
      <c r="D220">
        <v>0.05</v>
      </c>
      <c r="E220">
        <v>5.68</v>
      </c>
      <c r="F220">
        <v>1.39</v>
      </c>
      <c r="G220" t="s">
        <v>14</v>
      </c>
      <c r="H220" t="s">
        <v>3</v>
      </c>
      <c r="I220" t="s">
        <v>24</v>
      </c>
      <c r="J220" t="s">
        <v>321</v>
      </c>
      <c r="K220" t="s">
        <v>49</v>
      </c>
      <c r="L220" t="s">
        <v>574</v>
      </c>
      <c r="M220">
        <v>0.38</v>
      </c>
      <c r="N220" t="s">
        <v>8</v>
      </c>
      <c r="O220" t="s">
        <v>87</v>
      </c>
      <c r="P220" t="s">
        <v>293</v>
      </c>
      <c r="Q220" t="s">
        <v>575</v>
      </c>
      <c r="R220">
        <v>44118</v>
      </c>
      <c r="S220" s="1">
        <v>42021</v>
      </c>
      <c r="T220" s="1">
        <v>42022</v>
      </c>
      <c r="U220">
        <v>38.281199999999998</v>
      </c>
      <c r="V220">
        <v>10</v>
      </c>
      <c r="W220">
        <v>55.48</v>
      </c>
      <c r="X220">
        <v>88781</v>
      </c>
      <c r="Y220">
        <f>cleaneddata[[#This Row],[Unit Price]]-cleaneddata[[#This Row],[Discount]]</f>
        <v>5.63</v>
      </c>
      <c r="Z2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21" spans="1:26" x14ac:dyDescent="0.3">
      <c r="A221">
        <v>1719</v>
      </c>
      <c r="B221" t="s">
        <v>576</v>
      </c>
      <c r="C221" t="s">
        <v>92</v>
      </c>
      <c r="D221">
        <v>0.06</v>
      </c>
      <c r="E221">
        <v>16.48</v>
      </c>
      <c r="F221">
        <v>1.99</v>
      </c>
      <c r="G221" t="s">
        <v>14</v>
      </c>
      <c r="H221" t="s">
        <v>70</v>
      </c>
      <c r="I221" t="s">
        <v>16</v>
      </c>
      <c r="J221" t="s">
        <v>17</v>
      </c>
      <c r="K221" t="s">
        <v>18</v>
      </c>
      <c r="L221" t="s">
        <v>577</v>
      </c>
      <c r="M221">
        <v>0.42</v>
      </c>
      <c r="N221" t="s">
        <v>8</v>
      </c>
      <c r="O221" t="s">
        <v>9</v>
      </c>
      <c r="P221" t="s">
        <v>140</v>
      </c>
      <c r="Q221" t="s">
        <v>578</v>
      </c>
      <c r="R221">
        <v>35473</v>
      </c>
      <c r="S221" s="1">
        <v>42021</v>
      </c>
      <c r="T221" s="1">
        <v>42023</v>
      </c>
      <c r="U221">
        <v>-144.59200000000001</v>
      </c>
      <c r="V221">
        <v>8</v>
      </c>
      <c r="W221">
        <v>128.13</v>
      </c>
      <c r="X221">
        <v>90786</v>
      </c>
      <c r="Y221">
        <f>cleaneddata[[#This Row],[Unit Price]]-cleaneddata[[#This Row],[Discount]]</f>
        <v>16.420000000000002</v>
      </c>
      <c r="Z22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22" spans="1:26" x14ac:dyDescent="0.3">
      <c r="A222">
        <v>1873</v>
      </c>
      <c r="B222" t="s">
        <v>579</v>
      </c>
      <c r="C222" t="s">
        <v>92</v>
      </c>
      <c r="D222">
        <v>0.03</v>
      </c>
      <c r="E222">
        <v>90.48</v>
      </c>
      <c r="F222">
        <v>19.989999999999998</v>
      </c>
      <c r="G222" t="s">
        <v>14</v>
      </c>
      <c r="H222" t="s">
        <v>70</v>
      </c>
      <c r="I222" t="s">
        <v>24</v>
      </c>
      <c r="J222" t="s">
        <v>321</v>
      </c>
      <c r="K222" t="s">
        <v>49</v>
      </c>
      <c r="L222" t="s">
        <v>478</v>
      </c>
      <c r="M222">
        <v>0.4</v>
      </c>
      <c r="N222" t="s">
        <v>8</v>
      </c>
      <c r="O222" t="s">
        <v>9</v>
      </c>
      <c r="P222" t="s">
        <v>99</v>
      </c>
      <c r="Q222" t="s">
        <v>580</v>
      </c>
      <c r="R222">
        <v>33403</v>
      </c>
      <c r="S222" s="1">
        <v>42021</v>
      </c>
      <c r="T222" s="1">
        <v>42023</v>
      </c>
      <c r="U222">
        <v>15.353999999999999</v>
      </c>
      <c r="V222">
        <v>1</v>
      </c>
      <c r="W222">
        <v>99.69</v>
      </c>
      <c r="X222">
        <v>90099</v>
      </c>
      <c r="Y222">
        <f>cleaneddata[[#This Row],[Unit Price]]-cleaneddata[[#This Row],[Discount]]</f>
        <v>90.45</v>
      </c>
      <c r="Z22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23" spans="1:26" x14ac:dyDescent="0.3">
      <c r="A223">
        <v>1873</v>
      </c>
      <c r="B223" t="s">
        <v>579</v>
      </c>
      <c r="C223" t="s">
        <v>92</v>
      </c>
      <c r="D223">
        <v>0.06</v>
      </c>
      <c r="E223">
        <v>22.84</v>
      </c>
      <c r="F223">
        <v>8.18</v>
      </c>
      <c r="G223" t="s">
        <v>14</v>
      </c>
      <c r="H223" t="s">
        <v>70</v>
      </c>
      <c r="I223" t="s">
        <v>24</v>
      </c>
      <c r="J223" t="s">
        <v>64</v>
      </c>
      <c r="K223" t="s">
        <v>49</v>
      </c>
      <c r="L223" t="s">
        <v>581</v>
      </c>
      <c r="M223">
        <v>0.39</v>
      </c>
      <c r="N223" t="s">
        <v>8</v>
      </c>
      <c r="O223" t="s">
        <v>9</v>
      </c>
      <c r="P223" t="s">
        <v>99</v>
      </c>
      <c r="Q223" t="s">
        <v>580</v>
      </c>
      <c r="R223">
        <v>33403</v>
      </c>
      <c r="S223" s="1">
        <v>42021</v>
      </c>
      <c r="T223" s="1">
        <v>42021</v>
      </c>
      <c r="U223">
        <v>-357.92399999999998</v>
      </c>
      <c r="V223">
        <v>7</v>
      </c>
      <c r="W223">
        <v>152.49</v>
      </c>
      <c r="X223">
        <v>90099</v>
      </c>
      <c r="Y223">
        <f>cleaneddata[[#This Row],[Unit Price]]-cleaneddata[[#This Row],[Discount]]</f>
        <v>22.78</v>
      </c>
      <c r="Z2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24" spans="1:26" x14ac:dyDescent="0.3">
      <c r="A224">
        <v>2579</v>
      </c>
      <c r="B224" t="s">
        <v>138</v>
      </c>
      <c r="C224" t="s">
        <v>92</v>
      </c>
      <c r="D224">
        <v>7.0000000000000007E-2</v>
      </c>
      <c r="E224">
        <v>1.76</v>
      </c>
      <c r="F224">
        <v>4.8600000000000003</v>
      </c>
      <c r="G224" t="s">
        <v>14</v>
      </c>
      <c r="H224" t="s">
        <v>47</v>
      </c>
      <c r="I224" t="s">
        <v>4</v>
      </c>
      <c r="J224" t="s">
        <v>102</v>
      </c>
      <c r="K224" t="s">
        <v>49</v>
      </c>
      <c r="L224" t="s">
        <v>582</v>
      </c>
      <c r="M224">
        <v>0.41</v>
      </c>
      <c r="N224" t="s">
        <v>8</v>
      </c>
      <c r="O224" t="s">
        <v>9</v>
      </c>
      <c r="P224" t="s">
        <v>140</v>
      </c>
      <c r="Q224" t="s">
        <v>141</v>
      </c>
      <c r="R224">
        <v>36869</v>
      </c>
      <c r="S224" s="1">
        <v>42021</v>
      </c>
      <c r="T224" s="1">
        <v>42021</v>
      </c>
      <c r="U224">
        <v>0.58799999999999997</v>
      </c>
      <c r="V224">
        <v>15</v>
      </c>
      <c r="W224">
        <v>26.01</v>
      </c>
      <c r="X224">
        <v>88297</v>
      </c>
      <c r="Y224">
        <f>cleaneddata[[#This Row],[Unit Price]]-cleaneddata[[#This Row],[Discount]]</f>
        <v>1.69</v>
      </c>
      <c r="Z22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25" spans="1:26" x14ac:dyDescent="0.3">
      <c r="A225">
        <v>2618</v>
      </c>
      <c r="B225" t="s">
        <v>583</v>
      </c>
      <c r="C225" t="s">
        <v>92</v>
      </c>
      <c r="D225">
        <v>0.1</v>
      </c>
      <c r="E225">
        <v>7.64</v>
      </c>
      <c r="F225">
        <v>1.39</v>
      </c>
      <c r="G225" t="s">
        <v>14</v>
      </c>
      <c r="H225" t="s">
        <v>70</v>
      </c>
      <c r="I225" t="s">
        <v>24</v>
      </c>
      <c r="J225" t="s">
        <v>321</v>
      </c>
      <c r="K225" t="s">
        <v>49</v>
      </c>
      <c r="L225" t="s">
        <v>584</v>
      </c>
      <c r="M225">
        <v>0.36</v>
      </c>
      <c r="N225" t="s">
        <v>8</v>
      </c>
      <c r="O225" t="s">
        <v>87</v>
      </c>
      <c r="P225" t="s">
        <v>88</v>
      </c>
      <c r="Q225" t="s">
        <v>89</v>
      </c>
      <c r="R225">
        <v>10004</v>
      </c>
      <c r="S225" s="1">
        <v>42021</v>
      </c>
      <c r="T225" s="1">
        <v>42023</v>
      </c>
      <c r="U225">
        <v>16.12</v>
      </c>
      <c r="V225">
        <v>18</v>
      </c>
      <c r="W225">
        <v>130.11000000000001</v>
      </c>
      <c r="X225">
        <v>46884</v>
      </c>
      <c r="Y225">
        <f>cleaneddata[[#This Row],[Unit Price]]-cleaneddata[[#This Row],[Discount]]</f>
        <v>7.54</v>
      </c>
      <c r="Z22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26" spans="1:26" x14ac:dyDescent="0.3">
      <c r="A226">
        <v>2618</v>
      </c>
      <c r="B226" t="s">
        <v>583</v>
      </c>
      <c r="C226" t="s">
        <v>92</v>
      </c>
      <c r="D226">
        <v>0</v>
      </c>
      <c r="E226">
        <v>125.99</v>
      </c>
      <c r="F226">
        <v>2.5</v>
      </c>
      <c r="G226" t="s">
        <v>14</v>
      </c>
      <c r="H226" t="s">
        <v>70</v>
      </c>
      <c r="I226" t="s">
        <v>16</v>
      </c>
      <c r="J226" t="s">
        <v>111</v>
      </c>
      <c r="K226" t="s">
        <v>49</v>
      </c>
      <c r="L226" t="s">
        <v>585</v>
      </c>
      <c r="M226">
        <v>0.59</v>
      </c>
      <c r="N226" t="s">
        <v>8</v>
      </c>
      <c r="O226" t="s">
        <v>87</v>
      </c>
      <c r="P226" t="s">
        <v>88</v>
      </c>
      <c r="Q226" t="s">
        <v>89</v>
      </c>
      <c r="R226">
        <v>10004</v>
      </c>
      <c r="S226" s="1">
        <v>42021</v>
      </c>
      <c r="T226" s="1">
        <v>42023</v>
      </c>
      <c r="U226">
        <v>-815.9008</v>
      </c>
      <c r="V226">
        <v>3</v>
      </c>
      <c r="W226">
        <v>337.34</v>
      </c>
      <c r="X226">
        <v>46884</v>
      </c>
      <c r="Y226">
        <f>cleaneddata[[#This Row],[Unit Price]]-cleaneddata[[#This Row],[Discount]]</f>
        <v>125.99</v>
      </c>
      <c r="Z22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27" spans="1:26" x14ac:dyDescent="0.3">
      <c r="A227">
        <v>2618</v>
      </c>
      <c r="B227" t="s">
        <v>583</v>
      </c>
      <c r="C227" t="s">
        <v>92</v>
      </c>
      <c r="D227">
        <v>0.1</v>
      </c>
      <c r="E227">
        <v>11.55</v>
      </c>
      <c r="F227">
        <v>2.36</v>
      </c>
      <c r="G227" t="s">
        <v>14</v>
      </c>
      <c r="H227" t="s">
        <v>70</v>
      </c>
      <c r="I227" t="s">
        <v>24</v>
      </c>
      <c r="J227" t="s">
        <v>25</v>
      </c>
      <c r="K227" t="s">
        <v>26</v>
      </c>
      <c r="L227" t="s">
        <v>356</v>
      </c>
      <c r="M227">
        <v>0.55000000000000004</v>
      </c>
      <c r="N227" t="s">
        <v>8</v>
      </c>
      <c r="O227" t="s">
        <v>87</v>
      </c>
      <c r="P227" t="s">
        <v>88</v>
      </c>
      <c r="Q227" t="s">
        <v>89</v>
      </c>
      <c r="R227">
        <v>10004</v>
      </c>
      <c r="S227" s="1">
        <v>42021</v>
      </c>
      <c r="T227" s="1">
        <v>42022</v>
      </c>
      <c r="U227">
        <v>15.808</v>
      </c>
      <c r="V227">
        <v>25</v>
      </c>
      <c r="W227">
        <v>280.43</v>
      </c>
      <c r="X227">
        <v>46884</v>
      </c>
      <c r="Y227">
        <f>cleaneddata[[#This Row],[Unit Price]]-cleaneddata[[#This Row],[Discount]]</f>
        <v>11.450000000000001</v>
      </c>
      <c r="Z22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28" spans="1:26" x14ac:dyDescent="0.3">
      <c r="A228">
        <v>2628</v>
      </c>
      <c r="B228" t="s">
        <v>586</v>
      </c>
      <c r="C228" t="s">
        <v>92</v>
      </c>
      <c r="D228">
        <v>0.02</v>
      </c>
      <c r="E228">
        <v>30.53</v>
      </c>
      <c r="F228">
        <v>19.989999999999998</v>
      </c>
      <c r="G228" t="s">
        <v>63</v>
      </c>
      <c r="H228" t="s">
        <v>70</v>
      </c>
      <c r="I228" t="s">
        <v>24</v>
      </c>
      <c r="J228" t="s">
        <v>128</v>
      </c>
      <c r="K228" t="s">
        <v>49</v>
      </c>
      <c r="L228" t="s">
        <v>547</v>
      </c>
      <c r="M228">
        <v>0.39</v>
      </c>
      <c r="N228" t="s">
        <v>8</v>
      </c>
      <c r="O228" t="s">
        <v>28</v>
      </c>
      <c r="P228" t="s">
        <v>183</v>
      </c>
      <c r="Q228" t="s">
        <v>587</v>
      </c>
      <c r="R228">
        <v>73160</v>
      </c>
      <c r="S228" s="1">
        <v>42021</v>
      </c>
      <c r="T228" s="1">
        <v>42023</v>
      </c>
      <c r="U228">
        <v>-54.63</v>
      </c>
      <c r="V228">
        <v>14</v>
      </c>
      <c r="W228">
        <v>448.47</v>
      </c>
      <c r="X228">
        <v>85916</v>
      </c>
      <c r="Y228">
        <f>cleaneddata[[#This Row],[Unit Price]]-cleaneddata[[#This Row],[Discount]]</f>
        <v>30.51</v>
      </c>
      <c r="Z2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29" spans="1:26" x14ac:dyDescent="0.3">
      <c r="A229">
        <v>526</v>
      </c>
      <c r="B229" t="s">
        <v>588</v>
      </c>
      <c r="C229" t="s">
        <v>46</v>
      </c>
      <c r="D229">
        <v>0</v>
      </c>
      <c r="E229">
        <v>1.88</v>
      </c>
      <c r="F229">
        <v>1.49</v>
      </c>
      <c r="G229" t="s">
        <v>14</v>
      </c>
      <c r="H229" t="s">
        <v>47</v>
      </c>
      <c r="I229" t="s">
        <v>24</v>
      </c>
      <c r="J229" t="s">
        <v>48</v>
      </c>
      <c r="K229" t="s">
        <v>49</v>
      </c>
      <c r="L229" t="s">
        <v>589</v>
      </c>
      <c r="M229">
        <v>0.37</v>
      </c>
      <c r="N229" t="s">
        <v>8</v>
      </c>
      <c r="O229" t="s">
        <v>35</v>
      </c>
      <c r="P229" t="s">
        <v>564</v>
      </c>
      <c r="Q229" t="s">
        <v>590</v>
      </c>
      <c r="R229">
        <v>85204</v>
      </c>
      <c r="S229" s="1">
        <v>42021</v>
      </c>
      <c r="T229" s="1">
        <v>42022</v>
      </c>
      <c r="U229">
        <v>-15.5595</v>
      </c>
      <c r="V229">
        <v>13</v>
      </c>
      <c r="W229">
        <v>25.39</v>
      </c>
      <c r="X229">
        <v>90027</v>
      </c>
      <c r="Y229">
        <f>cleaneddata[[#This Row],[Unit Price]]-cleaneddata[[#This Row],[Discount]]</f>
        <v>1.88</v>
      </c>
      <c r="Z2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30" spans="1:26" x14ac:dyDescent="0.3">
      <c r="A230">
        <v>526</v>
      </c>
      <c r="B230" t="s">
        <v>588</v>
      </c>
      <c r="C230" t="s">
        <v>46</v>
      </c>
      <c r="D230">
        <v>0.06</v>
      </c>
      <c r="E230">
        <v>5.78</v>
      </c>
      <c r="F230">
        <v>5.67</v>
      </c>
      <c r="G230" t="s">
        <v>14</v>
      </c>
      <c r="H230" t="s">
        <v>47</v>
      </c>
      <c r="I230" t="s">
        <v>24</v>
      </c>
      <c r="J230" t="s">
        <v>64</v>
      </c>
      <c r="K230" t="s">
        <v>49</v>
      </c>
      <c r="L230" t="s">
        <v>591</v>
      </c>
      <c r="M230">
        <v>0.36</v>
      </c>
      <c r="N230" t="s">
        <v>8</v>
      </c>
      <c r="O230" t="s">
        <v>35</v>
      </c>
      <c r="P230" t="s">
        <v>564</v>
      </c>
      <c r="Q230" t="s">
        <v>590</v>
      </c>
      <c r="R230">
        <v>85204</v>
      </c>
      <c r="S230" s="1">
        <v>42021</v>
      </c>
      <c r="T230" s="1">
        <v>42022</v>
      </c>
      <c r="U230">
        <v>-108.19</v>
      </c>
      <c r="V230">
        <v>15</v>
      </c>
      <c r="W230">
        <v>87.27</v>
      </c>
      <c r="X230">
        <v>90027</v>
      </c>
      <c r="Y230">
        <f>cleaneddata[[#This Row],[Unit Price]]-cleaneddata[[#This Row],[Discount]]</f>
        <v>5.7200000000000006</v>
      </c>
      <c r="Z23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31" spans="1:26" x14ac:dyDescent="0.3">
      <c r="A231">
        <v>2059</v>
      </c>
      <c r="B231" t="s">
        <v>592</v>
      </c>
      <c r="C231" t="s">
        <v>46</v>
      </c>
      <c r="D231">
        <v>0.09</v>
      </c>
      <c r="E231">
        <v>28.48</v>
      </c>
      <c r="F231">
        <v>1.99</v>
      </c>
      <c r="G231" t="s">
        <v>14</v>
      </c>
      <c r="H231" t="s">
        <v>70</v>
      </c>
      <c r="I231" t="s">
        <v>16</v>
      </c>
      <c r="J231" t="s">
        <v>17</v>
      </c>
      <c r="K231" t="s">
        <v>18</v>
      </c>
      <c r="L231" t="s">
        <v>188</v>
      </c>
      <c r="M231">
        <v>0.4</v>
      </c>
      <c r="N231" t="s">
        <v>8</v>
      </c>
      <c r="O231" t="s">
        <v>9</v>
      </c>
      <c r="P231" t="s">
        <v>73</v>
      </c>
      <c r="Q231" t="s">
        <v>593</v>
      </c>
      <c r="R231">
        <v>27260</v>
      </c>
      <c r="S231" s="1">
        <v>42021</v>
      </c>
      <c r="T231" s="1">
        <v>42022</v>
      </c>
      <c r="U231">
        <v>-1250.7460000000001</v>
      </c>
      <c r="V231">
        <v>13</v>
      </c>
      <c r="W231">
        <v>336.92</v>
      </c>
      <c r="X231">
        <v>88039</v>
      </c>
      <c r="Y231">
        <f>cleaneddata[[#This Row],[Unit Price]]-cleaneddata[[#This Row],[Discount]]</f>
        <v>28.39</v>
      </c>
      <c r="Z23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32" spans="1:26" x14ac:dyDescent="0.3">
      <c r="A232">
        <v>2725</v>
      </c>
      <c r="B232" t="s">
        <v>594</v>
      </c>
      <c r="C232" t="s">
        <v>46</v>
      </c>
      <c r="D232">
        <v>0.05</v>
      </c>
      <c r="E232">
        <v>28.15</v>
      </c>
      <c r="F232">
        <v>6.17</v>
      </c>
      <c r="G232" t="s">
        <v>14</v>
      </c>
      <c r="H232" t="s">
        <v>47</v>
      </c>
      <c r="I232" t="s">
        <v>24</v>
      </c>
      <c r="J232" t="s">
        <v>25</v>
      </c>
      <c r="K232" t="s">
        <v>18</v>
      </c>
      <c r="L232" t="s">
        <v>595</v>
      </c>
      <c r="M232">
        <v>0.55000000000000004</v>
      </c>
      <c r="N232" t="s">
        <v>8</v>
      </c>
      <c r="O232" t="s">
        <v>9</v>
      </c>
      <c r="P232" t="s">
        <v>376</v>
      </c>
      <c r="Q232" t="s">
        <v>596</v>
      </c>
      <c r="R232">
        <v>37042</v>
      </c>
      <c r="S232" s="1">
        <v>42021</v>
      </c>
      <c r="T232" s="1">
        <v>42022</v>
      </c>
      <c r="U232">
        <v>-66.248000000000005</v>
      </c>
      <c r="V232">
        <v>10</v>
      </c>
      <c r="W232">
        <v>282.38</v>
      </c>
      <c r="X232">
        <v>88958</v>
      </c>
      <c r="Y232">
        <f>cleaneddata[[#This Row],[Unit Price]]-cleaneddata[[#This Row],[Discount]]</f>
        <v>28.099999999999998</v>
      </c>
      <c r="Z23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33" spans="1:26" x14ac:dyDescent="0.3">
      <c r="A233">
        <v>2443</v>
      </c>
      <c r="B233" t="s">
        <v>597</v>
      </c>
      <c r="C233" t="s">
        <v>13</v>
      </c>
      <c r="D233">
        <v>0.05</v>
      </c>
      <c r="E233">
        <v>58.1</v>
      </c>
      <c r="F233">
        <v>1.49</v>
      </c>
      <c r="G233" t="s">
        <v>14</v>
      </c>
      <c r="H233" t="s">
        <v>70</v>
      </c>
      <c r="I233" t="s">
        <v>24</v>
      </c>
      <c r="J233" t="s">
        <v>48</v>
      </c>
      <c r="K233" t="s">
        <v>49</v>
      </c>
      <c r="L233" t="s">
        <v>598</v>
      </c>
      <c r="M233">
        <v>0.38</v>
      </c>
      <c r="N233" t="s">
        <v>8</v>
      </c>
      <c r="O233" t="s">
        <v>9</v>
      </c>
      <c r="P233" t="s">
        <v>99</v>
      </c>
      <c r="Q233" t="s">
        <v>104</v>
      </c>
      <c r="R233">
        <v>33142</v>
      </c>
      <c r="S233" s="1">
        <v>42022</v>
      </c>
      <c r="T233" s="1">
        <v>42022</v>
      </c>
      <c r="U233">
        <v>1633.9860000000001</v>
      </c>
      <c r="V233">
        <v>13</v>
      </c>
      <c r="W233">
        <v>739.06</v>
      </c>
      <c r="X233">
        <v>89299</v>
      </c>
      <c r="Y233">
        <f>cleaneddata[[#This Row],[Unit Price]]-cleaneddata[[#This Row],[Discount]]</f>
        <v>58.050000000000004</v>
      </c>
      <c r="Z2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34" spans="1:26" x14ac:dyDescent="0.3">
      <c r="A234">
        <v>1971</v>
      </c>
      <c r="B234" t="s">
        <v>599</v>
      </c>
      <c r="C234" t="s">
        <v>92</v>
      </c>
      <c r="D234">
        <v>0.02</v>
      </c>
      <c r="E234">
        <v>11.58</v>
      </c>
      <c r="F234">
        <v>5.72</v>
      </c>
      <c r="G234" t="s">
        <v>14</v>
      </c>
      <c r="H234" t="s">
        <v>70</v>
      </c>
      <c r="I234" t="s">
        <v>24</v>
      </c>
      <c r="J234" t="s">
        <v>321</v>
      </c>
      <c r="K234" t="s">
        <v>49</v>
      </c>
      <c r="L234" t="s">
        <v>600</v>
      </c>
      <c r="M234">
        <v>0.35</v>
      </c>
      <c r="N234" t="s">
        <v>8</v>
      </c>
      <c r="O234" t="s">
        <v>9</v>
      </c>
      <c r="P234" t="s">
        <v>10</v>
      </c>
      <c r="Q234" t="s">
        <v>601</v>
      </c>
      <c r="R234">
        <v>38801</v>
      </c>
      <c r="S234" s="1">
        <v>42022</v>
      </c>
      <c r="T234" s="1">
        <v>42023</v>
      </c>
      <c r="U234">
        <v>-259.75599999999997</v>
      </c>
      <c r="V234">
        <v>3</v>
      </c>
      <c r="W234">
        <v>35.479999999999997</v>
      </c>
      <c r="X234">
        <v>91550</v>
      </c>
      <c r="Y234">
        <f>cleaneddata[[#This Row],[Unit Price]]-cleaneddata[[#This Row],[Discount]]</f>
        <v>11.56</v>
      </c>
      <c r="Z23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35" spans="1:26" x14ac:dyDescent="0.3">
      <c r="A235">
        <v>1972</v>
      </c>
      <c r="B235" t="s">
        <v>602</v>
      </c>
      <c r="C235" t="s">
        <v>92</v>
      </c>
      <c r="D235">
        <v>0.05</v>
      </c>
      <c r="E235">
        <v>350.99</v>
      </c>
      <c r="F235">
        <v>39</v>
      </c>
      <c r="G235" t="s">
        <v>2</v>
      </c>
      <c r="H235" t="s">
        <v>70</v>
      </c>
      <c r="I235" t="s">
        <v>4</v>
      </c>
      <c r="J235" t="s">
        <v>85</v>
      </c>
      <c r="K235" t="s">
        <v>33</v>
      </c>
      <c r="L235" t="s">
        <v>414</v>
      </c>
      <c r="M235">
        <v>0.55000000000000004</v>
      </c>
      <c r="N235" t="s">
        <v>8</v>
      </c>
      <c r="O235" t="s">
        <v>87</v>
      </c>
      <c r="P235" t="s">
        <v>296</v>
      </c>
      <c r="Q235" t="s">
        <v>603</v>
      </c>
      <c r="R235">
        <v>19090</v>
      </c>
      <c r="S235" s="1">
        <v>42022</v>
      </c>
      <c r="T235" s="1">
        <v>42024</v>
      </c>
      <c r="U235">
        <v>1469.7275999999999</v>
      </c>
      <c r="V235">
        <v>6</v>
      </c>
      <c r="W235">
        <v>2130.04</v>
      </c>
      <c r="X235">
        <v>91550</v>
      </c>
      <c r="Y235">
        <f>cleaneddata[[#This Row],[Unit Price]]-cleaneddata[[#This Row],[Discount]]</f>
        <v>350.94</v>
      </c>
      <c r="Z2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36" spans="1:26" x14ac:dyDescent="0.3">
      <c r="A236">
        <v>1972</v>
      </c>
      <c r="B236" t="s">
        <v>602</v>
      </c>
      <c r="C236" t="s">
        <v>92</v>
      </c>
      <c r="D236">
        <v>0.04</v>
      </c>
      <c r="E236">
        <v>15.99</v>
      </c>
      <c r="F236">
        <v>9.4</v>
      </c>
      <c r="G236" t="s">
        <v>63</v>
      </c>
      <c r="H236" t="s">
        <v>70</v>
      </c>
      <c r="I236" t="s">
        <v>16</v>
      </c>
      <c r="J236" t="s">
        <v>32</v>
      </c>
      <c r="K236" t="s">
        <v>49</v>
      </c>
      <c r="L236" t="s">
        <v>604</v>
      </c>
      <c r="M236">
        <v>0.49</v>
      </c>
      <c r="N236" t="s">
        <v>8</v>
      </c>
      <c r="O236" t="s">
        <v>87</v>
      </c>
      <c r="P236" t="s">
        <v>296</v>
      </c>
      <c r="Q236" t="s">
        <v>603</v>
      </c>
      <c r="R236">
        <v>19090</v>
      </c>
      <c r="S236" s="1">
        <v>42022</v>
      </c>
      <c r="T236" s="1">
        <v>42024</v>
      </c>
      <c r="U236">
        <v>-83.553060000000002</v>
      </c>
      <c r="V236">
        <v>5</v>
      </c>
      <c r="W236">
        <v>82.8</v>
      </c>
      <c r="X236">
        <v>91550</v>
      </c>
      <c r="Y236">
        <f>cleaneddata[[#This Row],[Unit Price]]-cleaneddata[[#This Row],[Discount]]</f>
        <v>15.950000000000001</v>
      </c>
      <c r="Z2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37" spans="1:26" x14ac:dyDescent="0.3">
      <c r="A237">
        <v>657</v>
      </c>
      <c r="B237" t="s">
        <v>605</v>
      </c>
      <c r="C237" t="s">
        <v>1</v>
      </c>
      <c r="D237">
        <v>0.1</v>
      </c>
      <c r="E237">
        <v>18.97</v>
      </c>
      <c r="F237">
        <v>9.0299999999999994</v>
      </c>
      <c r="G237" t="s">
        <v>14</v>
      </c>
      <c r="H237" t="s">
        <v>15</v>
      </c>
      <c r="I237" t="s">
        <v>24</v>
      </c>
      <c r="J237" t="s">
        <v>64</v>
      </c>
      <c r="K237" t="s">
        <v>49</v>
      </c>
      <c r="L237" t="s">
        <v>606</v>
      </c>
      <c r="M237">
        <v>0.37</v>
      </c>
      <c r="N237" t="s">
        <v>8</v>
      </c>
      <c r="O237" t="s">
        <v>87</v>
      </c>
      <c r="P237" t="s">
        <v>379</v>
      </c>
      <c r="Q237" t="s">
        <v>607</v>
      </c>
      <c r="R237">
        <v>1540</v>
      </c>
      <c r="S237" s="1">
        <v>42023</v>
      </c>
      <c r="T237" s="1">
        <v>42025</v>
      </c>
      <c r="U237">
        <v>-24.204799999999999</v>
      </c>
      <c r="V237">
        <v>1</v>
      </c>
      <c r="W237">
        <v>19.73</v>
      </c>
      <c r="X237">
        <v>91212</v>
      </c>
      <c r="Y237">
        <f>cleaneddata[[#This Row],[Unit Price]]-cleaneddata[[#This Row],[Discount]]</f>
        <v>18.869999999999997</v>
      </c>
      <c r="Z2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38" spans="1:26" x14ac:dyDescent="0.3">
      <c r="A238">
        <v>659</v>
      </c>
      <c r="B238" t="s">
        <v>608</v>
      </c>
      <c r="C238" t="s">
        <v>1</v>
      </c>
      <c r="D238">
        <v>0</v>
      </c>
      <c r="E238">
        <v>119.99</v>
      </c>
      <c r="F238">
        <v>56.14</v>
      </c>
      <c r="G238" t="s">
        <v>2</v>
      </c>
      <c r="H238" t="s">
        <v>15</v>
      </c>
      <c r="I238" t="s">
        <v>16</v>
      </c>
      <c r="J238" t="s">
        <v>32</v>
      </c>
      <c r="K238" t="s">
        <v>6</v>
      </c>
      <c r="L238" t="s">
        <v>563</v>
      </c>
      <c r="M238">
        <v>0.39</v>
      </c>
      <c r="N238" t="s">
        <v>8</v>
      </c>
      <c r="O238" t="s">
        <v>87</v>
      </c>
      <c r="P238" t="s">
        <v>609</v>
      </c>
      <c r="Q238" t="s">
        <v>610</v>
      </c>
      <c r="R238">
        <v>5403</v>
      </c>
      <c r="S238" s="1">
        <v>42023</v>
      </c>
      <c r="T238" s="1">
        <v>42024</v>
      </c>
      <c r="U238">
        <v>-126.05777999999999</v>
      </c>
      <c r="V238">
        <v>5</v>
      </c>
      <c r="W238">
        <v>615.54</v>
      </c>
      <c r="X238">
        <v>91212</v>
      </c>
      <c r="Y238">
        <f>cleaneddata[[#This Row],[Unit Price]]-cleaneddata[[#This Row],[Discount]]</f>
        <v>119.99</v>
      </c>
      <c r="Z23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39" spans="1:26" x14ac:dyDescent="0.3">
      <c r="A239">
        <v>3095</v>
      </c>
      <c r="B239" t="s">
        <v>611</v>
      </c>
      <c r="C239" t="s">
        <v>1</v>
      </c>
      <c r="D239">
        <v>0.09</v>
      </c>
      <c r="E239">
        <v>207.48</v>
      </c>
      <c r="F239">
        <v>0.99</v>
      </c>
      <c r="G239" t="s">
        <v>14</v>
      </c>
      <c r="H239" t="s">
        <v>15</v>
      </c>
      <c r="I239" t="s">
        <v>24</v>
      </c>
      <c r="J239" t="s">
        <v>71</v>
      </c>
      <c r="K239" t="s">
        <v>49</v>
      </c>
      <c r="L239" t="s">
        <v>612</v>
      </c>
      <c r="M239">
        <v>0.55000000000000004</v>
      </c>
      <c r="N239" t="s">
        <v>8</v>
      </c>
      <c r="O239" t="s">
        <v>87</v>
      </c>
      <c r="P239" t="s">
        <v>293</v>
      </c>
      <c r="Q239" t="s">
        <v>613</v>
      </c>
      <c r="R239">
        <v>45011</v>
      </c>
      <c r="S239" s="1">
        <v>42023</v>
      </c>
      <c r="T239" s="1">
        <v>42025</v>
      </c>
      <c r="U239">
        <v>683.9556</v>
      </c>
      <c r="V239">
        <v>5</v>
      </c>
      <c r="W239">
        <v>991.24</v>
      </c>
      <c r="X239">
        <v>86220</v>
      </c>
      <c r="Y239">
        <f>cleaneddata[[#This Row],[Unit Price]]-cleaneddata[[#This Row],[Discount]]</f>
        <v>207.39</v>
      </c>
      <c r="Z23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40" spans="1:26" x14ac:dyDescent="0.3">
      <c r="A240">
        <v>259</v>
      </c>
      <c r="B240" t="s">
        <v>614</v>
      </c>
      <c r="C240" t="s">
        <v>23</v>
      </c>
      <c r="D240">
        <v>0.09</v>
      </c>
      <c r="E240">
        <v>2.88</v>
      </c>
      <c r="F240">
        <v>0.7</v>
      </c>
      <c r="G240" t="s">
        <v>14</v>
      </c>
      <c r="H240" t="s">
        <v>15</v>
      </c>
      <c r="I240" t="s">
        <v>24</v>
      </c>
      <c r="J240" t="s">
        <v>25</v>
      </c>
      <c r="K240" t="s">
        <v>26</v>
      </c>
      <c r="L240" t="s">
        <v>615</v>
      </c>
      <c r="M240">
        <v>0.56000000000000005</v>
      </c>
      <c r="N240" t="s">
        <v>8</v>
      </c>
      <c r="O240" t="s">
        <v>35</v>
      </c>
      <c r="P240" t="s">
        <v>616</v>
      </c>
      <c r="Q240" t="s">
        <v>617</v>
      </c>
      <c r="R240">
        <v>87505</v>
      </c>
      <c r="S240" s="1">
        <v>42023</v>
      </c>
      <c r="T240" s="1">
        <v>42023</v>
      </c>
      <c r="U240">
        <v>5.7531999999999996</v>
      </c>
      <c r="V240">
        <v>10</v>
      </c>
      <c r="W240">
        <v>26.38</v>
      </c>
      <c r="X240">
        <v>85857</v>
      </c>
      <c r="Y240">
        <f>cleaneddata[[#This Row],[Unit Price]]-cleaneddata[[#This Row],[Discount]]</f>
        <v>2.79</v>
      </c>
      <c r="Z24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41" spans="1:26" x14ac:dyDescent="0.3">
      <c r="A241">
        <v>3155</v>
      </c>
      <c r="B241" t="s">
        <v>618</v>
      </c>
      <c r="C241" t="s">
        <v>1</v>
      </c>
      <c r="D241">
        <v>0.02</v>
      </c>
      <c r="E241">
        <v>60.22</v>
      </c>
      <c r="F241">
        <v>3.5</v>
      </c>
      <c r="G241" t="s">
        <v>14</v>
      </c>
      <c r="H241" t="s">
        <v>70</v>
      </c>
      <c r="I241" t="s">
        <v>24</v>
      </c>
      <c r="J241" t="s">
        <v>71</v>
      </c>
      <c r="K241" t="s">
        <v>49</v>
      </c>
      <c r="L241" t="s">
        <v>619</v>
      </c>
      <c r="M241">
        <v>0.56999999999999995</v>
      </c>
      <c r="N241" t="s">
        <v>8</v>
      </c>
      <c r="O241" t="s">
        <v>9</v>
      </c>
      <c r="P241" t="s">
        <v>99</v>
      </c>
      <c r="Q241" t="s">
        <v>308</v>
      </c>
      <c r="R241">
        <v>32771</v>
      </c>
      <c r="S241" s="1">
        <v>42024</v>
      </c>
      <c r="T241" s="1">
        <v>42025</v>
      </c>
      <c r="U241">
        <v>-193.91399999999999</v>
      </c>
      <c r="V241">
        <v>9</v>
      </c>
      <c r="W241">
        <v>541.76</v>
      </c>
      <c r="X241">
        <v>86898</v>
      </c>
      <c r="Y241">
        <f>cleaneddata[[#This Row],[Unit Price]]-cleaneddata[[#This Row],[Discount]]</f>
        <v>60.199999999999996</v>
      </c>
      <c r="Z2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42" spans="1:26" x14ac:dyDescent="0.3">
      <c r="A242">
        <v>32</v>
      </c>
      <c r="B242" t="s">
        <v>620</v>
      </c>
      <c r="C242" t="s">
        <v>92</v>
      </c>
      <c r="D242">
        <v>0.09</v>
      </c>
      <c r="E242">
        <v>125.99</v>
      </c>
      <c r="F242">
        <v>7.69</v>
      </c>
      <c r="G242" t="s">
        <v>63</v>
      </c>
      <c r="H242" t="s">
        <v>70</v>
      </c>
      <c r="I242" t="s">
        <v>16</v>
      </c>
      <c r="J242" t="s">
        <v>111</v>
      </c>
      <c r="K242" t="s">
        <v>49</v>
      </c>
      <c r="L242" t="s">
        <v>621</v>
      </c>
      <c r="M242">
        <v>0.59</v>
      </c>
      <c r="N242" t="s">
        <v>8</v>
      </c>
      <c r="O242" t="s">
        <v>35</v>
      </c>
      <c r="P242" t="s">
        <v>115</v>
      </c>
      <c r="Q242" t="s">
        <v>622</v>
      </c>
      <c r="R242">
        <v>97526</v>
      </c>
      <c r="S242" s="1">
        <v>42024</v>
      </c>
      <c r="T242" s="1">
        <v>42026</v>
      </c>
      <c r="U242">
        <v>209.99700000000001</v>
      </c>
      <c r="V242">
        <v>8</v>
      </c>
      <c r="W242">
        <v>783.55</v>
      </c>
      <c r="X242">
        <v>89202</v>
      </c>
      <c r="Y242">
        <f>cleaneddata[[#This Row],[Unit Price]]-cleaneddata[[#This Row],[Discount]]</f>
        <v>125.89999999999999</v>
      </c>
      <c r="Z24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43" spans="1:26" x14ac:dyDescent="0.3">
      <c r="A243">
        <v>493</v>
      </c>
      <c r="B243" t="s">
        <v>623</v>
      </c>
      <c r="C243" t="s">
        <v>46</v>
      </c>
      <c r="D243">
        <v>0.02</v>
      </c>
      <c r="E243">
        <v>6.48</v>
      </c>
      <c r="F243">
        <v>6.6</v>
      </c>
      <c r="G243" t="s">
        <v>14</v>
      </c>
      <c r="H243" t="s">
        <v>15</v>
      </c>
      <c r="I243" t="s">
        <v>24</v>
      </c>
      <c r="J243" t="s">
        <v>64</v>
      </c>
      <c r="K243" t="s">
        <v>49</v>
      </c>
      <c r="L243" t="s">
        <v>624</v>
      </c>
      <c r="M243">
        <v>0.37</v>
      </c>
      <c r="N243" t="s">
        <v>8</v>
      </c>
      <c r="O243" t="s">
        <v>35</v>
      </c>
      <c r="P243" t="s">
        <v>42</v>
      </c>
      <c r="Q243" t="s">
        <v>625</v>
      </c>
      <c r="R243">
        <v>98158</v>
      </c>
      <c r="S243" s="1">
        <v>42024</v>
      </c>
      <c r="T243" s="1">
        <v>42026</v>
      </c>
      <c r="U243">
        <v>-92.05</v>
      </c>
      <c r="V243">
        <v>10</v>
      </c>
      <c r="W243">
        <v>66.709999999999994</v>
      </c>
      <c r="X243">
        <v>88906</v>
      </c>
      <c r="Y243">
        <f>cleaneddata[[#This Row],[Unit Price]]-cleaneddata[[#This Row],[Discount]]</f>
        <v>6.4600000000000009</v>
      </c>
      <c r="Z2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44" spans="1:26" x14ac:dyDescent="0.3">
      <c r="A244">
        <v>493</v>
      </c>
      <c r="B244" t="s">
        <v>623</v>
      </c>
      <c r="C244" t="s">
        <v>46</v>
      </c>
      <c r="D244">
        <v>0.04</v>
      </c>
      <c r="E244">
        <v>17.149999999999999</v>
      </c>
      <c r="F244">
        <v>4.96</v>
      </c>
      <c r="G244" t="s">
        <v>14</v>
      </c>
      <c r="H244" t="s">
        <v>15</v>
      </c>
      <c r="I244" t="s">
        <v>24</v>
      </c>
      <c r="J244" t="s">
        <v>54</v>
      </c>
      <c r="K244" t="s">
        <v>49</v>
      </c>
      <c r="L244" t="s">
        <v>626</v>
      </c>
      <c r="M244">
        <v>0.57999999999999996</v>
      </c>
      <c r="N244" t="s">
        <v>8</v>
      </c>
      <c r="O244" t="s">
        <v>35</v>
      </c>
      <c r="P244" t="s">
        <v>42</v>
      </c>
      <c r="Q244" t="s">
        <v>625</v>
      </c>
      <c r="R244">
        <v>98158</v>
      </c>
      <c r="S244" s="1">
        <v>42024</v>
      </c>
      <c r="T244" s="1">
        <v>42025</v>
      </c>
      <c r="U244">
        <v>6.11</v>
      </c>
      <c r="V244">
        <v>5</v>
      </c>
      <c r="W244">
        <v>87.16</v>
      </c>
      <c r="X244">
        <v>88906</v>
      </c>
      <c r="Y244">
        <f>cleaneddata[[#This Row],[Unit Price]]-cleaneddata[[#This Row],[Discount]]</f>
        <v>17.11</v>
      </c>
      <c r="Z2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45" spans="1:26" x14ac:dyDescent="0.3">
      <c r="A245">
        <v>524</v>
      </c>
      <c r="B245" t="s">
        <v>627</v>
      </c>
      <c r="C245" t="s">
        <v>46</v>
      </c>
      <c r="D245">
        <v>0.03</v>
      </c>
      <c r="E245">
        <v>1270.99</v>
      </c>
      <c r="F245">
        <v>19.989999999999998</v>
      </c>
      <c r="G245" t="s">
        <v>14</v>
      </c>
      <c r="H245" t="s">
        <v>15</v>
      </c>
      <c r="I245" t="s">
        <v>24</v>
      </c>
      <c r="J245" t="s">
        <v>48</v>
      </c>
      <c r="K245" t="s">
        <v>49</v>
      </c>
      <c r="L245" t="s">
        <v>628</v>
      </c>
      <c r="M245">
        <v>0.35</v>
      </c>
      <c r="N245" t="s">
        <v>8</v>
      </c>
      <c r="O245" t="s">
        <v>9</v>
      </c>
      <c r="P245" t="s">
        <v>376</v>
      </c>
      <c r="Q245" t="s">
        <v>629</v>
      </c>
      <c r="R245">
        <v>37922</v>
      </c>
      <c r="S245" s="1">
        <v>42024</v>
      </c>
      <c r="T245" s="1">
        <v>42026</v>
      </c>
      <c r="U245">
        <v>363.55200000000002</v>
      </c>
      <c r="V245">
        <v>2</v>
      </c>
      <c r="W245">
        <v>2589.0100000000002</v>
      </c>
      <c r="X245">
        <v>91127</v>
      </c>
      <c r="Y245">
        <f>cleaneddata[[#This Row],[Unit Price]]-cleaneddata[[#This Row],[Discount]]</f>
        <v>1270.96</v>
      </c>
      <c r="Z24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46" spans="1:26" x14ac:dyDescent="0.3">
      <c r="A246">
        <v>524</v>
      </c>
      <c r="B246" t="s">
        <v>627</v>
      </c>
      <c r="C246" t="s">
        <v>46</v>
      </c>
      <c r="D246">
        <v>7.0000000000000007E-2</v>
      </c>
      <c r="E246">
        <v>2036.48</v>
      </c>
      <c r="F246">
        <v>14.7</v>
      </c>
      <c r="G246" t="s">
        <v>2</v>
      </c>
      <c r="H246" t="s">
        <v>15</v>
      </c>
      <c r="I246" t="s">
        <v>16</v>
      </c>
      <c r="J246" t="s">
        <v>32</v>
      </c>
      <c r="K246" t="s">
        <v>33</v>
      </c>
      <c r="L246" t="s">
        <v>34</v>
      </c>
      <c r="M246">
        <v>0.55000000000000004</v>
      </c>
      <c r="N246" t="s">
        <v>8</v>
      </c>
      <c r="O246" t="s">
        <v>9</v>
      </c>
      <c r="P246" t="s">
        <v>376</v>
      </c>
      <c r="Q246" t="s">
        <v>629</v>
      </c>
      <c r="R246">
        <v>37922</v>
      </c>
      <c r="S246" s="1">
        <v>42024</v>
      </c>
      <c r="T246" s="1">
        <v>42026</v>
      </c>
      <c r="U246">
        <v>-11.536</v>
      </c>
      <c r="V246">
        <v>1</v>
      </c>
      <c r="W246">
        <v>1893.93</v>
      </c>
      <c r="X246">
        <v>91127</v>
      </c>
      <c r="Y246">
        <f>cleaneddata[[#This Row],[Unit Price]]-cleaneddata[[#This Row],[Discount]]</f>
        <v>2036.41</v>
      </c>
      <c r="Z24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47" spans="1:26" x14ac:dyDescent="0.3">
      <c r="A247">
        <v>549</v>
      </c>
      <c r="B247" t="s">
        <v>630</v>
      </c>
      <c r="C247" t="s">
        <v>46</v>
      </c>
      <c r="D247">
        <v>0.02</v>
      </c>
      <c r="E247">
        <v>7.1</v>
      </c>
      <c r="F247">
        <v>6.05</v>
      </c>
      <c r="G247" t="s">
        <v>14</v>
      </c>
      <c r="H247" t="s">
        <v>70</v>
      </c>
      <c r="I247" t="s">
        <v>24</v>
      </c>
      <c r="J247" t="s">
        <v>48</v>
      </c>
      <c r="K247" t="s">
        <v>49</v>
      </c>
      <c r="L247" t="s">
        <v>227</v>
      </c>
      <c r="M247">
        <v>0.39</v>
      </c>
      <c r="N247" t="s">
        <v>8</v>
      </c>
      <c r="O247" t="s">
        <v>35</v>
      </c>
      <c r="P247" t="s">
        <v>616</v>
      </c>
      <c r="Q247" t="s">
        <v>171</v>
      </c>
      <c r="R247">
        <v>88201</v>
      </c>
      <c r="S247" s="1">
        <v>42024</v>
      </c>
      <c r="T247" s="1">
        <v>42024</v>
      </c>
      <c r="U247">
        <v>-66.378</v>
      </c>
      <c r="V247">
        <v>9</v>
      </c>
      <c r="W247">
        <v>66.319999999999993</v>
      </c>
      <c r="X247">
        <v>90908</v>
      </c>
      <c r="Y247">
        <f>cleaneddata[[#This Row],[Unit Price]]-cleaneddata[[#This Row],[Discount]]</f>
        <v>7.08</v>
      </c>
      <c r="Z24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48" spans="1:26" x14ac:dyDescent="0.3">
      <c r="A248">
        <v>2464</v>
      </c>
      <c r="B248" t="s">
        <v>631</v>
      </c>
      <c r="C248" t="s">
        <v>46</v>
      </c>
      <c r="D248">
        <v>0.05</v>
      </c>
      <c r="E248">
        <v>6.28</v>
      </c>
      <c r="F248">
        <v>5.36</v>
      </c>
      <c r="G248" t="s">
        <v>14</v>
      </c>
      <c r="H248" t="s">
        <v>15</v>
      </c>
      <c r="I248" t="s">
        <v>24</v>
      </c>
      <c r="J248" t="s">
        <v>48</v>
      </c>
      <c r="K248" t="s">
        <v>49</v>
      </c>
      <c r="L248" t="s">
        <v>632</v>
      </c>
      <c r="M248">
        <v>0.4</v>
      </c>
      <c r="N248" t="s">
        <v>8</v>
      </c>
      <c r="O248" t="s">
        <v>9</v>
      </c>
      <c r="P248" t="s">
        <v>144</v>
      </c>
      <c r="Q248" t="s">
        <v>633</v>
      </c>
      <c r="R248">
        <v>71111</v>
      </c>
      <c r="S248" s="1">
        <v>42024</v>
      </c>
      <c r="T248" s="1">
        <v>42027</v>
      </c>
      <c r="U248">
        <v>1.278</v>
      </c>
      <c r="V248">
        <v>6</v>
      </c>
      <c r="W248">
        <v>38.04</v>
      </c>
      <c r="X248">
        <v>88714</v>
      </c>
      <c r="Y248">
        <f>cleaneddata[[#This Row],[Unit Price]]-cleaneddata[[#This Row],[Discount]]</f>
        <v>6.23</v>
      </c>
      <c r="Z24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49" spans="1:26" x14ac:dyDescent="0.3">
      <c r="A249">
        <v>2464</v>
      </c>
      <c r="B249" t="s">
        <v>631</v>
      </c>
      <c r="C249" t="s">
        <v>46</v>
      </c>
      <c r="D249">
        <v>0.04</v>
      </c>
      <c r="E249">
        <v>3.08</v>
      </c>
      <c r="F249">
        <v>0.99</v>
      </c>
      <c r="G249" t="s">
        <v>14</v>
      </c>
      <c r="H249" t="s">
        <v>15</v>
      </c>
      <c r="I249" t="s">
        <v>24</v>
      </c>
      <c r="J249" t="s">
        <v>128</v>
      </c>
      <c r="K249" t="s">
        <v>49</v>
      </c>
      <c r="L249" t="s">
        <v>634</v>
      </c>
      <c r="M249">
        <v>0.37</v>
      </c>
      <c r="N249" t="s">
        <v>8</v>
      </c>
      <c r="O249" t="s">
        <v>9</v>
      </c>
      <c r="P249" t="s">
        <v>144</v>
      </c>
      <c r="Q249" t="s">
        <v>633</v>
      </c>
      <c r="R249">
        <v>71111</v>
      </c>
      <c r="S249" s="1">
        <v>42024</v>
      </c>
      <c r="T249" s="1">
        <v>42025</v>
      </c>
      <c r="U249">
        <v>424.29</v>
      </c>
      <c r="V249">
        <v>14</v>
      </c>
      <c r="W249">
        <v>42.53</v>
      </c>
      <c r="X249">
        <v>88714</v>
      </c>
      <c r="Y249">
        <f>cleaneddata[[#This Row],[Unit Price]]-cleaneddata[[#This Row],[Discount]]</f>
        <v>3.04</v>
      </c>
      <c r="Z24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50" spans="1:26" x14ac:dyDescent="0.3">
      <c r="A250">
        <v>1473</v>
      </c>
      <c r="B250" t="s">
        <v>635</v>
      </c>
      <c r="C250" t="s">
        <v>1</v>
      </c>
      <c r="D250">
        <v>0.04</v>
      </c>
      <c r="E250">
        <v>9.7799999999999994</v>
      </c>
      <c r="F250">
        <v>1.99</v>
      </c>
      <c r="G250" t="s">
        <v>63</v>
      </c>
      <c r="H250" t="s">
        <v>47</v>
      </c>
      <c r="I250" t="s">
        <v>16</v>
      </c>
      <c r="J250" t="s">
        <v>17</v>
      </c>
      <c r="K250" t="s">
        <v>18</v>
      </c>
      <c r="L250" t="s">
        <v>636</v>
      </c>
      <c r="M250">
        <v>0.43</v>
      </c>
      <c r="N250" t="s">
        <v>8</v>
      </c>
      <c r="O250" t="s">
        <v>87</v>
      </c>
      <c r="P250" t="s">
        <v>293</v>
      </c>
      <c r="Q250" t="s">
        <v>637</v>
      </c>
      <c r="R250">
        <v>44691</v>
      </c>
      <c r="S250" s="1">
        <v>42025</v>
      </c>
      <c r="T250" s="1">
        <v>42026</v>
      </c>
      <c r="U250">
        <v>61.292700000000004</v>
      </c>
      <c r="V250">
        <v>9</v>
      </c>
      <c r="W250">
        <v>88.83</v>
      </c>
      <c r="X250">
        <v>87076</v>
      </c>
      <c r="Y250">
        <f>cleaneddata[[#This Row],[Unit Price]]-cleaneddata[[#This Row],[Discount]]</f>
        <v>9.74</v>
      </c>
      <c r="Z25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51" spans="1:26" x14ac:dyDescent="0.3">
      <c r="A251">
        <v>1788</v>
      </c>
      <c r="B251" t="s">
        <v>638</v>
      </c>
      <c r="C251" t="s">
        <v>1</v>
      </c>
      <c r="D251">
        <v>0.04</v>
      </c>
      <c r="E251">
        <v>205.99</v>
      </c>
      <c r="F251">
        <v>8.99</v>
      </c>
      <c r="G251" t="s">
        <v>14</v>
      </c>
      <c r="H251" t="s">
        <v>15</v>
      </c>
      <c r="I251" t="s">
        <v>16</v>
      </c>
      <c r="J251" t="s">
        <v>111</v>
      </c>
      <c r="K251" t="s">
        <v>49</v>
      </c>
      <c r="L251" t="s">
        <v>639</v>
      </c>
      <c r="M251">
        <v>0.56000000000000005</v>
      </c>
      <c r="N251" t="s">
        <v>8</v>
      </c>
      <c r="O251" t="s">
        <v>9</v>
      </c>
      <c r="P251" t="s">
        <v>51</v>
      </c>
      <c r="Q251" t="s">
        <v>640</v>
      </c>
      <c r="R251">
        <v>30188</v>
      </c>
      <c r="S251" s="1">
        <v>42025</v>
      </c>
      <c r="T251" s="1">
        <v>42026</v>
      </c>
      <c r="U251">
        <v>960.98400000000004</v>
      </c>
      <c r="V251">
        <v>6</v>
      </c>
      <c r="W251">
        <v>1008.53</v>
      </c>
      <c r="X251">
        <v>88256</v>
      </c>
      <c r="Y251">
        <f>cleaneddata[[#This Row],[Unit Price]]-cleaneddata[[#This Row],[Discount]]</f>
        <v>205.95000000000002</v>
      </c>
      <c r="Z25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52" spans="1:26" x14ac:dyDescent="0.3">
      <c r="A252">
        <v>263</v>
      </c>
      <c r="B252" t="s">
        <v>641</v>
      </c>
      <c r="C252" t="s">
        <v>13</v>
      </c>
      <c r="D252">
        <v>0.05</v>
      </c>
      <c r="E252">
        <v>31.76</v>
      </c>
      <c r="F252">
        <v>45.51</v>
      </c>
      <c r="G252" t="s">
        <v>2</v>
      </c>
      <c r="H252" t="s">
        <v>3</v>
      </c>
      <c r="I252" t="s">
        <v>4</v>
      </c>
      <c r="J252" t="s">
        <v>5</v>
      </c>
      <c r="K252" t="s">
        <v>6</v>
      </c>
      <c r="L252" t="s">
        <v>642</v>
      </c>
      <c r="M252">
        <v>0.65</v>
      </c>
      <c r="N252" t="s">
        <v>8</v>
      </c>
      <c r="O252" t="s">
        <v>87</v>
      </c>
      <c r="P252" t="s">
        <v>293</v>
      </c>
      <c r="Q252" t="s">
        <v>643</v>
      </c>
      <c r="R252">
        <v>44106</v>
      </c>
      <c r="S252" s="1">
        <v>42025</v>
      </c>
      <c r="T252" s="1">
        <v>42027</v>
      </c>
      <c r="U252">
        <v>-2177.9860960000001</v>
      </c>
      <c r="V252">
        <v>9</v>
      </c>
      <c r="W252">
        <v>304.33999999999997</v>
      </c>
      <c r="X252">
        <v>86297</v>
      </c>
      <c r="Y252">
        <f>cleaneddata[[#This Row],[Unit Price]]-cleaneddata[[#This Row],[Discount]]</f>
        <v>31.71</v>
      </c>
      <c r="Z25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53" spans="1:26" x14ac:dyDescent="0.3">
      <c r="A253">
        <v>2423</v>
      </c>
      <c r="B253" t="s">
        <v>644</v>
      </c>
      <c r="C253" t="s">
        <v>23</v>
      </c>
      <c r="D253">
        <v>0.04</v>
      </c>
      <c r="E253">
        <v>100.98</v>
      </c>
      <c r="F253">
        <v>7.18</v>
      </c>
      <c r="G253" t="s">
        <v>14</v>
      </c>
      <c r="H253" t="s">
        <v>47</v>
      </c>
      <c r="I253" t="s">
        <v>16</v>
      </c>
      <c r="J253" t="s">
        <v>17</v>
      </c>
      <c r="K253" t="s">
        <v>49</v>
      </c>
      <c r="L253" t="s">
        <v>645</v>
      </c>
      <c r="M253">
        <v>0.4</v>
      </c>
      <c r="N253" t="s">
        <v>8</v>
      </c>
      <c r="O253" t="s">
        <v>28</v>
      </c>
      <c r="P253" t="s">
        <v>163</v>
      </c>
      <c r="Q253" t="s">
        <v>646</v>
      </c>
      <c r="R253">
        <v>76053</v>
      </c>
      <c r="S253" s="1">
        <v>42025</v>
      </c>
      <c r="T253" s="1">
        <v>42030</v>
      </c>
      <c r="U253">
        <v>269.94</v>
      </c>
      <c r="V253">
        <v>4</v>
      </c>
      <c r="W253">
        <v>414.91</v>
      </c>
      <c r="X253">
        <v>89054</v>
      </c>
      <c r="Y253">
        <f>cleaneddata[[#This Row],[Unit Price]]-cleaneddata[[#This Row],[Discount]]</f>
        <v>100.94</v>
      </c>
      <c r="Z2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54" spans="1:26" x14ac:dyDescent="0.3">
      <c r="A254">
        <v>2882</v>
      </c>
      <c r="B254" t="s">
        <v>647</v>
      </c>
      <c r="C254" t="s">
        <v>23</v>
      </c>
      <c r="D254">
        <v>0.02</v>
      </c>
      <c r="E254">
        <v>43.98</v>
      </c>
      <c r="F254">
        <v>1.99</v>
      </c>
      <c r="G254" t="s">
        <v>14</v>
      </c>
      <c r="H254" t="s">
        <v>15</v>
      </c>
      <c r="I254" t="s">
        <v>16</v>
      </c>
      <c r="J254" t="s">
        <v>17</v>
      </c>
      <c r="K254" t="s">
        <v>18</v>
      </c>
      <c r="L254" t="s">
        <v>648</v>
      </c>
      <c r="M254">
        <v>0.44</v>
      </c>
      <c r="N254" t="s">
        <v>8</v>
      </c>
      <c r="O254" t="s">
        <v>9</v>
      </c>
      <c r="P254" t="s">
        <v>73</v>
      </c>
      <c r="Q254" t="s">
        <v>649</v>
      </c>
      <c r="R254">
        <v>28206</v>
      </c>
      <c r="S254" s="1">
        <v>42025</v>
      </c>
      <c r="T254" s="1">
        <v>42029</v>
      </c>
      <c r="U254">
        <v>333.76049999999998</v>
      </c>
      <c r="V254">
        <v>40</v>
      </c>
      <c r="W254">
        <v>1724.01</v>
      </c>
      <c r="X254">
        <v>50917</v>
      </c>
      <c r="Y254">
        <f>cleaneddata[[#This Row],[Unit Price]]-cleaneddata[[#This Row],[Discount]]</f>
        <v>43.959999999999994</v>
      </c>
      <c r="Z25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55" spans="1:26" x14ac:dyDescent="0.3">
      <c r="A255">
        <v>1402</v>
      </c>
      <c r="B255" t="s">
        <v>507</v>
      </c>
      <c r="C255" t="s">
        <v>92</v>
      </c>
      <c r="D255">
        <v>0.04</v>
      </c>
      <c r="E255">
        <v>30.73</v>
      </c>
      <c r="F255">
        <v>4</v>
      </c>
      <c r="G255" t="s">
        <v>14</v>
      </c>
      <c r="H255" t="s">
        <v>47</v>
      </c>
      <c r="I255" t="s">
        <v>16</v>
      </c>
      <c r="J255" t="s">
        <v>17</v>
      </c>
      <c r="K255" t="s">
        <v>49</v>
      </c>
      <c r="L255" t="s">
        <v>650</v>
      </c>
      <c r="M255">
        <v>0.75</v>
      </c>
      <c r="N255" t="s">
        <v>8</v>
      </c>
      <c r="O255" t="s">
        <v>28</v>
      </c>
      <c r="P255" t="s">
        <v>79</v>
      </c>
      <c r="Q255" t="s">
        <v>509</v>
      </c>
      <c r="R255">
        <v>60653</v>
      </c>
      <c r="S255" s="1">
        <v>42025</v>
      </c>
      <c r="T255" s="1">
        <v>42026</v>
      </c>
      <c r="U255">
        <v>-20.79</v>
      </c>
      <c r="V255">
        <v>48</v>
      </c>
      <c r="W255">
        <v>1420.84</v>
      </c>
      <c r="X255">
        <v>43079</v>
      </c>
      <c r="Y255">
        <f>cleaneddata[[#This Row],[Unit Price]]-cleaneddata[[#This Row],[Discount]]</f>
        <v>30.69</v>
      </c>
      <c r="Z2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56" spans="1:26" x14ac:dyDescent="0.3">
      <c r="A256">
        <v>1405</v>
      </c>
      <c r="B256" t="s">
        <v>510</v>
      </c>
      <c r="C256" t="s">
        <v>92</v>
      </c>
      <c r="D256">
        <v>0.04</v>
      </c>
      <c r="E256">
        <v>30.73</v>
      </c>
      <c r="F256">
        <v>4</v>
      </c>
      <c r="G256" t="s">
        <v>14</v>
      </c>
      <c r="H256" t="s">
        <v>47</v>
      </c>
      <c r="I256" t="s">
        <v>16</v>
      </c>
      <c r="J256" t="s">
        <v>17</v>
      </c>
      <c r="K256" t="s">
        <v>49</v>
      </c>
      <c r="L256" t="s">
        <v>650</v>
      </c>
      <c r="M256">
        <v>0.75</v>
      </c>
      <c r="N256" t="s">
        <v>8</v>
      </c>
      <c r="O256" t="s">
        <v>28</v>
      </c>
      <c r="P256" t="s">
        <v>265</v>
      </c>
      <c r="Q256" t="s">
        <v>511</v>
      </c>
      <c r="R256">
        <v>49017</v>
      </c>
      <c r="S256" s="1">
        <v>42025</v>
      </c>
      <c r="T256" s="1">
        <v>42026</v>
      </c>
      <c r="U256">
        <v>-20.79</v>
      </c>
      <c r="V256">
        <v>12</v>
      </c>
      <c r="W256">
        <v>355.21</v>
      </c>
      <c r="X256">
        <v>86145</v>
      </c>
      <c r="Y256">
        <f>cleaneddata[[#This Row],[Unit Price]]-cleaneddata[[#This Row],[Discount]]</f>
        <v>30.69</v>
      </c>
      <c r="Z2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57" spans="1:26" x14ac:dyDescent="0.3">
      <c r="A257">
        <v>2796</v>
      </c>
      <c r="B257" t="s">
        <v>651</v>
      </c>
      <c r="C257" t="s">
        <v>92</v>
      </c>
      <c r="D257">
        <v>0.02</v>
      </c>
      <c r="E257">
        <v>30.44</v>
      </c>
      <c r="F257">
        <v>1.49</v>
      </c>
      <c r="G257" t="s">
        <v>14</v>
      </c>
      <c r="H257" t="s">
        <v>70</v>
      </c>
      <c r="I257" t="s">
        <v>24</v>
      </c>
      <c r="J257" t="s">
        <v>48</v>
      </c>
      <c r="K257" t="s">
        <v>49</v>
      </c>
      <c r="L257" t="s">
        <v>652</v>
      </c>
      <c r="M257">
        <v>0.37</v>
      </c>
      <c r="N257" t="s">
        <v>8</v>
      </c>
      <c r="O257" t="s">
        <v>28</v>
      </c>
      <c r="P257" t="s">
        <v>189</v>
      </c>
      <c r="Q257" t="s">
        <v>653</v>
      </c>
      <c r="R257">
        <v>51106</v>
      </c>
      <c r="S257" s="1">
        <v>42025</v>
      </c>
      <c r="T257" s="1">
        <v>42027</v>
      </c>
      <c r="U257">
        <v>266.76089999999999</v>
      </c>
      <c r="V257">
        <v>12</v>
      </c>
      <c r="W257">
        <v>386.61</v>
      </c>
      <c r="X257">
        <v>87553</v>
      </c>
      <c r="Y257">
        <f>cleaneddata[[#This Row],[Unit Price]]-cleaneddata[[#This Row],[Discount]]</f>
        <v>30.42</v>
      </c>
      <c r="Z25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58" spans="1:26" x14ac:dyDescent="0.3">
      <c r="A258">
        <v>2797</v>
      </c>
      <c r="B258" t="s">
        <v>366</v>
      </c>
      <c r="C258" t="s">
        <v>92</v>
      </c>
      <c r="D258">
        <v>0.02</v>
      </c>
      <c r="E258">
        <v>4.91</v>
      </c>
      <c r="F258">
        <v>0.5</v>
      </c>
      <c r="G258" t="s">
        <v>14</v>
      </c>
      <c r="H258" t="s">
        <v>70</v>
      </c>
      <c r="I258" t="s">
        <v>24</v>
      </c>
      <c r="J258" t="s">
        <v>128</v>
      </c>
      <c r="K258" t="s">
        <v>49</v>
      </c>
      <c r="L258" t="s">
        <v>553</v>
      </c>
      <c r="M258">
        <v>0.36</v>
      </c>
      <c r="N258" t="s">
        <v>8</v>
      </c>
      <c r="O258" t="s">
        <v>87</v>
      </c>
      <c r="P258" t="s">
        <v>296</v>
      </c>
      <c r="Q258" t="s">
        <v>368</v>
      </c>
      <c r="R258">
        <v>15122</v>
      </c>
      <c r="S258" s="1">
        <v>42025</v>
      </c>
      <c r="T258" s="1">
        <v>42026</v>
      </c>
      <c r="U258">
        <v>29.883900000000001</v>
      </c>
      <c r="V258">
        <v>9</v>
      </c>
      <c r="W258">
        <v>43.31</v>
      </c>
      <c r="X258">
        <v>87553</v>
      </c>
      <c r="Y258">
        <f>cleaneddata[[#This Row],[Unit Price]]-cleaneddata[[#This Row],[Discount]]</f>
        <v>4.8900000000000006</v>
      </c>
      <c r="Z25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59" spans="1:26" x14ac:dyDescent="0.3">
      <c r="A259">
        <v>2855</v>
      </c>
      <c r="B259" t="s">
        <v>654</v>
      </c>
      <c r="C259" t="s">
        <v>92</v>
      </c>
      <c r="D259">
        <v>0.08</v>
      </c>
      <c r="E259">
        <v>7.84</v>
      </c>
      <c r="F259">
        <v>4.71</v>
      </c>
      <c r="G259" t="s">
        <v>14</v>
      </c>
      <c r="H259" t="s">
        <v>70</v>
      </c>
      <c r="I259" t="s">
        <v>24</v>
      </c>
      <c r="J259" t="s">
        <v>48</v>
      </c>
      <c r="K259" t="s">
        <v>49</v>
      </c>
      <c r="L259" t="s">
        <v>655</v>
      </c>
      <c r="M259">
        <v>0.35</v>
      </c>
      <c r="N259" t="s">
        <v>8</v>
      </c>
      <c r="O259" t="s">
        <v>35</v>
      </c>
      <c r="P259" t="s">
        <v>42</v>
      </c>
      <c r="Q259" t="s">
        <v>656</v>
      </c>
      <c r="R259">
        <v>98198</v>
      </c>
      <c r="S259" s="1">
        <v>42025</v>
      </c>
      <c r="T259" s="1">
        <v>42026</v>
      </c>
      <c r="U259">
        <v>-12.87678</v>
      </c>
      <c r="V259">
        <v>10</v>
      </c>
      <c r="W259">
        <v>76.16</v>
      </c>
      <c r="X259">
        <v>87316</v>
      </c>
      <c r="Y259">
        <f>cleaneddata[[#This Row],[Unit Price]]-cleaneddata[[#This Row],[Discount]]</f>
        <v>7.76</v>
      </c>
      <c r="Z2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60" spans="1:26" x14ac:dyDescent="0.3">
      <c r="A260">
        <v>2855</v>
      </c>
      <c r="B260" t="s">
        <v>654</v>
      </c>
      <c r="C260" t="s">
        <v>92</v>
      </c>
      <c r="D260">
        <v>0.03</v>
      </c>
      <c r="E260">
        <v>105.34</v>
      </c>
      <c r="F260">
        <v>24.49</v>
      </c>
      <c r="G260" t="s">
        <v>14</v>
      </c>
      <c r="H260" t="s">
        <v>70</v>
      </c>
      <c r="I260" t="s">
        <v>4</v>
      </c>
      <c r="J260" t="s">
        <v>102</v>
      </c>
      <c r="K260" t="s">
        <v>40</v>
      </c>
      <c r="L260" t="s">
        <v>657</v>
      </c>
      <c r="M260">
        <v>0.61</v>
      </c>
      <c r="N260" t="s">
        <v>8</v>
      </c>
      <c r="O260" t="s">
        <v>35</v>
      </c>
      <c r="P260" t="s">
        <v>42</v>
      </c>
      <c r="Q260" t="s">
        <v>656</v>
      </c>
      <c r="R260">
        <v>98198</v>
      </c>
      <c r="S260" s="1">
        <v>42025</v>
      </c>
      <c r="T260" s="1">
        <v>42026</v>
      </c>
      <c r="U260">
        <v>618.13080000000002</v>
      </c>
      <c r="V260">
        <v>10</v>
      </c>
      <c r="W260">
        <v>1038.1400000000001</v>
      </c>
      <c r="X260">
        <v>87316</v>
      </c>
      <c r="Y260">
        <f>cleaneddata[[#This Row],[Unit Price]]-cleaneddata[[#This Row],[Discount]]</f>
        <v>105.31</v>
      </c>
      <c r="Z2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61" spans="1:26" x14ac:dyDescent="0.3">
      <c r="A261">
        <v>584</v>
      </c>
      <c r="B261" t="s">
        <v>658</v>
      </c>
      <c r="C261" t="s">
        <v>46</v>
      </c>
      <c r="D261">
        <v>0.04</v>
      </c>
      <c r="E261">
        <v>15.51</v>
      </c>
      <c r="F261">
        <v>17.78</v>
      </c>
      <c r="G261" t="s">
        <v>14</v>
      </c>
      <c r="H261" t="s">
        <v>70</v>
      </c>
      <c r="I261" t="s">
        <v>24</v>
      </c>
      <c r="J261" t="s">
        <v>54</v>
      </c>
      <c r="K261" t="s">
        <v>49</v>
      </c>
      <c r="L261" t="s">
        <v>234</v>
      </c>
      <c r="M261">
        <v>0.59</v>
      </c>
      <c r="N261" t="s">
        <v>8</v>
      </c>
      <c r="O261" t="s">
        <v>87</v>
      </c>
      <c r="P261" t="s">
        <v>379</v>
      </c>
      <c r="Q261" t="s">
        <v>659</v>
      </c>
      <c r="R261">
        <v>1801</v>
      </c>
      <c r="S261" s="1">
        <v>42025</v>
      </c>
      <c r="T261" s="1">
        <v>42027</v>
      </c>
      <c r="U261">
        <v>-266.22000000000003</v>
      </c>
      <c r="V261">
        <v>7</v>
      </c>
      <c r="W261">
        <v>116.93</v>
      </c>
      <c r="X261">
        <v>88646</v>
      </c>
      <c r="Y261">
        <f>cleaneddata[[#This Row],[Unit Price]]-cleaneddata[[#This Row],[Discount]]</f>
        <v>15.47</v>
      </c>
      <c r="Z26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62" spans="1:26" x14ac:dyDescent="0.3">
      <c r="A262">
        <v>1709</v>
      </c>
      <c r="B262" t="s">
        <v>660</v>
      </c>
      <c r="C262" t="s">
        <v>46</v>
      </c>
      <c r="D262">
        <v>0.01</v>
      </c>
      <c r="E262">
        <v>14.28</v>
      </c>
      <c r="F262">
        <v>2.99</v>
      </c>
      <c r="G262" t="s">
        <v>14</v>
      </c>
      <c r="H262" t="s">
        <v>15</v>
      </c>
      <c r="I262" t="s">
        <v>24</v>
      </c>
      <c r="J262" t="s">
        <v>48</v>
      </c>
      <c r="K262" t="s">
        <v>49</v>
      </c>
      <c r="L262" t="s">
        <v>661</v>
      </c>
      <c r="M262">
        <v>0.39</v>
      </c>
      <c r="N262" t="s">
        <v>8</v>
      </c>
      <c r="O262" t="s">
        <v>87</v>
      </c>
      <c r="P262" t="s">
        <v>296</v>
      </c>
      <c r="Q262" t="s">
        <v>662</v>
      </c>
      <c r="R262">
        <v>19464</v>
      </c>
      <c r="S262" s="1">
        <v>42025</v>
      </c>
      <c r="T262" s="1">
        <v>42026</v>
      </c>
      <c r="U262">
        <v>21.003499999999999</v>
      </c>
      <c r="V262">
        <v>2</v>
      </c>
      <c r="W262">
        <v>30.44</v>
      </c>
      <c r="X262">
        <v>88782</v>
      </c>
      <c r="Y262">
        <f>cleaneddata[[#This Row],[Unit Price]]-cleaneddata[[#This Row],[Discount]]</f>
        <v>14.27</v>
      </c>
      <c r="Z26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63" spans="1:26" x14ac:dyDescent="0.3">
      <c r="A263">
        <v>1727</v>
      </c>
      <c r="B263" t="s">
        <v>663</v>
      </c>
      <c r="C263" t="s">
        <v>46</v>
      </c>
      <c r="D263">
        <v>0.1</v>
      </c>
      <c r="E263">
        <v>14.98</v>
      </c>
      <c r="F263">
        <v>7.69</v>
      </c>
      <c r="G263" t="s">
        <v>63</v>
      </c>
      <c r="H263" t="s">
        <v>3</v>
      </c>
      <c r="I263" t="s">
        <v>24</v>
      </c>
      <c r="J263" t="s">
        <v>54</v>
      </c>
      <c r="K263" t="s">
        <v>49</v>
      </c>
      <c r="L263" t="s">
        <v>664</v>
      </c>
      <c r="M263">
        <v>0.56999999999999995</v>
      </c>
      <c r="N263" t="s">
        <v>8</v>
      </c>
      <c r="O263" t="s">
        <v>87</v>
      </c>
      <c r="P263" t="s">
        <v>293</v>
      </c>
      <c r="Q263" t="s">
        <v>665</v>
      </c>
      <c r="R263">
        <v>44240</v>
      </c>
      <c r="S263" s="1">
        <v>42025</v>
      </c>
      <c r="T263" s="1">
        <v>42027</v>
      </c>
      <c r="U263">
        <v>-76.900000000000006</v>
      </c>
      <c r="V263">
        <v>8</v>
      </c>
      <c r="W263">
        <v>114.81</v>
      </c>
      <c r="X263">
        <v>87194</v>
      </c>
      <c r="Y263">
        <f>cleaneddata[[#This Row],[Unit Price]]-cleaneddata[[#This Row],[Discount]]</f>
        <v>14.88</v>
      </c>
      <c r="Z26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64" spans="1:26" x14ac:dyDescent="0.3">
      <c r="A264">
        <v>1928</v>
      </c>
      <c r="B264" t="s">
        <v>666</v>
      </c>
      <c r="C264" t="s">
        <v>46</v>
      </c>
      <c r="D264">
        <v>0.1</v>
      </c>
      <c r="E264">
        <v>1889.99</v>
      </c>
      <c r="F264">
        <v>19.989999999999998</v>
      </c>
      <c r="G264" t="s">
        <v>14</v>
      </c>
      <c r="H264" t="s">
        <v>47</v>
      </c>
      <c r="I264" t="s">
        <v>24</v>
      </c>
      <c r="J264" t="s">
        <v>48</v>
      </c>
      <c r="K264" t="s">
        <v>49</v>
      </c>
      <c r="L264" t="s">
        <v>667</v>
      </c>
      <c r="M264">
        <v>0.36</v>
      </c>
      <c r="N264" t="s">
        <v>8</v>
      </c>
      <c r="O264" t="s">
        <v>9</v>
      </c>
      <c r="P264" t="s">
        <v>247</v>
      </c>
      <c r="Q264" t="s">
        <v>668</v>
      </c>
      <c r="R264">
        <v>29651</v>
      </c>
      <c r="S264" s="1">
        <v>42025</v>
      </c>
      <c r="T264" s="1">
        <v>42025</v>
      </c>
      <c r="U264">
        <v>-42.545999999999999</v>
      </c>
      <c r="V264">
        <v>1</v>
      </c>
      <c r="W264">
        <v>1786.04</v>
      </c>
      <c r="X264">
        <v>88580</v>
      </c>
      <c r="Y264">
        <f>cleaneddata[[#This Row],[Unit Price]]-cleaneddata[[#This Row],[Discount]]</f>
        <v>1889.89</v>
      </c>
      <c r="Z26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65" spans="1:26" x14ac:dyDescent="0.3">
      <c r="A265">
        <v>1989</v>
      </c>
      <c r="B265" t="s">
        <v>669</v>
      </c>
      <c r="C265" t="s">
        <v>46</v>
      </c>
      <c r="D265">
        <v>0.04</v>
      </c>
      <c r="E265">
        <v>355.98</v>
      </c>
      <c r="F265">
        <v>58.92</v>
      </c>
      <c r="G265" t="s">
        <v>2</v>
      </c>
      <c r="H265" t="s">
        <v>47</v>
      </c>
      <c r="I265" t="s">
        <v>4</v>
      </c>
      <c r="J265" t="s">
        <v>85</v>
      </c>
      <c r="K265" t="s">
        <v>33</v>
      </c>
      <c r="L265" t="s">
        <v>670</v>
      </c>
      <c r="M265">
        <v>0.64</v>
      </c>
      <c r="N265" t="s">
        <v>8</v>
      </c>
      <c r="O265" t="s">
        <v>35</v>
      </c>
      <c r="P265" t="s">
        <v>122</v>
      </c>
      <c r="Q265" t="s">
        <v>671</v>
      </c>
      <c r="R265">
        <v>84117</v>
      </c>
      <c r="S265" s="1">
        <v>42025</v>
      </c>
      <c r="T265" s="1">
        <v>42026</v>
      </c>
      <c r="U265">
        <v>882.93</v>
      </c>
      <c r="V265">
        <v>8</v>
      </c>
      <c r="W265">
        <v>2748.21</v>
      </c>
      <c r="X265">
        <v>90000</v>
      </c>
      <c r="Y265">
        <f>cleaneddata[[#This Row],[Unit Price]]-cleaneddata[[#This Row],[Discount]]</f>
        <v>355.94</v>
      </c>
      <c r="Z26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66" spans="1:26" x14ac:dyDescent="0.3">
      <c r="A266">
        <v>1989</v>
      </c>
      <c r="B266" t="s">
        <v>669</v>
      </c>
      <c r="C266" t="s">
        <v>46</v>
      </c>
      <c r="D266">
        <v>0.09</v>
      </c>
      <c r="E266">
        <v>19.98</v>
      </c>
      <c r="F266">
        <v>8.68</v>
      </c>
      <c r="G266" t="s">
        <v>14</v>
      </c>
      <c r="H266" t="s">
        <v>47</v>
      </c>
      <c r="I266" t="s">
        <v>24</v>
      </c>
      <c r="J266" t="s">
        <v>64</v>
      </c>
      <c r="K266" t="s">
        <v>49</v>
      </c>
      <c r="L266" t="s">
        <v>672</v>
      </c>
      <c r="M266">
        <v>0.37</v>
      </c>
      <c r="N266" t="s">
        <v>8</v>
      </c>
      <c r="O266" t="s">
        <v>35</v>
      </c>
      <c r="P266" t="s">
        <v>122</v>
      </c>
      <c r="Q266" t="s">
        <v>671</v>
      </c>
      <c r="R266">
        <v>84117</v>
      </c>
      <c r="S266" s="1">
        <v>42025</v>
      </c>
      <c r="T266" s="1">
        <v>42026</v>
      </c>
      <c r="U266">
        <v>6.6803999999999997</v>
      </c>
      <c r="V266">
        <v>5</v>
      </c>
      <c r="W266">
        <v>93.19</v>
      </c>
      <c r="X266">
        <v>90000</v>
      </c>
      <c r="Y266">
        <f>cleaneddata[[#This Row],[Unit Price]]-cleaneddata[[#This Row],[Discount]]</f>
        <v>19.89</v>
      </c>
      <c r="Z26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67" spans="1:26" x14ac:dyDescent="0.3">
      <c r="A267">
        <v>3229</v>
      </c>
      <c r="B267" t="s">
        <v>673</v>
      </c>
      <c r="C267" t="s">
        <v>46</v>
      </c>
      <c r="D267">
        <v>0.01</v>
      </c>
      <c r="E267">
        <v>24.95</v>
      </c>
      <c r="F267">
        <v>2.99</v>
      </c>
      <c r="G267" t="s">
        <v>14</v>
      </c>
      <c r="H267" t="s">
        <v>3</v>
      </c>
      <c r="I267" t="s">
        <v>24</v>
      </c>
      <c r="J267" t="s">
        <v>48</v>
      </c>
      <c r="K267" t="s">
        <v>49</v>
      </c>
      <c r="L267" t="s">
        <v>674</v>
      </c>
      <c r="M267">
        <v>0.39</v>
      </c>
      <c r="N267" t="s">
        <v>8</v>
      </c>
      <c r="O267" t="s">
        <v>28</v>
      </c>
      <c r="P267" t="s">
        <v>333</v>
      </c>
      <c r="Q267" t="s">
        <v>675</v>
      </c>
      <c r="R267">
        <v>54880</v>
      </c>
      <c r="S267" s="1">
        <v>42025</v>
      </c>
      <c r="T267" s="1">
        <v>42026</v>
      </c>
      <c r="U267">
        <v>261.38580000000002</v>
      </c>
      <c r="V267">
        <v>15</v>
      </c>
      <c r="W267">
        <v>378.82</v>
      </c>
      <c r="X267">
        <v>87435</v>
      </c>
      <c r="Y267">
        <f>cleaneddata[[#This Row],[Unit Price]]-cleaneddata[[#This Row],[Discount]]</f>
        <v>24.939999999999998</v>
      </c>
      <c r="Z26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68" spans="1:26" x14ac:dyDescent="0.3">
      <c r="A268">
        <v>3230</v>
      </c>
      <c r="B268" t="s">
        <v>676</v>
      </c>
      <c r="C268" t="s">
        <v>46</v>
      </c>
      <c r="D268">
        <v>0</v>
      </c>
      <c r="E268">
        <v>15.98</v>
      </c>
      <c r="F268">
        <v>8.99</v>
      </c>
      <c r="G268" t="s">
        <v>14</v>
      </c>
      <c r="H268" t="s">
        <v>3</v>
      </c>
      <c r="I268" t="s">
        <v>16</v>
      </c>
      <c r="J268" t="s">
        <v>17</v>
      </c>
      <c r="K268" t="s">
        <v>18</v>
      </c>
      <c r="L268" t="s">
        <v>677</v>
      </c>
      <c r="M268">
        <v>0.64</v>
      </c>
      <c r="N268" t="s">
        <v>8</v>
      </c>
      <c r="O268" t="s">
        <v>28</v>
      </c>
      <c r="P268" t="s">
        <v>333</v>
      </c>
      <c r="Q268" t="s">
        <v>678</v>
      </c>
      <c r="R268">
        <v>53186</v>
      </c>
      <c r="S268" s="1">
        <v>42025</v>
      </c>
      <c r="T268" s="1">
        <v>42027</v>
      </c>
      <c r="U268">
        <v>-135.46</v>
      </c>
      <c r="V268">
        <v>9</v>
      </c>
      <c r="W268">
        <v>152.18</v>
      </c>
      <c r="X268">
        <v>87435</v>
      </c>
      <c r="Y268">
        <f>cleaneddata[[#This Row],[Unit Price]]-cleaneddata[[#This Row],[Discount]]</f>
        <v>15.98</v>
      </c>
      <c r="Z26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69" spans="1:26" x14ac:dyDescent="0.3">
      <c r="A269">
        <v>151</v>
      </c>
      <c r="B269" t="s">
        <v>679</v>
      </c>
      <c r="C269" t="s">
        <v>1</v>
      </c>
      <c r="D269">
        <v>0.09</v>
      </c>
      <c r="E269">
        <v>32.979999999999997</v>
      </c>
      <c r="F269">
        <v>5.5</v>
      </c>
      <c r="G269" t="s">
        <v>14</v>
      </c>
      <c r="H269" t="s">
        <v>47</v>
      </c>
      <c r="I269" t="s">
        <v>16</v>
      </c>
      <c r="J269" t="s">
        <v>17</v>
      </c>
      <c r="K269" t="s">
        <v>49</v>
      </c>
      <c r="L269" t="s">
        <v>680</v>
      </c>
      <c r="M269">
        <v>0.75</v>
      </c>
      <c r="N269" t="s">
        <v>8</v>
      </c>
      <c r="O269" t="s">
        <v>9</v>
      </c>
      <c r="P269" t="s">
        <v>376</v>
      </c>
      <c r="Q269" t="s">
        <v>681</v>
      </c>
      <c r="R269">
        <v>37664</v>
      </c>
      <c r="S269" s="1">
        <v>42026</v>
      </c>
      <c r="T269" s="1">
        <v>42027</v>
      </c>
      <c r="U269">
        <v>-20.257999999999999</v>
      </c>
      <c r="V269">
        <v>2</v>
      </c>
      <c r="W269">
        <v>62.46</v>
      </c>
      <c r="X269">
        <v>89521</v>
      </c>
      <c r="Y269">
        <f>cleaneddata[[#This Row],[Unit Price]]-cleaneddata[[#This Row],[Discount]]</f>
        <v>32.889999999999993</v>
      </c>
      <c r="Z26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70" spans="1:26" x14ac:dyDescent="0.3">
      <c r="A270">
        <v>1438</v>
      </c>
      <c r="B270" t="s">
        <v>682</v>
      </c>
      <c r="C270" t="s">
        <v>1</v>
      </c>
      <c r="D270">
        <v>0.01</v>
      </c>
      <c r="E270">
        <v>80.98</v>
      </c>
      <c r="F270">
        <v>35</v>
      </c>
      <c r="G270" t="s">
        <v>14</v>
      </c>
      <c r="H270" t="s">
        <v>70</v>
      </c>
      <c r="I270" t="s">
        <v>24</v>
      </c>
      <c r="J270" t="s">
        <v>54</v>
      </c>
      <c r="K270" t="s">
        <v>40</v>
      </c>
      <c r="L270" t="s">
        <v>683</v>
      </c>
      <c r="M270">
        <v>0.83</v>
      </c>
      <c r="N270" t="s">
        <v>8</v>
      </c>
      <c r="O270" t="s">
        <v>87</v>
      </c>
      <c r="P270" t="s">
        <v>293</v>
      </c>
      <c r="Q270" t="s">
        <v>684</v>
      </c>
      <c r="R270">
        <v>44035</v>
      </c>
      <c r="S270" s="1">
        <v>42026</v>
      </c>
      <c r="T270" s="1">
        <v>42028</v>
      </c>
      <c r="U270">
        <v>-409.37360000000001</v>
      </c>
      <c r="V270">
        <v>3</v>
      </c>
      <c r="W270">
        <v>267.83</v>
      </c>
      <c r="X270">
        <v>90120</v>
      </c>
      <c r="Y270">
        <f>cleaneddata[[#This Row],[Unit Price]]-cleaneddata[[#This Row],[Discount]]</f>
        <v>80.97</v>
      </c>
      <c r="Z27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71" spans="1:26" x14ac:dyDescent="0.3">
      <c r="A271">
        <v>1959</v>
      </c>
      <c r="B271" t="s">
        <v>685</v>
      </c>
      <c r="C271" t="s">
        <v>1</v>
      </c>
      <c r="D271">
        <v>0</v>
      </c>
      <c r="E271">
        <v>20.28</v>
      </c>
      <c r="F271">
        <v>14.39</v>
      </c>
      <c r="G271" t="s">
        <v>14</v>
      </c>
      <c r="H271" t="s">
        <v>70</v>
      </c>
      <c r="I271" t="s">
        <v>4</v>
      </c>
      <c r="J271" t="s">
        <v>102</v>
      </c>
      <c r="K271" t="s">
        <v>49</v>
      </c>
      <c r="L271" t="s">
        <v>686</v>
      </c>
      <c r="M271">
        <v>0.47</v>
      </c>
      <c r="N271" t="s">
        <v>8</v>
      </c>
      <c r="O271" t="s">
        <v>9</v>
      </c>
      <c r="P271" t="s">
        <v>99</v>
      </c>
      <c r="Q271" t="s">
        <v>104</v>
      </c>
      <c r="R271">
        <v>33916</v>
      </c>
      <c r="S271" s="1">
        <v>42026</v>
      </c>
      <c r="T271" s="1">
        <v>42026</v>
      </c>
      <c r="U271">
        <v>-66.247299999999996</v>
      </c>
      <c r="V271">
        <v>9</v>
      </c>
      <c r="W271">
        <v>206.04</v>
      </c>
      <c r="X271">
        <v>28225</v>
      </c>
      <c r="Y271">
        <f>cleaneddata[[#This Row],[Unit Price]]-cleaneddata[[#This Row],[Discount]]</f>
        <v>20.28</v>
      </c>
      <c r="Z27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72" spans="1:26" x14ac:dyDescent="0.3">
      <c r="A272">
        <v>1764</v>
      </c>
      <c r="B272" t="s">
        <v>687</v>
      </c>
      <c r="C272" t="s">
        <v>13</v>
      </c>
      <c r="D272">
        <v>0</v>
      </c>
      <c r="E272">
        <v>115.99</v>
      </c>
      <c r="F272">
        <v>5.92</v>
      </c>
      <c r="G272" t="s">
        <v>14</v>
      </c>
      <c r="H272" t="s">
        <v>15</v>
      </c>
      <c r="I272" t="s">
        <v>16</v>
      </c>
      <c r="J272" t="s">
        <v>111</v>
      </c>
      <c r="K272" t="s">
        <v>49</v>
      </c>
      <c r="L272" t="s">
        <v>688</v>
      </c>
      <c r="M272">
        <v>0.57999999999999996</v>
      </c>
      <c r="N272" t="s">
        <v>8</v>
      </c>
      <c r="O272" t="s">
        <v>9</v>
      </c>
      <c r="P272" t="s">
        <v>99</v>
      </c>
      <c r="Q272" t="s">
        <v>689</v>
      </c>
      <c r="R272">
        <v>34698</v>
      </c>
      <c r="S272" s="1">
        <v>42026</v>
      </c>
      <c r="T272" s="1">
        <v>42026</v>
      </c>
      <c r="U272">
        <v>-16.771999999999998</v>
      </c>
      <c r="V272">
        <v>11</v>
      </c>
      <c r="W272">
        <v>1160.42</v>
      </c>
      <c r="X272">
        <v>89775</v>
      </c>
      <c r="Y272">
        <f>cleaneddata[[#This Row],[Unit Price]]-cleaneddata[[#This Row],[Discount]]</f>
        <v>115.99</v>
      </c>
      <c r="Z27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73" spans="1:26" x14ac:dyDescent="0.3">
      <c r="A273">
        <v>2456</v>
      </c>
      <c r="B273" t="s">
        <v>690</v>
      </c>
      <c r="C273" t="s">
        <v>13</v>
      </c>
      <c r="D273">
        <v>7.0000000000000007E-2</v>
      </c>
      <c r="E273">
        <v>179.99</v>
      </c>
      <c r="F273">
        <v>19.989999999999998</v>
      </c>
      <c r="G273" t="s">
        <v>14</v>
      </c>
      <c r="H273" t="s">
        <v>47</v>
      </c>
      <c r="I273" t="s">
        <v>16</v>
      </c>
      <c r="J273" t="s">
        <v>17</v>
      </c>
      <c r="K273" t="s">
        <v>49</v>
      </c>
      <c r="L273" t="s">
        <v>691</v>
      </c>
      <c r="M273">
        <v>0.48</v>
      </c>
      <c r="N273" t="s">
        <v>8</v>
      </c>
      <c r="O273" t="s">
        <v>9</v>
      </c>
      <c r="P273" t="s">
        <v>140</v>
      </c>
      <c r="Q273" t="s">
        <v>692</v>
      </c>
      <c r="R273">
        <v>36608</v>
      </c>
      <c r="S273" s="1">
        <v>42026</v>
      </c>
      <c r="T273" s="1">
        <v>42027</v>
      </c>
      <c r="U273">
        <v>733.28219999999999</v>
      </c>
      <c r="V273">
        <v>7</v>
      </c>
      <c r="W273">
        <v>1188.6300000000001</v>
      </c>
      <c r="X273">
        <v>89218</v>
      </c>
      <c r="Y273">
        <f>cleaneddata[[#This Row],[Unit Price]]-cleaneddata[[#This Row],[Discount]]</f>
        <v>179.92000000000002</v>
      </c>
      <c r="Z27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74" spans="1:26" x14ac:dyDescent="0.3">
      <c r="A274">
        <v>2456</v>
      </c>
      <c r="B274" t="s">
        <v>690</v>
      </c>
      <c r="C274" t="s">
        <v>13</v>
      </c>
      <c r="D274">
        <v>0.02</v>
      </c>
      <c r="E274">
        <v>92.23</v>
      </c>
      <c r="F274">
        <v>39.61</v>
      </c>
      <c r="G274" t="s">
        <v>63</v>
      </c>
      <c r="H274" t="s">
        <v>47</v>
      </c>
      <c r="I274" t="s">
        <v>4</v>
      </c>
      <c r="J274" t="s">
        <v>102</v>
      </c>
      <c r="K274" t="s">
        <v>120</v>
      </c>
      <c r="L274" t="s">
        <v>693</v>
      </c>
      <c r="M274">
        <v>0.67</v>
      </c>
      <c r="N274" t="s">
        <v>8</v>
      </c>
      <c r="O274" t="s">
        <v>9</v>
      </c>
      <c r="P274" t="s">
        <v>140</v>
      </c>
      <c r="Q274" t="s">
        <v>692</v>
      </c>
      <c r="R274">
        <v>36608</v>
      </c>
      <c r="S274" s="1">
        <v>42026</v>
      </c>
      <c r="T274" s="1">
        <v>42027</v>
      </c>
      <c r="U274">
        <v>-905.99040000000002</v>
      </c>
      <c r="V274">
        <v>11</v>
      </c>
      <c r="W274">
        <v>1009.93</v>
      </c>
      <c r="X274">
        <v>89218</v>
      </c>
      <c r="Y274">
        <f>cleaneddata[[#This Row],[Unit Price]]-cleaneddata[[#This Row],[Discount]]</f>
        <v>92.210000000000008</v>
      </c>
      <c r="Z27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75" spans="1:26" x14ac:dyDescent="0.3">
      <c r="A275">
        <v>2457</v>
      </c>
      <c r="B275" t="s">
        <v>694</v>
      </c>
      <c r="C275" t="s">
        <v>13</v>
      </c>
      <c r="D275">
        <v>0.02</v>
      </c>
      <c r="E275">
        <v>15.22</v>
      </c>
      <c r="F275">
        <v>9.73</v>
      </c>
      <c r="G275" t="s">
        <v>14</v>
      </c>
      <c r="H275" t="s">
        <v>47</v>
      </c>
      <c r="I275" t="s">
        <v>24</v>
      </c>
      <c r="J275" t="s">
        <v>48</v>
      </c>
      <c r="K275" t="s">
        <v>49</v>
      </c>
      <c r="L275" t="s">
        <v>695</v>
      </c>
      <c r="M275">
        <v>0.36</v>
      </c>
      <c r="N275" t="s">
        <v>8</v>
      </c>
      <c r="O275" t="s">
        <v>28</v>
      </c>
      <c r="P275" t="s">
        <v>60</v>
      </c>
      <c r="Q275" t="s">
        <v>696</v>
      </c>
      <c r="R275">
        <v>55014</v>
      </c>
      <c r="S275" s="1">
        <v>42026</v>
      </c>
      <c r="T275" s="1">
        <v>42026</v>
      </c>
      <c r="U275">
        <v>-21.63242</v>
      </c>
      <c r="V275">
        <v>9</v>
      </c>
      <c r="W275">
        <v>140.69999999999999</v>
      </c>
      <c r="X275">
        <v>89218</v>
      </c>
      <c r="Y275">
        <f>cleaneddata[[#This Row],[Unit Price]]-cleaneddata[[#This Row],[Discount]]</f>
        <v>15.200000000000001</v>
      </c>
      <c r="Z27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76" spans="1:26" x14ac:dyDescent="0.3">
      <c r="A276">
        <v>2209</v>
      </c>
      <c r="B276" t="s">
        <v>697</v>
      </c>
      <c r="C276" t="s">
        <v>23</v>
      </c>
      <c r="D276">
        <v>0.06</v>
      </c>
      <c r="E276">
        <v>6.98</v>
      </c>
      <c r="F276">
        <v>1.6</v>
      </c>
      <c r="G276" t="s">
        <v>14</v>
      </c>
      <c r="H276" t="s">
        <v>47</v>
      </c>
      <c r="I276" t="s">
        <v>24</v>
      </c>
      <c r="J276" t="s">
        <v>64</v>
      </c>
      <c r="K276" t="s">
        <v>26</v>
      </c>
      <c r="L276" t="s">
        <v>698</v>
      </c>
      <c r="M276">
        <v>0.38</v>
      </c>
      <c r="N276" t="s">
        <v>8</v>
      </c>
      <c r="O276" t="s">
        <v>9</v>
      </c>
      <c r="P276" t="s">
        <v>51</v>
      </c>
      <c r="Q276" t="s">
        <v>436</v>
      </c>
      <c r="R276">
        <v>30337</v>
      </c>
      <c r="S276" s="1">
        <v>42026</v>
      </c>
      <c r="T276" s="1">
        <v>42033</v>
      </c>
      <c r="U276">
        <v>-98.055999999999997</v>
      </c>
      <c r="V276">
        <v>12</v>
      </c>
      <c r="W276">
        <v>83.93</v>
      </c>
      <c r="X276">
        <v>88030</v>
      </c>
      <c r="Y276">
        <f>cleaneddata[[#This Row],[Unit Price]]-cleaneddata[[#This Row],[Discount]]</f>
        <v>6.9200000000000008</v>
      </c>
      <c r="Z27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77" spans="1:26" x14ac:dyDescent="0.3">
      <c r="A277">
        <v>2896</v>
      </c>
      <c r="B277" t="s">
        <v>699</v>
      </c>
      <c r="C277" t="s">
        <v>23</v>
      </c>
      <c r="D277">
        <v>0.02</v>
      </c>
      <c r="E277">
        <v>880.98</v>
      </c>
      <c r="F277">
        <v>44.55</v>
      </c>
      <c r="G277" t="s">
        <v>2</v>
      </c>
      <c r="H277" t="s">
        <v>47</v>
      </c>
      <c r="I277" t="s">
        <v>4</v>
      </c>
      <c r="J277" t="s">
        <v>93</v>
      </c>
      <c r="K277" t="s">
        <v>6</v>
      </c>
      <c r="L277" t="s">
        <v>214</v>
      </c>
      <c r="M277">
        <v>0.62</v>
      </c>
      <c r="N277" t="s">
        <v>8</v>
      </c>
      <c r="O277" t="s">
        <v>28</v>
      </c>
      <c r="P277" t="s">
        <v>60</v>
      </c>
      <c r="Q277" t="s">
        <v>700</v>
      </c>
      <c r="R277">
        <v>56001</v>
      </c>
      <c r="S277" s="1">
        <v>42026</v>
      </c>
      <c r="T277" s="1">
        <v>42030</v>
      </c>
      <c r="U277">
        <v>4861.0637999999999</v>
      </c>
      <c r="V277">
        <v>8</v>
      </c>
      <c r="W277">
        <v>7045.02</v>
      </c>
      <c r="X277">
        <v>86925</v>
      </c>
      <c r="Y277">
        <f>cleaneddata[[#This Row],[Unit Price]]-cleaneddata[[#This Row],[Discount]]</f>
        <v>880.96</v>
      </c>
      <c r="Z27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78" spans="1:26" x14ac:dyDescent="0.3">
      <c r="A278">
        <v>2422</v>
      </c>
      <c r="B278" t="s">
        <v>701</v>
      </c>
      <c r="C278" t="s">
        <v>92</v>
      </c>
      <c r="D278">
        <v>0.09</v>
      </c>
      <c r="E278">
        <v>3.89</v>
      </c>
      <c r="F278">
        <v>7.01</v>
      </c>
      <c r="G278" t="s">
        <v>63</v>
      </c>
      <c r="H278" t="s">
        <v>47</v>
      </c>
      <c r="I278" t="s">
        <v>24</v>
      </c>
      <c r="J278" t="s">
        <v>48</v>
      </c>
      <c r="K278" t="s">
        <v>49</v>
      </c>
      <c r="L278" t="s">
        <v>702</v>
      </c>
      <c r="M278">
        <v>0.37</v>
      </c>
      <c r="N278" t="s">
        <v>8</v>
      </c>
      <c r="O278" t="s">
        <v>28</v>
      </c>
      <c r="P278" t="s">
        <v>163</v>
      </c>
      <c r="Q278" t="s">
        <v>703</v>
      </c>
      <c r="R278">
        <v>77340</v>
      </c>
      <c r="S278" s="1">
        <v>42026</v>
      </c>
      <c r="T278" s="1">
        <v>42028</v>
      </c>
      <c r="U278">
        <v>-154.30699999999999</v>
      </c>
      <c r="V278">
        <v>10</v>
      </c>
      <c r="W278">
        <v>42.56</v>
      </c>
      <c r="X278">
        <v>89055</v>
      </c>
      <c r="Y278">
        <f>cleaneddata[[#This Row],[Unit Price]]-cleaneddata[[#This Row],[Discount]]</f>
        <v>3.8000000000000003</v>
      </c>
      <c r="Z27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79" spans="1:26" x14ac:dyDescent="0.3">
      <c r="A279">
        <v>2873</v>
      </c>
      <c r="B279" t="s">
        <v>704</v>
      </c>
      <c r="C279" t="s">
        <v>92</v>
      </c>
      <c r="D279">
        <v>7.0000000000000007E-2</v>
      </c>
      <c r="E279">
        <v>2.89</v>
      </c>
      <c r="F279">
        <v>0.5</v>
      </c>
      <c r="G279" t="s">
        <v>14</v>
      </c>
      <c r="H279" t="s">
        <v>3</v>
      </c>
      <c r="I279" t="s">
        <v>24</v>
      </c>
      <c r="J279" t="s">
        <v>128</v>
      </c>
      <c r="K279" t="s">
        <v>49</v>
      </c>
      <c r="L279" t="s">
        <v>705</v>
      </c>
      <c r="M279">
        <v>0.38</v>
      </c>
      <c r="N279" t="s">
        <v>8</v>
      </c>
      <c r="O279" t="s">
        <v>9</v>
      </c>
      <c r="P279" t="s">
        <v>99</v>
      </c>
      <c r="Q279" t="s">
        <v>706</v>
      </c>
      <c r="R279">
        <v>33012</v>
      </c>
      <c r="S279" s="1">
        <v>42026</v>
      </c>
      <c r="T279" s="1">
        <v>42028</v>
      </c>
      <c r="U279">
        <v>441.59399999999999</v>
      </c>
      <c r="V279">
        <v>12</v>
      </c>
      <c r="W279">
        <v>33.020000000000003</v>
      </c>
      <c r="X279">
        <v>89872</v>
      </c>
      <c r="Y279">
        <f>cleaneddata[[#This Row],[Unit Price]]-cleaneddata[[#This Row],[Discount]]</f>
        <v>2.8200000000000003</v>
      </c>
      <c r="Z27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80" spans="1:26" x14ac:dyDescent="0.3">
      <c r="A280">
        <v>2873</v>
      </c>
      <c r="B280" t="s">
        <v>704</v>
      </c>
      <c r="C280" t="s">
        <v>92</v>
      </c>
      <c r="D280">
        <v>0</v>
      </c>
      <c r="E280">
        <v>217.85</v>
      </c>
      <c r="F280">
        <v>29.1</v>
      </c>
      <c r="G280" t="s">
        <v>2</v>
      </c>
      <c r="H280" t="s">
        <v>3</v>
      </c>
      <c r="I280" t="s">
        <v>4</v>
      </c>
      <c r="J280" t="s">
        <v>5</v>
      </c>
      <c r="K280" t="s">
        <v>6</v>
      </c>
      <c r="L280" t="s">
        <v>707</v>
      </c>
      <c r="M280">
        <v>0.68</v>
      </c>
      <c r="N280" t="s">
        <v>8</v>
      </c>
      <c r="O280" t="s">
        <v>9</v>
      </c>
      <c r="P280" t="s">
        <v>99</v>
      </c>
      <c r="Q280" t="s">
        <v>706</v>
      </c>
      <c r="R280">
        <v>33012</v>
      </c>
      <c r="S280" s="1">
        <v>42026</v>
      </c>
      <c r="T280" s="1">
        <v>42027</v>
      </c>
      <c r="U280">
        <v>394.17</v>
      </c>
      <c r="V280">
        <v>10</v>
      </c>
      <c r="W280">
        <v>2273.1</v>
      </c>
      <c r="X280">
        <v>89872</v>
      </c>
      <c r="Y280">
        <f>cleaneddata[[#This Row],[Unit Price]]-cleaneddata[[#This Row],[Discount]]</f>
        <v>217.85</v>
      </c>
      <c r="Z28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81" spans="1:26" x14ac:dyDescent="0.3">
      <c r="A281">
        <v>3350</v>
      </c>
      <c r="B281" t="s">
        <v>708</v>
      </c>
      <c r="C281" t="s">
        <v>92</v>
      </c>
      <c r="D281">
        <v>0.01</v>
      </c>
      <c r="E281">
        <v>73.98</v>
      </c>
      <c r="F281">
        <v>12.14</v>
      </c>
      <c r="G281" t="s">
        <v>14</v>
      </c>
      <c r="H281" t="s">
        <v>3</v>
      </c>
      <c r="I281" t="s">
        <v>16</v>
      </c>
      <c r="J281" t="s">
        <v>17</v>
      </c>
      <c r="K281" t="s">
        <v>49</v>
      </c>
      <c r="L281" t="s">
        <v>709</v>
      </c>
      <c r="M281">
        <v>0.67</v>
      </c>
      <c r="N281" t="s">
        <v>8</v>
      </c>
      <c r="O281" t="s">
        <v>35</v>
      </c>
      <c r="P281" t="s">
        <v>42</v>
      </c>
      <c r="Q281" t="s">
        <v>710</v>
      </c>
      <c r="R281">
        <v>98444</v>
      </c>
      <c r="S281" s="1">
        <v>42027</v>
      </c>
      <c r="T281" s="1">
        <v>42029</v>
      </c>
      <c r="U281">
        <v>-29.0656</v>
      </c>
      <c r="V281">
        <v>5</v>
      </c>
      <c r="W281">
        <v>384.22</v>
      </c>
      <c r="X281">
        <v>91296</v>
      </c>
      <c r="Y281">
        <f>cleaneddata[[#This Row],[Unit Price]]-cleaneddata[[#This Row],[Discount]]</f>
        <v>73.97</v>
      </c>
      <c r="Z2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82" spans="1:26" x14ac:dyDescent="0.3">
      <c r="A282">
        <v>1692</v>
      </c>
      <c r="B282" t="s">
        <v>711</v>
      </c>
      <c r="C282" t="s">
        <v>46</v>
      </c>
      <c r="D282">
        <v>0</v>
      </c>
      <c r="E282">
        <v>6.84</v>
      </c>
      <c r="F282">
        <v>8.3699999999999992</v>
      </c>
      <c r="G282" t="s">
        <v>14</v>
      </c>
      <c r="H282" t="s">
        <v>15</v>
      </c>
      <c r="I282" t="s">
        <v>24</v>
      </c>
      <c r="J282" t="s">
        <v>544</v>
      </c>
      <c r="K282" t="s">
        <v>18</v>
      </c>
      <c r="L282" t="s">
        <v>712</v>
      </c>
      <c r="M282">
        <v>0.57999999999999996</v>
      </c>
      <c r="N282" t="s">
        <v>8</v>
      </c>
      <c r="O282" t="s">
        <v>28</v>
      </c>
      <c r="P282" t="s">
        <v>513</v>
      </c>
      <c r="Q282" t="s">
        <v>713</v>
      </c>
      <c r="R282">
        <v>67114</v>
      </c>
      <c r="S282" s="1">
        <v>42027</v>
      </c>
      <c r="T282" s="1">
        <v>42028</v>
      </c>
      <c r="U282">
        <v>-123.1816</v>
      </c>
      <c r="V282">
        <v>5</v>
      </c>
      <c r="W282">
        <v>37.89</v>
      </c>
      <c r="X282">
        <v>90189</v>
      </c>
      <c r="Y282">
        <f>cleaneddata[[#This Row],[Unit Price]]-cleaneddata[[#This Row],[Discount]]</f>
        <v>6.84</v>
      </c>
      <c r="Z28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83" spans="1:26" x14ac:dyDescent="0.3">
      <c r="A283">
        <v>1693</v>
      </c>
      <c r="B283" t="s">
        <v>714</v>
      </c>
      <c r="C283" t="s">
        <v>46</v>
      </c>
      <c r="D283">
        <v>7.0000000000000007E-2</v>
      </c>
      <c r="E283">
        <v>30.98</v>
      </c>
      <c r="F283">
        <v>5.76</v>
      </c>
      <c r="G283" t="s">
        <v>14</v>
      </c>
      <c r="H283" t="s">
        <v>15</v>
      </c>
      <c r="I283" t="s">
        <v>24</v>
      </c>
      <c r="J283" t="s">
        <v>64</v>
      </c>
      <c r="K283" t="s">
        <v>49</v>
      </c>
      <c r="L283" t="s">
        <v>715</v>
      </c>
      <c r="M283">
        <v>0.4</v>
      </c>
      <c r="N283" t="s">
        <v>8</v>
      </c>
      <c r="O283" t="s">
        <v>9</v>
      </c>
      <c r="P283" t="s">
        <v>218</v>
      </c>
      <c r="Q283" t="s">
        <v>716</v>
      </c>
      <c r="R283">
        <v>20190</v>
      </c>
      <c r="S283" s="1">
        <v>42027</v>
      </c>
      <c r="T283" s="1">
        <v>42029</v>
      </c>
      <c r="U283">
        <v>-28.797999999999998</v>
      </c>
      <c r="V283">
        <v>11</v>
      </c>
      <c r="W283">
        <v>343.79</v>
      </c>
      <c r="X283">
        <v>90189</v>
      </c>
      <c r="Y283">
        <f>cleaneddata[[#This Row],[Unit Price]]-cleaneddata[[#This Row],[Discount]]</f>
        <v>30.91</v>
      </c>
      <c r="Z2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84" spans="1:26" x14ac:dyDescent="0.3">
      <c r="A284">
        <v>604</v>
      </c>
      <c r="B284" t="s">
        <v>717</v>
      </c>
      <c r="C284" t="s">
        <v>1</v>
      </c>
      <c r="D284">
        <v>0.03</v>
      </c>
      <c r="E284">
        <v>1.88</v>
      </c>
      <c r="F284">
        <v>1.49</v>
      </c>
      <c r="G284" t="s">
        <v>14</v>
      </c>
      <c r="H284" t="s">
        <v>47</v>
      </c>
      <c r="I284" t="s">
        <v>24</v>
      </c>
      <c r="J284" t="s">
        <v>48</v>
      </c>
      <c r="K284" t="s">
        <v>49</v>
      </c>
      <c r="L284" t="s">
        <v>589</v>
      </c>
      <c r="M284">
        <v>0.37</v>
      </c>
      <c r="N284" t="s">
        <v>8</v>
      </c>
      <c r="O284" t="s">
        <v>35</v>
      </c>
      <c r="P284" t="s">
        <v>66</v>
      </c>
      <c r="Q284" t="s">
        <v>76</v>
      </c>
      <c r="R284">
        <v>90045</v>
      </c>
      <c r="S284" s="1">
        <v>42028</v>
      </c>
      <c r="T284" s="1">
        <v>42029</v>
      </c>
      <c r="U284">
        <v>-15.099500000000001</v>
      </c>
      <c r="V284">
        <v>52</v>
      </c>
      <c r="W284">
        <v>102.32</v>
      </c>
      <c r="X284">
        <v>34882</v>
      </c>
      <c r="Y284">
        <f>cleaneddata[[#This Row],[Unit Price]]-cleaneddata[[#This Row],[Discount]]</f>
        <v>1.8499999999999999</v>
      </c>
      <c r="Z28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85" spans="1:26" x14ac:dyDescent="0.3">
      <c r="A285">
        <v>830</v>
      </c>
      <c r="B285" t="s">
        <v>718</v>
      </c>
      <c r="C285" t="s">
        <v>13</v>
      </c>
      <c r="D285">
        <v>0.01</v>
      </c>
      <c r="E285">
        <v>14.42</v>
      </c>
      <c r="F285">
        <v>6.75</v>
      </c>
      <c r="G285" t="s">
        <v>14</v>
      </c>
      <c r="H285" t="s">
        <v>70</v>
      </c>
      <c r="I285" t="s">
        <v>24</v>
      </c>
      <c r="J285" t="s">
        <v>71</v>
      </c>
      <c r="K285" t="s">
        <v>120</v>
      </c>
      <c r="L285" t="s">
        <v>385</v>
      </c>
      <c r="M285">
        <v>0.52</v>
      </c>
      <c r="N285" t="s">
        <v>8</v>
      </c>
      <c r="O285" t="s">
        <v>35</v>
      </c>
      <c r="P285" t="s">
        <v>36</v>
      </c>
      <c r="Q285" t="s">
        <v>719</v>
      </c>
      <c r="R285">
        <v>80033</v>
      </c>
      <c r="S285" s="1">
        <v>42028</v>
      </c>
      <c r="T285" s="1">
        <v>42028</v>
      </c>
      <c r="U285">
        <v>-13.826000000000001</v>
      </c>
      <c r="V285">
        <v>6</v>
      </c>
      <c r="W285">
        <v>89.91</v>
      </c>
      <c r="X285">
        <v>90270</v>
      </c>
      <c r="Y285">
        <f>cleaneddata[[#This Row],[Unit Price]]-cleaneddata[[#This Row],[Discount]]</f>
        <v>14.41</v>
      </c>
      <c r="Z28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86" spans="1:26" x14ac:dyDescent="0.3">
      <c r="A286">
        <v>997</v>
      </c>
      <c r="B286" t="s">
        <v>720</v>
      </c>
      <c r="C286" t="s">
        <v>23</v>
      </c>
      <c r="D286">
        <v>0.08</v>
      </c>
      <c r="E286">
        <v>67.84</v>
      </c>
      <c r="F286">
        <v>0.99</v>
      </c>
      <c r="G286" t="s">
        <v>14</v>
      </c>
      <c r="H286" t="s">
        <v>3</v>
      </c>
      <c r="I286" t="s">
        <v>24</v>
      </c>
      <c r="J286" t="s">
        <v>71</v>
      </c>
      <c r="K286" t="s">
        <v>49</v>
      </c>
      <c r="L286" t="s">
        <v>721</v>
      </c>
      <c r="M286">
        <v>0.57999999999999996</v>
      </c>
      <c r="N286" t="s">
        <v>8</v>
      </c>
      <c r="O286" t="s">
        <v>87</v>
      </c>
      <c r="P286" t="s">
        <v>373</v>
      </c>
      <c r="Q286" t="s">
        <v>374</v>
      </c>
      <c r="R286">
        <v>7002</v>
      </c>
      <c r="S286" s="1">
        <v>42028</v>
      </c>
      <c r="T286" s="1">
        <v>42033</v>
      </c>
      <c r="U286">
        <v>-23.634399999999999</v>
      </c>
      <c r="V286">
        <v>1</v>
      </c>
      <c r="W286">
        <v>63.66</v>
      </c>
      <c r="X286">
        <v>89431</v>
      </c>
      <c r="Y286">
        <f>cleaneddata[[#This Row],[Unit Price]]-cleaneddata[[#This Row],[Discount]]</f>
        <v>67.760000000000005</v>
      </c>
      <c r="Z28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87" spans="1:26" x14ac:dyDescent="0.3">
      <c r="A287">
        <v>1281</v>
      </c>
      <c r="B287" t="s">
        <v>722</v>
      </c>
      <c r="C287" t="s">
        <v>23</v>
      </c>
      <c r="D287">
        <v>0.03</v>
      </c>
      <c r="E287">
        <v>199.99</v>
      </c>
      <c r="F287">
        <v>24.49</v>
      </c>
      <c r="G287" t="s">
        <v>63</v>
      </c>
      <c r="H287" t="s">
        <v>3</v>
      </c>
      <c r="I287" t="s">
        <v>16</v>
      </c>
      <c r="J287" t="s">
        <v>39</v>
      </c>
      <c r="K287" t="s">
        <v>40</v>
      </c>
      <c r="L287" t="s">
        <v>723</v>
      </c>
      <c r="M287">
        <v>0.46</v>
      </c>
      <c r="N287" t="s">
        <v>8</v>
      </c>
      <c r="O287" t="s">
        <v>28</v>
      </c>
      <c r="P287" t="s">
        <v>29</v>
      </c>
      <c r="Q287" t="s">
        <v>724</v>
      </c>
      <c r="R287">
        <v>47591</v>
      </c>
      <c r="S287" s="1">
        <v>42028</v>
      </c>
      <c r="T287" s="1">
        <v>42030</v>
      </c>
      <c r="U287">
        <v>727.73609999999996</v>
      </c>
      <c r="V287">
        <v>5</v>
      </c>
      <c r="W287">
        <v>1054.69</v>
      </c>
      <c r="X287">
        <v>89112</v>
      </c>
      <c r="Y287">
        <f>cleaneddata[[#This Row],[Unit Price]]-cleaneddata[[#This Row],[Discount]]</f>
        <v>199.96</v>
      </c>
      <c r="Z2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88" spans="1:26" x14ac:dyDescent="0.3">
      <c r="A288">
        <v>1282</v>
      </c>
      <c r="B288" t="s">
        <v>725</v>
      </c>
      <c r="C288" t="s">
        <v>23</v>
      </c>
      <c r="D288">
        <v>0.03</v>
      </c>
      <c r="E288">
        <v>199.99</v>
      </c>
      <c r="F288">
        <v>24.49</v>
      </c>
      <c r="G288" t="s">
        <v>63</v>
      </c>
      <c r="H288" t="s">
        <v>3</v>
      </c>
      <c r="I288" t="s">
        <v>16</v>
      </c>
      <c r="J288" t="s">
        <v>39</v>
      </c>
      <c r="K288" t="s">
        <v>40</v>
      </c>
      <c r="L288" t="s">
        <v>723</v>
      </c>
      <c r="M288">
        <v>0.46</v>
      </c>
      <c r="N288" t="s">
        <v>8</v>
      </c>
      <c r="O288" t="s">
        <v>87</v>
      </c>
      <c r="P288" t="s">
        <v>296</v>
      </c>
      <c r="Q288" t="s">
        <v>297</v>
      </c>
      <c r="R288">
        <v>19134</v>
      </c>
      <c r="S288" s="1">
        <v>42028</v>
      </c>
      <c r="T288" s="1">
        <v>42030</v>
      </c>
      <c r="U288">
        <v>393.42</v>
      </c>
      <c r="V288">
        <v>21</v>
      </c>
      <c r="W288">
        <v>4429.6899999999996</v>
      </c>
      <c r="X288">
        <v>29319</v>
      </c>
      <c r="Y288">
        <f>cleaneddata[[#This Row],[Unit Price]]-cleaneddata[[#This Row],[Discount]]</f>
        <v>199.96</v>
      </c>
      <c r="Z2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89" spans="1:26" x14ac:dyDescent="0.3">
      <c r="A289">
        <v>1690</v>
      </c>
      <c r="B289" t="s">
        <v>726</v>
      </c>
      <c r="C289" t="s">
        <v>23</v>
      </c>
      <c r="D289">
        <v>0.05</v>
      </c>
      <c r="E289">
        <v>115.99</v>
      </c>
      <c r="F289">
        <v>5.26</v>
      </c>
      <c r="G289" t="s">
        <v>14</v>
      </c>
      <c r="H289" t="s">
        <v>70</v>
      </c>
      <c r="I289" t="s">
        <v>16</v>
      </c>
      <c r="J289" t="s">
        <v>111</v>
      </c>
      <c r="K289" t="s">
        <v>49</v>
      </c>
      <c r="L289" t="s">
        <v>727</v>
      </c>
      <c r="M289">
        <v>0.56999999999999995</v>
      </c>
      <c r="N289" t="s">
        <v>8</v>
      </c>
      <c r="O289" t="s">
        <v>87</v>
      </c>
      <c r="P289" t="s">
        <v>296</v>
      </c>
      <c r="Q289" t="s">
        <v>728</v>
      </c>
      <c r="R289">
        <v>17112</v>
      </c>
      <c r="S289" s="1">
        <v>42028</v>
      </c>
      <c r="T289" s="1">
        <v>42032</v>
      </c>
      <c r="U289">
        <v>616.53570000000002</v>
      </c>
      <c r="V289">
        <v>9</v>
      </c>
      <c r="W289">
        <v>893.53</v>
      </c>
      <c r="X289">
        <v>91076</v>
      </c>
      <c r="Y289">
        <f>cleaneddata[[#This Row],[Unit Price]]-cleaneddata[[#This Row],[Discount]]</f>
        <v>115.94</v>
      </c>
      <c r="Z28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90" spans="1:26" x14ac:dyDescent="0.3">
      <c r="A290">
        <v>2613</v>
      </c>
      <c r="B290" t="s">
        <v>729</v>
      </c>
      <c r="C290" t="s">
        <v>23</v>
      </c>
      <c r="D290">
        <v>0.02</v>
      </c>
      <c r="E290">
        <v>50.98</v>
      </c>
      <c r="F290">
        <v>13.66</v>
      </c>
      <c r="G290" t="s">
        <v>63</v>
      </c>
      <c r="H290" t="s">
        <v>70</v>
      </c>
      <c r="I290" t="s">
        <v>24</v>
      </c>
      <c r="J290" t="s">
        <v>71</v>
      </c>
      <c r="K290" t="s">
        <v>49</v>
      </c>
      <c r="L290" t="s">
        <v>730</v>
      </c>
      <c r="M290">
        <v>0.57999999999999996</v>
      </c>
      <c r="N290" t="s">
        <v>8</v>
      </c>
      <c r="O290" t="s">
        <v>87</v>
      </c>
      <c r="P290" t="s">
        <v>373</v>
      </c>
      <c r="Q290" t="s">
        <v>731</v>
      </c>
      <c r="R290">
        <v>8863</v>
      </c>
      <c r="S290" s="1">
        <v>42028</v>
      </c>
      <c r="T290" s="1">
        <v>42028</v>
      </c>
      <c r="U290">
        <v>-25.76</v>
      </c>
      <c r="V290">
        <v>1</v>
      </c>
      <c r="W290">
        <v>68.45</v>
      </c>
      <c r="X290">
        <v>86119</v>
      </c>
      <c r="Y290">
        <f>cleaneddata[[#This Row],[Unit Price]]-cleaneddata[[#This Row],[Discount]]</f>
        <v>50.959999999999994</v>
      </c>
      <c r="Z29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91" spans="1:26" x14ac:dyDescent="0.3">
      <c r="A291">
        <v>3089</v>
      </c>
      <c r="B291" t="s">
        <v>732</v>
      </c>
      <c r="C291" t="s">
        <v>23</v>
      </c>
      <c r="D291">
        <v>7.0000000000000007E-2</v>
      </c>
      <c r="E291">
        <v>49.43</v>
      </c>
      <c r="F291">
        <v>19.989999999999998</v>
      </c>
      <c r="G291" t="s">
        <v>14</v>
      </c>
      <c r="H291" t="s">
        <v>70</v>
      </c>
      <c r="I291" t="s">
        <v>24</v>
      </c>
      <c r="J291" t="s">
        <v>71</v>
      </c>
      <c r="K291" t="s">
        <v>49</v>
      </c>
      <c r="L291" t="s">
        <v>733</v>
      </c>
      <c r="M291">
        <v>0.56999999999999995</v>
      </c>
      <c r="N291" t="s">
        <v>8</v>
      </c>
      <c r="O291" t="s">
        <v>28</v>
      </c>
      <c r="P291" t="s">
        <v>513</v>
      </c>
      <c r="Q291" t="s">
        <v>734</v>
      </c>
      <c r="R291">
        <v>66209</v>
      </c>
      <c r="S291" s="1">
        <v>42028</v>
      </c>
      <c r="T291" s="1">
        <v>42033</v>
      </c>
      <c r="U291">
        <v>-122.77</v>
      </c>
      <c r="V291">
        <v>6</v>
      </c>
      <c r="W291">
        <v>281.82</v>
      </c>
      <c r="X291">
        <v>91219</v>
      </c>
      <c r="Y291">
        <f>cleaneddata[[#This Row],[Unit Price]]-cleaneddata[[#This Row],[Discount]]</f>
        <v>49.36</v>
      </c>
      <c r="Z29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92" spans="1:26" x14ac:dyDescent="0.3">
      <c r="A292">
        <v>2283</v>
      </c>
      <c r="B292" t="s">
        <v>735</v>
      </c>
      <c r="C292" t="s">
        <v>92</v>
      </c>
      <c r="D292">
        <v>0.01</v>
      </c>
      <c r="E292">
        <v>11.7</v>
      </c>
      <c r="F292">
        <v>6.96</v>
      </c>
      <c r="G292" t="s">
        <v>14</v>
      </c>
      <c r="H292" t="s">
        <v>47</v>
      </c>
      <c r="I292" t="s">
        <v>24</v>
      </c>
      <c r="J292" t="s">
        <v>71</v>
      </c>
      <c r="K292" t="s">
        <v>120</v>
      </c>
      <c r="L292" t="s">
        <v>736</v>
      </c>
      <c r="M292">
        <v>0.5</v>
      </c>
      <c r="N292" t="s">
        <v>8</v>
      </c>
      <c r="O292" t="s">
        <v>28</v>
      </c>
      <c r="P292" t="s">
        <v>333</v>
      </c>
      <c r="Q292" t="s">
        <v>737</v>
      </c>
      <c r="R292">
        <v>53132</v>
      </c>
      <c r="S292" s="1">
        <v>42028</v>
      </c>
      <c r="T292" s="1">
        <v>42030</v>
      </c>
      <c r="U292">
        <v>-28.954000000000001</v>
      </c>
      <c r="V292">
        <v>6</v>
      </c>
      <c r="W292">
        <v>76.87</v>
      </c>
      <c r="X292">
        <v>85947</v>
      </c>
      <c r="Y292">
        <f>cleaneddata[[#This Row],[Unit Price]]-cleaneddata[[#This Row],[Discount]]</f>
        <v>11.69</v>
      </c>
      <c r="Z2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293" spans="1:26" x14ac:dyDescent="0.3">
      <c r="A293">
        <v>275</v>
      </c>
      <c r="B293" t="s">
        <v>738</v>
      </c>
      <c r="C293" t="s">
        <v>46</v>
      </c>
      <c r="D293">
        <v>0.09</v>
      </c>
      <c r="E293">
        <v>15.28</v>
      </c>
      <c r="F293">
        <v>10.91</v>
      </c>
      <c r="G293" t="s">
        <v>14</v>
      </c>
      <c r="H293" t="s">
        <v>70</v>
      </c>
      <c r="I293" t="s">
        <v>24</v>
      </c>
      <c r="J293" t="s">
        <v>48</v>
      </c>
      <c r="K293" t="s">
        <v>49</v>
      </c>
      <c r="L293" t="s">
        <v>739</v>
      </c>
      <c r="M293">
        <v>0.36</v>
      </c>
      <c r="N293" t="s">
        <v>8</v>
      </c>
      <c r="O293" t="s">
        <v>87</v>
      </c>
      <c r="P293" t="s">
        <v>224</v>
      </c>
      <c r="Q293" t="s">
        <v>740</v>
      </c>
      <c r="R293">
        <v>6824</v>
      </c>
      <c r="S293" s="1">
        <v>42028</v>
      </c>
      <c r="T293" s="1">
        <v>42029</v>
      </c>
      <c r="U293">
        <v>-51.75</v>
      </c>
      <c r="V293">
        <v>4</v>
      </c>
      <c r="W293">
        <v>61.52</v>
      </c>
      <c r="X293">
        <v>89292</v>
      </c>
      <c r="Y293">
        <f>cleaneddata[[#This Row],[Unit Price]]-cleaneddata[[#This Row],[Discount]]</f>
        <v>15.19</v>
      </c>
      <c r="Z29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294" spans="1:26" x14ac:dyDescent="0.3">
      <c r="A294">
        <v>1653</v>
      </c>
      <c r="B294" t="s">
        <v>741</v>
      </c>
      <c r="C294" t="s">
        <v>46</v>
      </c>
      <c r="D294">
        <v>0</v>
      </c>
      <c r="E294">
        <v>101.41</v>
      </c>
      <c r="F294">
        <v>35</v>
      </c>
      <c r="G294" t="s">
        <v>63</v>
      </c>
      <c r="H294" t="s">
        <v>70</v>
      </c>
      <c r="I294" t="s">
        <v>24</v>
      </c>
      <c r="J294" t="s">
        <v>54</v>
      </c>
      <c r="K294" t="s">
        <v>40</v>
      </c>
      <c r="L294" t="s">
        <v>742</v>
      </c>
      <c r="M294">
        <v>0.82</v>
      </c>
      <c r="N294" t="s">
        <v>8</v>
      </c>
      <c r="O294" t="s">
        <v>35</v>
      </c>
      <c r="P294" t="s">
        <v>66</v>
      </c>
      <c r="Q294" t="s">
        <v>743</v>
      </c>
      <c r="R294">
        <v>91360</v>
      </c>
      <c r="S294" s="1">
        <v>42028</v>
      </c>
      <c r="T294" s="1">
        <v>42029</v>
      </c>
      <c r="U294">
        <v>-457.73</v>
      </c>
      <c r="V294">
        <v>10</v>
      </c>
      <c r="W294">
        <v>1104.32</v>
      </c>
      <c r="X294">
        <v>89885</v>
      </c>
      <c r="Y294">
        <f>cleaneddata[[#This Row],[Unit Price]]-cleaneddata[[#This Row],[Discount]]</f>
        <v>101.41</v>
      </c>
      <c r="Z29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95" spans="1:26" x14ac:dyDescent="0.3">
      <c r="A295">
        <v>1653</v>
      </c>
      <c r="B295" t="s">
        <v>741</v>
      </c>
      <c r="C295" t="s">
        <v>46</v>
      </c>
      <c r="D295">
        <v>0.1</v>
      </c>
      <c r="E295">
        <v>95.99</v>
      </c>
      <c r="F295">
        <v>4.9000000000000004</v>
      </c>
      <c r="G295" t="s">
        <v>14</v>
      </c>
      <c r="H295" t="s">
        <v>70</v>
      </c>
      <c r="I295" t="s">
        <v>16</v>
      </c>
      <c r="J295" t="s">
        <v>111</v>
      </c>
      <c r="K295" t="s">
        <v>49</v>
      </c>
      <c r="L295" t="s">
        <v>744</v>
      </c>
      <c r="M295">
        <v>0.56000000000000005</v>
      </c>
      <c r="N295" t="s">
        <v>8</v>
      </c>
      <c r="O295" t="s">
        <v>35</v>
      </c>
      <c r="P295" t="s">
        <v>66</v>
      </c>
      <c r="Q295" t="s">
        <v>743</v>
      </c>
      <c r="R295">
        <v>91360</v>
      </c>
      <c r="S295" s="1">
        <v>42028</v>
      </c>
      <c r="T295" s="1">
        <v>42029</v>
      </c>
      <c r="U295">
        <v>-268.66399999999999</v>
      </c>
      <c r="V295">
        <v>2</v>
      </c>
      <c r="W295">
        <v>149.80000000000001</v>
      </c>
      <c r="X295">
        <v>89885</v>
      </c>
      <c r="Y295">
        <f>cleaneddata[[#This Row],[Unit Price]]-cleaneddata[[#This Row],[Discount]]</f>
        <v>95.89</v>
      </c>
      <c r="Z29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96" spans="1:26" x14ac:dyDescent="0.3">
      <c r="A296">
        <v>1389</v>
      </c>
      <c r="B296" t="s">
        <v>745</v>
      </c>
      <c r="C296" t="s">
        <v>1</v>
      </c>
      <c r="D296">
        <v>0.06</v>
      </c>
      <c r="E296">
        <v>1.74</v>
      </c>
      <c r="F296">
        <v>4.08</v>
      </c>
      <c r="G296" t="s">
        <v>14</v>
      </c>
      <c r="H296" t="s">
        <v>70</v>
      </c>
      <c r="I296" t="s">
        <v>4</v>
      </c>
      <c r="J296" t="s">
        <v>102</v>
      </c>
      <c r="K296" t="s">
        <v>18</v>
      </c>
      <c r="L296" t="s">
        <v>746</v>
      </c>
      <c r="M296">
        <v>0.53</v>
      </c>
      <c r="N296" t="s">
        <v>8</v>
      </c>
      <c r="O296" t="s">
        <v>35</v>
      </c>
      <c r="P296" t="s">
        <v>66</v>
      </c>
      <c r="Q296" t="s">
        <v>747</v>
      </c>
      <c r="R296">
        <v>94025</v>
      </c>
      <c r="S296" s="1">
        <v>42029</v>
      </c>
      <c r="T296" s="1">
        <v>42030</v>
      </c>
      <c r="U296">
        <v>-11.0732</v>
      </c>
      <c r="V296">
        <v>1</v>
      </c>
      <c r="W296">
        <v>2.77</v>
      </c>
      <c r="X296">
        <v>88726</v>
      </c>
      <c r="Y296">
        <f>cleaneddata[[#This Row],[Unit Price]]-cleaneddata[[#This Row],[Discount]]</f>
        <v>1.68</v>
      </c>
      <c r="Z29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97" spans="1:26" x14ac:dyDescent="0.3">
      <c r="A297">
        <v>156</v>
      </c>
      <c r="B297" t="s">
        <v>748</v>
      </c>
      <c r="C297" t="s">
        <v>13</v>
      </c>
      <c r="D297">
        <v>0.03</v>
      </c>
      <c r="E297">
        <v>10.89</v>
      </c>
      <c r="F297">
        <v>4.5</v>
      </c>
      <c r="G297" t="s">
        <v>14</v>
      </c>
      <c r="H297" t="s">
        <v>70</v>
      </c>
      <c r="I297" t="s">
        <v>24</v>
      </c>
      <c r="J297" t="s">
        <v>71</v>
      </c>
      <c r="K297" t="s">
        <v>49</v>
      </c>
      <c r="L297" t="s">
        <v>749</v>
      </c>
      <c r="M297">
        <v>0.59</v>
      </c>
      <c r="N297" t="s">
        <v>8</v>
      </c>
      <c r="O297" t="s">
        <v>35</v>
      </c>
      <c r="P297" t="s">
        <v>36</v>
      </c>
      <c r="Q297" t="s">
        <v>37</v>
      </c>
      <c r="R297">
        <v>80525</v>
      </c>
      <c r="S297" s="1">
        <v>42029</v>
      </c>
      <c r="T297" s="1">
        <v>42030</v>
      </c>
      <c r="U297">
        <v>-18.64</v>
      </c>
      <c r="V297">
        <v>3</v>
      </c>
      <c r="W297">
        <v>33.82</v>
      </c>
      <c r="X297">
        <v>87672</v>
      </c>
      <c r="Y297">
        <f>cleaneddata[[#This Row],[Unit Price]]-cleaneddata[[#This Row],[Discount]]</f>
        <v>10.860000000000001</v>
      </c>
      <c r="Z29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298" spans="1:26" x14ac:dyDescent="0.3">
      <c r="A298">
        <v>1997</v>
      </c>
      <c r="B298" t="s">
        <v>750</v>
      </c>
      <c r="C298" t="s">
        <v>46</v>
      </c>
      <c r="D298">
        <v>0.1</v>
      </c>
      <c r="E298">
        <v>125.99</v>
      </c>
      <c r="F298">
        <v>8.99</v>
      </c>
      <c r="G298" t="s">
        <v>14</v>
      </c>
      <c r="H298" t="s">
        <v>15</v>
      </c>
      <c r="I298" t="s">
        <v>16</v>
      </c>
      <c r="J298" t="s">
        <v>111</v>
      </c>
      <c r="K298" t="s">
        <v>49</v>
      </c>
      <c r="L298" t="s">
        <v>751</v>
      </c>
      <c r="M298">
        <v>0.56999999999999995</v>
      </c>
      <c r="N298" t="s">
        <v>8</v>
      </c>
      <c r="O298" t="s">
        <v>9</v>
      </c>
      <c r="P298" t="s">
        <v>247</v>
      </c>
      <c r="Q298" t="s">
        <v>248</v>
      </c>
      <c r="R298">
        <v>29915</v>
      </c>
      <c r="S298" s="1">
        <v>42029</v>
      </c>
      <c r="T298" s="1">
        <v>42032</v>
      </c>
      <c r="U298">
        <v>17.652000000000001</v>
      </c>
      <c r="V298">
        <v>4</v>
      </c>
      <c r="W298">
        <v>408.66</v>
      </c>
      <c r="X298">
        <v>90333</v>
      </c>
      <c r="Y298">
        <f>cleaneddata[[#This Row],[Unit Price]]-cleaneddata[[#This Row],[Discount]]</f>
        <v>125.89</v>
      </c>
      <c r="Z2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299" spans="1:26" x14ac:dyDescent="0.3">
      <c r="A299">
        <v>1360</v>
      </c>
      <c r="B299" t="s">
        <v>752</v>
      </c>
      <c r="C299" t="s">
        <v>13</v>
      </c>
      <c r="D299">
        <v>0.03</v>
      </c>
      <c r="E299">
        <v>14.34</v>
      </c>
      <c r="F299">
        <v>5</v>
      </c>
      <c r="G299" t="s">
        <v>14</v>
      </c>
      <c r="H299" t="s">
        <v>15</v>
      </c>
      <c r="I299" t="s">
        <v>4</v>
      </c>
      <c r="J299" t="s">
        <v>102</v>
      </c>
      <c r="K299" t="s">
        <v>18</v>
      </c>
      <c r="L299" t="s">
        <v>753</v>
      </c>
      <c r="M299">
        <v>0.49</v>
      </c>
      <c r="N299" t="s">
        <v>8</v>
      </c>
      <c r="O299" t="s">
        <v>28</v>
      </c>
      <c r="P299" t="s">
        <v>189</v>
      </c>
      <c r="Q299" t="s">
        <v>754</v>
      </c>
      <c r="R299">
        <v>52761</v>
      </c>
      <c r="S299" s="1">
        <v>42030</v>
      </c>
      <c r="T299" s="1">
        <v>42031</v>
      </c>
      <c r="U299">
        <v>82.310100000000006</v>
      </c>
      <c r="V299">
        <v>8</v>
      </c>
      <c r="W299">
        <v>119.29</v>
      </c>
      <c r="X299">
        <v>89595</v>
      </c>
      <c r="Y299">
        <f>cleaneddata[[#This Row],[Unit Price]]-cleaneddata[[#This Row],[Discount]]</f>
        <v>14.31</v>
      </c>
      <c r="Z29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00" spans="1:26" x14ac:dyDescent="0.3">
      <c r="A300">
        <v>1361</v>
      </c>
      <c r="B300" t="s">
        <v>755</v>
      </c>
      <c r="C300" t="s">
        <v>13</v>
      </c>
      <c r="D300">
        <v>0.01</v>
      </c>
      <c r="E300">
        <v>2.89</v>
      </c>
      <c r="F300">
        <v>0.5</v>
      </c>
      <c r="G300" t="s">
        <v>14</v>
      </c>
      <c r="H300" t="s">
        <v>15</v>
      </c>
      <c r="I300" t="s">
        <v>24</v>
      </c>
      <c r="J300" t="s">
        <v>128</v>
      </c>
      <c r="K300" t="s">
        <v>49</v>
      </c>
      <c r="L300" t="s">
        <v>705</v>
      </c>
      <c r="M300">
        <v>0.38</v>
      </c>
      <c r="N300" t="s">
        <v>8</v>
      </c>
      <c r="O300" t="s">
        <v>28</v>
      </c>
      <c r="P300" t="s">
        <v>265</v>
      </c>
      <c r="Q300" t="s">
        <v>756</v>
      </c>
      <c r="R300">
        <v>48101</v>
      </c>
      <c r="S300" s="1">
        <v>42030</v>
      </c>
      <c r="T300" s="1">
        <v>42032</v>
      </c>
      <c r="U300">
        <v>1.2236</v>
      </c>
      <c r="V300">
        <v>1</v>
      </c>
      <c r="W300">
        <v>3.08</v>
      </c>
      <c r="X300">
        <v>89595</v>
      </c>
      <c r="Y300">
        <f>cleaneddata[[#This Row],[Unit Price]]-cleaneddata[[#This Row],[Discount]]</f>
        <v>2.8800000000000003</v>
      </c>
      <c r="Z3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01" spans="1:26" x14ac:dyDescent="0.3">
      <c r="A301">
        <v>3154</v>
      </c>
      <c r="B301" t="s">
        <v>757</v>
      </c>
      <c r="C301" t="s">
        <v>13</v>
      </c>
      <c r="D301">
        <v>0.08</v>
      </c>
      <c r="E301">
        <v>150.97999999999999</v>
      </c>
      <c r="F301">
        <v>13.99</v>
      </c>
      <c r="G301" t="s">
        <v>63</v>
      </c>
      <c r="H301" t="s">
        <v>70</v>
      </c>
      <c r="I301" t="s">
        <v>16</v>
      </c>
      <c r="J301" t="s">
        <v>32</v>
      </c>
      <c r="K301" t="s">
        <v>120</v>
      </c>
      <c r="L301" t="s">
        <v>758</v>
      </c>
      <c r="M301">
        <v>0.38</v>
      </c>
      <c r="N301" t="s">
        <v>8</v>
      </c>
      <c r="O301" t="s">
        <v>9</v>
      </c>
      <c r="P301" t="s">
        <v>99</v>
      </c>
      <c r="Q301" t="s">
        <v>759</v>
      </c>
      <c r="R301">
        <v>33710</v>
      </c>
      <c r="S301" s="1">
        <v>42030</v>
      </c>
      <c r="T301" s="1">
        <v>42031</v>
      </c>
      <c r="U301">
        <v>-3.948</v>
      </c>
      <c r="V301">
        <v>8</v>
      </c>
      <c r="W301">
        <v>1183.82</v>
      </c>
      <c r="X301">
        <v>86899</v>
      </c>
      <c r="Y301">
        <f>cleaneddata[[#This Row],[Unit Price]]-cleaneddata[[#This Row],[Discount]]</f>
        <v>150.89999999999998</v>
      </c>
      <c r="Z30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02" spans="1:26" x14ac:dyDescent="0.3">
      <c r="A302">
        <v>3155</v>
      </c>
      <c r="B302" t="s">
        <v>618</v>
      </c>
      <c r="C302" t="s">
        <v>13</v>
      </c>
      <c r="D302">
        <v>0.03</v>
      </c>
      <c r="E302">
        <v>25.98</v>
      </c>
      <c r="F302">
        <v>14.36</v>
      </c>
      <c r="G302" t="s">
        <v>2</v>
      </c>
      <c r="H302" t="s">
        <v>70</v>
      </c>
      <c r="I302" t="s">
        <v>4</v>
      </c>
      <c r="J302" t="s">
        <v>85</v>
      </c>
      <c r="K302" t="s">
        <v>33</v>
      </c>
      <c r="L302" t="s">
        <v>760</v>
      </c>
      <c r="M302">
        <v>0.6</v>
      </c>
      <c r="N302" t="s">
        <v>8</v>
      </c>
      <c r="O302" t="s">
        <v>9</v>
      </c>
      <c r="P302" t="s">
        <v>99</v>
      </c>
      <c r="Q302" t="s">
        <v>308</v>
      </c>
      <c r="R302">
        <v>32771</v>
      </c>
      <c r="S302" s="1">
        <v>42030</v>
      </c>
      <c r="T302" s="1">
        <v>42031</v>
      </c>
      <c r="U302">
        <v>57.545999999999999</v>
      </c>
      <c r="V302">
        <v>4</v>
      </c>
      <c r="W302">
        <v>107.66</v>
      </c>
      <c r="X302">
        <v>86899</v>
      </c>
      <c r="Y302">
        <f>cleaneddata[[#This Row],[Unit Price]]-cleaneddata[[#This Row],[Discount]]</f>
        <v>25.95</v>
      </c>
      <c r="Z30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03" spans="1:26" x14ac:dyDescent="0.3">
      <c r="A303">
        <v>3155</v>
      </c>
      <c r="B303" t="s">
        <v>618</v>
      </c>
      <c r="C303" t="s">
        <v>13</v>
      </c>
      <c r="D303">
        <v>0.1</v>
      </c>
      <c r="E303">
        <v>32.479999999999997</v>
      </c>
      <c r="F303">
        <v>35</v>
      </c>
      <c r="G303" t="s">
        <v>14</v>
      </c>
      <c r="H303" t="s">
        <v>70</v>
      </c>
      <c r="I303" t="s">
        <v>24</v>
      </c>
      <c r="J303" t="s">
        <v>54</v>
      </c>
      <c r="K303" t="s">
        <v>40</v>
      </c>
      <c r="L303" t="s">
        <v>761</v>
      </c>
      <c r="M303">
        <v>0.81</v>
      </c>
      <c r="N303" t="s">
        <v>8</v>
      </c>
      <c r="O303" t="s">
        <v>9</v>
      </c>
      <c r="P303" t="s">
        <v>99</v>
      </c>
      <c r="Q303" t="s">
        <v>308</v>
      </c>
      <c r="R303">
        <v>32771</v>
      </c>
      <c r="S303" s="1">
        <v>42030</v>
      </c>
      <c r="T303" s="1">
        <v>42031</v>
      </c>
      <c r="U303">
        <v>-333.42540000000002</v>
      </c>
      <c r="V303">
        <v>10</v>
      </c>
      <c r="W303">
        <v>318.83</v>
      </c>
      <c r="X303">
        <v>86899</v>
      </c>
      <c r="Y303">
        <f>cleaneddata[[#This Row],[Unit Price]]-cleaneddata[[#This Row],[Discount]]</f>
        <v>32.379999999999995</v>
      </c>
      <c r="Z30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04" spans="1:26" x14ac:dyDescent="0.3">
      <c r="A304">
        <v>1129</v>
      </c>
      <c r="B304" t="s">
        <v>762</v>
      </c>
      <c r="C304" t="s">
        <v>23</v>
      </c>
      <c r="D304">
        <v>0.02</v>
      </c>
      <c r="E304">
        <v>4.9800000000000004</v>
      </c>
      <c r="F304">
        <v>6.07</v>
      </c>
      <c r="G304" t="s">
        <v>14</v>
      </c>
      <c r="H304" t="s">
        <v>47</v>
      </c>
      <c r="I304" t="s">
        <v>24</v>
      </c>
      <c r="J304" t="s">
        <v>64</v>
      </c>
      <c r="K304" t="s">
        <v>49</v>
      </c>
      <c r="L304" t="s">
        <v>763</v>
      </c>
      <c r="M304">
        <v>0.36</v>
      </c>
      <c r="N304" t="s">
        <v>8</v>
      </c>
      <c r="O304" t="s">
        <v>87</v>
      </c>
      <c r="P304" t="s">
        <v>379</v>
      </c>
      <c r="Q304" t="s">
        <v>764</v>
      </c>
      <c r="R304">
        <v>2118</v>
      </c>
      <c r="S304" s="1">
        <v>42030</v>
      </c>
      <c r="T304" s="1">
        <v>42032</v>
      </c>
      <c r="U304">
        <v>-46.92</v>
      </c>
      <c r="V304">
        <v>19</v>
      </c>
      <c r="W304">
        <v>105.5</v>
      </c>
      <c r="X304">
        <v>57794</v>
      </c>
      <c r="Y304">
        <f>cleaneddata[[#This Row],[Unit Price]]-cleaneddata[[#This Row],[Discount]]</f>
        <v>4.9600000000000009</v>
      </c>
      <c r="Z30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05" spans="1:26" x14ac:dyDescent="0.3">
      <c r="A305">
        <v>1133</v>
      </c>
      <c r="B305" t="s">
        <v>765</v>
      </c>
      <c r="C305" t="s">
        <v>23</v>
      </c>
      <c r="D305">
        <v>0.02</v>
      </c>
      <c r="E305">
        <v>4.9800000000000004</v>
      </c>
      <c r="F305">
        <v>6.07</v>
      </c>
      <c r="G305" t="s">
        <v>14</v>
      </c>
      <c r="H305" t="s">
        <v>47</v>
      </c>
      <c r="I305" t="s">
        <v>24</v>
      </c>
      <c r="J305" t="s">
        <v>64</v>
      </c>
      <c r="K305" t="s">
        <v>49</v>
      </c>
      <c r="L305" t="s">
        <v>763</v>
      </c>
      <c r="M305">
        <v>0.36</v>
      </c>
      <c r="N305" t="s">
        <v>8</v>
      </c>
      <c r="O305" t="s">
        <v>28</v>
      </c>
      <c r="P305" t="s">
        <v>163</v>
      </c>
      <c r="Q305" t="s">
        <v>766</v>
      </c>
      <c r="R305">
        <v>75234</v>
      </c>
      <c r="S305" s="1">
        <v>42030</v>
      </c>
      <c r="T305" s="1">
        <v>42032</v>
      </c>
      <c r="U305">
        <v>-46.92</v>
      </c>
      <c r="V305">
        <v>5</v>
      </c>
      <c r="W305">
        <v>27.76</v>
      </c>
      <c r="X305">
        <v>88105</v>
      </c>
      <c r="Y305">
        <f>cleaneddata[[#This Row],[Unit Price]]-cleaneddata[[#This Row],[Discount]]</f>
        <v>4.9600000000000009</v>
      </c>
      <c r="Z3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06" spans="1:26" x14ac:dyDescent="0.3">
      <c r="A306">
        <v>2795</v>
      </c>
      <c r="B306" t="s">
        <v>767</v>
      </c>
      <c r="C306" t="s">
        <v>23</v>
      </c>
      <c r="D306">
        <v>0.04</v>
      </c>
      <c r="E306">
        <v>3.57</v>
      </c>
      <c r="F306">
        <v>4.17</v>
      </c>
      <c r="G306" t="s">
        <v>14</v>
      </c>
      <c r="H306" t="s">
        <v>70</v>
      </c>
      <c r="I306" t="s">
        <v>24</v>
      </c>
      <c r="J306" t="s">
        <v>25</v>
      </c>
      <c r="K306" t="s">
        <v>18</v>
      </c>
      <c r="L306" t="s">
        <v>768</v>
      </c>
      <c r="M306">
        <v>0.59</v>
      </c>
      <c r="N306" t="s">
        <v>8</v>
      </c>
      <c r="O306" t="s">
        <v>28</v>
      </c>
      <c r="P306" t="s">
        <v>189</v>
      </c>
      <c r="Q306" t="s">
        <v>769</v>
      </c>
      <c r="R306">
        <v>50401</v>
      </c>
      <c r="S306" s="1">
        <v>42030</v>
      </c>
      <c r="T306" s="1">
        <v>42032</v>
      </c>
      <c r="U306">
        <v>-69.91</v>
      </c>
      <c r="V306">
        <v>8</v>
      </c>
      <c r="W306">
        <v>30.9</v>
      </c>
      <c r="X306">
        <v>87556</v>
      </c>
      <c r="Y306">
        <f>cleaneddata[[#This Row],[Unit Price]]-cleaneddata[[#This Row],[Discount]]</f>
        <v>3.53</v>
      </c>
      <c r="Z3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07" spans="1:26" x14ac:dyDescent="0.3">
      <c r="A307">
        <v>2795</v>
      </c>
      <c r="B307" t="s">
        <v>767</v>
      </c>
      <c r="C307" t="s">
        <v>23</v>
      </c>
      <c r="D307">
        <v>0.05</v>
      </c>
      <c r="E307">
        <v>200.99</v>
      </c>
      <c r="F307">
        <v>4.2</v>
      </c>
      <c r="G307" t="s">
        <v>14</v>
      </c>
      <c r="H307" t="s">
        <v>70</v>
      </c>
      <c r="I307" t="s">
        <v>16</v>
      </c>
      <c r="J307" t="s">
        <v>111</v>
      </c>
      <c r="K307" t="s">
        <v>49</v>
      </c>
      <c r="L307" t="s">
        <v>770</v>
      </c>
      <c r="M307">
        <v>0.59</v>
      </c>
      <c r="N307" t="s">
        <v>8</v>
      </c>
      <c r="O307" t="s">
        <v>28</v>
      </c>
      <c r="P307" t="s">
        <v>189</v>
      </c>
      <c r="Q307" t="s">
        <v>769</v>
      </c>
      <c r="R307">
        <v>50401</v>
      </c>
      <c r="S307" s="1">
        <v>42030</v>
      </c>
      <c r="T307" s="1">
        <v>42034</v>
      </c>
      <c r="U307">
        <v>1630.5252</v>
      </c>
      <c r="V307">
        <v>14</v>
      </c>
      <c r="W307">
        <v>2363.08</v>
      </c>
      <c r="X307">
        <v>87556</v>
      </c>
      <c r="Y307">
        <f>cleaneddata[[#This Row],[Unit Price]]-cleaneddata[[#This Row],[Discount]]</f>
        <v>200.94</v>
      </c>
      <c r="Z30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08" spans="1:26" x14ac:dyDescent="0.3">
      <c r="A308">
        <v>2795</v>
      </c>
      <c r="B308" t="s">
        <v>767</v>
      </c>
      <c r="C308" t="s">
        <v>23</v>
      </c>
      <c r="D308">
        <v>7.0000000000000007E-2</v>
      </c>
      <c r="E308">
        <v>195.99</v>
      </c>
      <c r="F308">
        <v>8.99</v>
      </c>
      <c r="G308" t="s">
        <v>14</v>
      </c>
      <c r="H308" t="s">
        <v>70</v>
      </c>
      <c r="I308" t="s">
        <v>16</v>
      </c>
      <c r="J308" t="s">
        <v>111</v>
      </c>
      <c r="K308" t="s">
        <v>49</v>
      </c>
      <c r="L308" t="s">
        <v>771</v>
      </c>
      <c r="M308">
        <v>0.57999999999999996</v>
      </c>
      <c r="N308" t="s">
        <v>8</v>
      </c>
      <c r="O308" t="s">
        <v>28</v>
      </c>
      <c r="P308" t="s">
        <v>189</v>
      </c>
      <c r="Q308" t="s">
        <v>769</v>
      </c>
      <c r="R308">
        <v>50401</v>
      </c>
      <c r="S308" s="1">
        <v>42030</v>
      </c>
      <c r="T308" s="1">
        <v>42030</v>
      </c>
      <c r="U308">
        <v>-457.16</v>
      </c>
      <c r="V308">
        <v>2</v>
      </c>
      <c r="W308">
        <v>328.45</v>
      </c>
      <c r="X308">
        <v>87556</v>
      </c>
      <c r="Y308">
        <f>cleaneddata[[#This Row],[Unit Price]]-cleaneddata[[#This Row],[Discount]]</f>
        <v>195.92000000000002</v>
      </c>
      <c r="Z30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09" spans="1:26" x14ac:dyDescent="0.3">
      <c r="A309">
        <v>3000</v>
      </c>
      <c r="B309" t="s">
        <v>772</v>
      </c>
      <c r="C309" t="s">
        <v>23</v>
      </c>
      <c r="D309">
        <v>0.01</v>
      </c>
      <c r="E309">
        <v>10.14</v>
      </c>
      <c r="F309">
        <v>2.27</v>
      </c>
      <c r="G309" t="s">
        <v>14</v>
      </c>
      <c r="H309" t="s">
        <v>15</v>
      </c>
      <c r="I309" t="s">
        <v>24</v>
      </c>
      <c r="J309" t="s">
        <v>64</v>
      </c>
      <c r="K309" t="s">
        <v>26</v>
      </c>
      <c r="L309" t="s">
        <v>147</v>
      </c>
      <c r="M309">
        <v>0.36</v>
      </c>
      <c r="N309" t="s">
        <v>8</v>
      </c>
      <c r="O309" t="s">
        <v>28</v>
      </c>
      <c r="P309" t="s">
        <v>265</v>
      </c>
      <c r="Q309" t="s">
        <v>773</v>
      </c>
      <c r="R309">
        <v>48342</v>
      </c>
      <c r="S309" s="1">
        <v>42030</v>
      </c>
      <c r="T309" s="1">
        <v>42032</v>
      </c>
      <c r="U309">
        <v>28.152000000000001</v>
      </c>
      <c r="V309">
        <v>4</v>
      </c>
      <c r="W309">
        <v>40.799999999999997</v>
      </c>
      <c r="X309">
        <v>87042</v>
      </c>
      <c r="Y309">
        <f>cleaneddata[[#This Row],[Unit Price]]-cleaneddata[[#This Row],[Discount]]</f>
        <v>10.130000000000001</v>
      </c>
      <c r="Z3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10" spans="1:26" x14ac:dyDescent="0.3">
      <c r="A310">
        <v>3307</v>
      </c>
      <c r="B310" t="s">
        <v>774</v>
      </c>
      <c r="C310" t="s">
        <v>23</v>
      </c>
      <c r="D310">
        <v>7.0000000000000007E-2</v>
      </c>
      <c r="E310">
        <v>16.739999999999998</v>
      </c>
      <c r="F310">
        <v>7.04</v>
      </c>
      <c r="G310" t="s">
        <v>14</v>
      </c>
      <c r="H310" t="s">
        <v>3</v>
      </c>
      <c r="I310" t="s">
        <v>24</v>
      </c>
      <c r="J310" t="s">
        <v>54</v>
      </c>
      <c r="K310" t="s">
        <v>49</v>
      </c>
      <c r="L310" t="s">
        <v>775</v>
      </c>
      <c r="M310">
        <v>0.81</v>
      </c>
      <c r="N310" t="s">
        <v>8</v>
      </c>
      <c r="O310" t="s">
        <v>87</v>
      </c>
      <c r="P310" t="s">
        <v>379</v>
      </c>
      <c r="Q310" t="s">
        <v>776</v>
      </c>
      <c r="R310">
        <v>1001</v>
      </c>
      <c r="S310" s="1">
        <v>42030</v>
      </c>
      <c r="T310" s="1">
        <v>42037</v>
      </c>
      <c r="U310">
        <v>-114.2</v>
      </c>
      <c r="V310">
        <v>5</v>
      </c>
      <c r="W310">
        <v>80.58</v>
      </c>
      <c r="X310">
        <v>90462</v>
      </c>
      <c r="Y310">
        <f>cleaneddata[[#This Row],[Unit Price]]-cleaneddata[[#This Row],[Discount]]</f>
        <v>16.669999999999998</v>
      </c>
      <c r="Z31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11" spans="1:26" x14ac:dyDescent="0.3">
      <c r="A311">
        <v>3311</v>
      </c>
      <c r="B311" t="s">
        <v>777</v>
      </c>
      <c r="C311" t="s">
        <v>23</v>
      </c>
      <c r="D311">
        <v>0.06</v>
      </c>
      <c r="E311">
        <v>6.45</v>
      </c>
      <c r="F311">
        <v>1.34</v>
      </c>
      <c r="G311" t="s">
        <v>14</v>
      </c>
      <c r="H311" t="s">
        <v>3</v>
      </c>
      <c r="I311" t="s">
        <v>24</v>
      </c>
      <c r="J311" t="s">
        <v>64</v>
      </c>
      <c r="K311" t="s">
        <v>26</v>
      </c>
      <c r="L311" t="s">
        <v>462</v>
      </c>
      <c r="M311">
        <v>0.36</v>
      </c>
      <c r="N311" t="s">
        <v>8</v>
      </c>
      <c r="O311" t="s">
        <v>87</v>
      </c>
      <c r="P311" t="s">
        <v>379</v>
      </c>
      <c r="Q311" t="s">
        <v>778</v>
      </c>
      <c r="R311">
        <v>1890</v>
      </c>
      <c r="S311" s="1">
        <v>42030</v>
      </c>
      <c r="T311" s="1">
        <v>42035</v>
      </c>
      <c r="U311">
        <v>39.426600000000001</v>
      </c>
      <c r="V311">
        <v>9</v>
      </c>
      <c r="W311">
        <v>57.14</v>
      </c>
      <c r="X311">
        <v>90462</v>
      </c>
      <c r="Y311">
        <f>cleaneddata[[#This Row],[Unit Price]]-cleaneddata[[#This Row],[Discount]]</f>
        <v>6.3900000000000006</v>
      </c>
      <c r="Z31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12" spans="1:26" x14ac:dyDescent="0.3">
      <c r="A312">
        <v>3314</v>
      </c>
      <c r="B312" t="s">
        <v>779</v>
      </c>
      <c r="C312" t="s">
        <v>23</v>
      </c>
      <c r="D312">
        <v>0.05</v>
      </c>
      <c r="E312">
        <v>122.99</v>
      </c>
      <c r="F312">
        <v>70.2</v>
      </c>
      <c r="G312" t="s">
        <v>2</v>
      </c>
      <c r="H312" t="s">
        <v>3</v>
      </c>
      <c r="I312" t="s">
        <v>4</v>
      </c>
      <c r="J312" t="s">
        <v>85</v>
      </c>
      <c r="K312" t="s">
        <v>33</v>
      </c>
      <c r="L312" t="s">
        <v>780</v>
      </c>
      <c r="M312">
        <v>0.74</v>
      </c>
      <c r="N312" t="s">
        <v>8</v>
      </c>
      <c r="O312" t="s">
        <v>87</v>
      </c>
      <c r="P312" t="s">
        <v>373</v>
      </c>
      <c r="Q312" t="s">
        <v>781</v>
      </c>
      <c r="R312">
        <v>7024</v>
      </c>
      <c r="S312" s="1">
        <v>42030</v>
      </c>
      <c r="T312" s="1">
        <v>42034</v>
      </c>
      <c r="U312">
        <v>-722.23</v>
      </c>
      <c r="V312">
        <v>4</v>
      </c>
      <c r="W312">
        <v>498.31</v>
      </c>
      <c r="X312">
        <v>90462</v>
      </c>
      <c r="Y312">
        <f>cleaneddata[[#This Row],[Unit Price]]-cleaneddata[[#This Row],[Discount]]</f>
        <v>122.94</v>
      </c>
      <c r="Z31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13" spans="1:26" x14ac:dyDescent="0.3">
      <c r="A313">
        <v>1946</v>
      </c>
      <c r="B313" t="s">
        <v>782</v>
      </c>
      <c r="C313" t="s">
        <v>92</v>
      </c>
      <c r="D313">
        <v>0.08</v>
      </c>
      <c r="E313">
        <v>90.98</v>
      </c>
      <c r="F313">
        <v>56.2</v>
      </c>
      <c r="G313" t="s">
        <v>14</v>
      </c>
      <c r="H313" t="s">
        <v>15</v>
      </c>
      <c r="I313" t="s">
        <v>4</v>
      </c>
      <c r="J313" t="s">
        <v>102</v>
      </c>
      <c r="K313" t="s">
        <v>120</v>
      </c>
      <c r="L313" t="s">
        <v>783</v>
      </c>
      <c r="M313">
        <v>0.74</v>
      </c>
      <c r="N313" t="s">
        <v>8</v>
      </c>
      <c r="O313" t="s">
        <v>87</v>
      </c>
      <c r="P313" t="s">
        <v>296</v>
      </c>
      <c r="Q313" t="s">
        <v>784</v>
      </c>
      <c r="R313">
        <v>15228</v>
      </c>
      <c r="S313" s="1">
        <v>42030</v>
      </c>
      <c r="T313" s="1">
        <v>42032</v>
      </c>
      <c r="U313">
        <v>-1920.9336000000001</v>
      </c>
      <c r="V313">
        <v>12</v>
      </c>
      <c r="W313">
        <v>1058.3599999999999</v>
      </c>
      <c r="X313">
        <v>86331</v>
      </c>
      <c r="Y313">
        <f>cleaneddata[[#This Row],[Unit Price]]-cleaneddata[[#This Row],[Discount]]</f>
        <v>90.9</v>
      </c>
      <c r="Z31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14" spans="1:26" x14ac:dyDescent="0.3">
      <c r="A314">
        <v>1946</v>
      </c>
      <c r="B314" t="s">
        <v>782</v>
      </c>
      <c r="C314" t="s">
        <v>92</v>
      </c>
      <c r="D314">
        <v>7.0000000000000007E-2</v>
      </c>
      <c r="E314">
        <v>5.98</v>
      </c>
      <c r="F314">
        <v>5.35</v>
      </c>
      <c r="G314" t="s">
        <v>14</v>
      </c>
      <c r="H314" t="s">
        <v>15</v>
      </c>
      <c r="I314" t="s">
        <v>24</v>
      </c>
      <c r="J314" t="s">
        <v>64</v>
      </c>
      <c r="K314" t="s">
        <v>49</v>
      </c>
      <c r="L314" t="s">
        <v>785</v>
      </c>
      <c r="M314">
        <v>0.4</v>
      </c>
      <c r="N314" t="s">
        <v>8</v>
      </c>
      <c r="O314" t="s">
        <v>87</v>
      </c>
      <c r="P314" t="s">
        <v>296</v>
      </c>
      <c r="Q314" t="s">
        <v>784</v>
      </c>
      <c r="R314">
        <v>15228</v>
      </c>
      <c r="S314" s="1">
        <v>42030</v>
      </c>
      <c r="T314" s="1">
        <v>42032</v>
      </c>
      <c r="U314">
        <v>-37.175199999999997</v>
      </c>
      <c r="V314">
        <v>3</v>
      </c>
      <c r="W314">
        <v>18.309999999999999</v>
      </c>
      <c r="X314">
        <v>86331</v>
      </c>
      <c r="Y314">
        <f>cleaneddata[[#This Row],[Unit Price]]-cleaneddata[[#This Row],[Discount]]</f>
        <v>5.91</v>
      </c>
      <c r="Z3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15" spans="1:26" x14ac:dyDescent="0.3">
      <c r="A315">
        <v>3361</v>
      </c>
      <c r="B315" t="s">
        <v>786</v>
      </c>
      <c r="C315" t="s">
        <v>92</v>
      </c>
      <c r="D315">
        <v>0.04</v>
      </c>
      <c r="E315">
        <v>7.96</v>
      </c>
      <c r="F315">
        <v>4.95</v>
      </c>
      <c r="G315" t="s">
        <v>14</v>
      </c>
      <c r="H315" t="s">
        <v>47</v>
      </c>
      <c r="I315" t="s">
        <v>4</v>
      </c>
      <c r="J315" t="s">
        <v>102</v>
      </c>
      <c r="K315" t="s">
        <v>49</v>
      </c>
      <c r="L315" t="s">
        <v>787</v>
      </c>
      <c r="M315">
        <v>0.41</v>
      </c>
      <c r="N315" t="s">
        <v>8</v>
      </c>
      <c r="O315" t="s">
        <v>28</v>
      </c>
      <c r="P315" t="s">
        <v>333</v>
      </c>
      <c r="Q315" t="s">
        <v>788</v>
      </c>
      <c r="R315">
        <v>53095</v>
      </c>
      <c r="S315" s="1">
        <v>42030</v>
      </c>
      <c r="T315" s="1">
        <v>42030</v>
      </c>
      <c r="U315">
        <v>-7.73</v>
      </c>
      <c r="V315">
        <v>15</v>
      </c>
      <c r="W315">
        <v>116.11</v>
      </c>
      <c r="X315">
        <v>91436</v>
      </c>
      <c r="Y315">
        <f>cleaneddata[[#This Row],[Unit Price]]-cleaneddata[[#This Row],[Discount]]</f>
        <v>7.92</v>
      </c>
      <c r="Z3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16" spans="1:26" x14ac:dyDescent="0.3">
      <c r="A316">
        <v>2264</v>
      </c>
      <c r="B316" t="s">
        <v>789</v>
      </c>
      <c r="C316" t="s">
        <v>46</v>
      </c>
      <c r="D316">
        <v>0.09</v>
      </c>
      <c r="E316">
        <v>207.48</v>
      </c>
      <c r="F316">
        <v>0.99</v>
      </c>
      <c r="G316" t="s">
        <v>14</v>
      </c>
      <c r="H316" t="s">
        <v>70</v>
      </c>
      <c r="I316" t="s">
        <v>24</v>
      </c>
      <c r="J316" t="s">
        <v>71</v>
      </c>
      <c r="K316" t="s">
        <v>49</v>
      </c>
      <c r="L316" t="s">
        <v>612</v>
      </c>
      <c r="M316">
        <v>0.55000000000000004</v>
      </c>
      <c r="N316" t="s">
        <v>8</v>
      </c>
      <c r="O316" t="s">
        <v>28</v>
      </c>
      <c r="P316" t="s">
        <v>56</v>
      </c>
      <c r="Q316" t="s">
        <v>790</v>
      </c>
      <c r="R316">
        <v>64804</v>
      </c>
      <c r="S316" s="1">
        <v>42030</v>
      </c>
      <c r="T316" s="1">
        <v>42033</v>
      </c>
      <c r="U316">
        <v>359.83</v>
      </c>
      <c r="V316">
        <v>3</v>
      </c>
      <c r="W316">
        <v>577.75</v>
      </c>
      <c r="X316">
        <v>86611</v>
      </c>
      <c r="Y316">
        <f>cleaneddata[[#This Row],[Unit Price]]-cleaneddata[[#This Row],[Discount]]</f>
        <v>207.39</v>
      </c>
      <c r="Z31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17" spans="1:26" x14ac:dyDescent="0.3">
      <c r="A317">
        <v>483</v>
      </c>
      <c r="B317" t="s">
        <v>791</v>
      </c>
      <c r="C317" t="s">
        <v>1</v>
      </c>
      <c r="D317">
        <v>0.03</v>
      </c>
      <c r="E317">
        <v>11.97</v>
      </c>
      <c r="F317">
        <v>4.9800000000000004</v>
      </c>
      <c r="G317" t="s">
        <v>14</v>
      </c>
      <c r="H317" t="s">
        <v>70</v>
      </c>
      <c r="I317" t="s">
        <v>24</v>
      </c>
      <c r="J317" t="s">
        <v>71</v>
      </c>
      <c r="K317" t="s">
        <v>49</v>
      </c>
      <c r="L317" t="s">
        <v>792</v>
      </c>
      <c r="M317">
        <v>0.57999999999999996</v>
      </c>
      <c r="N317" t="s">
        <v>8</v>
      </c>
      <c r="O317" t="s">
        <v>28</v>
      </c>
      <c r="P317" t="s">
        <v>79</v>
      </c>
      <c r="Q317" t="s">
        <v>793</v>
      </c>
      <c r="R317">
        <v>60543</v>
      </c>
      <c r="S317" s="1">
        <v>42031</v>
      </c>
      <c r="T317" s="1">
        <v>42032</v>
      </c>
      <c r="U317">
        <v>-18.190000000000001</v>
      </c>
      <c r="V317">
        <v>6</v>
      </c>
      <c r="W317">
        <v>73.180000000000007</v>
      </c>
      <c r="X317">
        <v>90353</v>
      </c>
      <c r="Y317">
        <f>cleaneddata[[#This Row],[Unit Price]]-cleaneddata[[#This Row],[Discount]]</f>
        <v>11.940000000000001</v>
      </c>
      <c r="Z31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18" spans="1:26" x14ac:dyDescent="0.3">
      <c r="A318">
        <v>2979</v>
      </c>
      <c r="B318" t="s">
        <v>794</v>
      </c>
      <c r="C318" t="s">
        <v>1</v>
      </c>
      <c r="D318">
        <v>0.09</v>
      </c>
      <c r="E318">
        <v>2.94</v>
      </c>
      <c r="F318">
        <v>0.7</v>
      </c>
      <c r="G318" t="s">
        <v>14</v>
      </c>
      <c r="H318" t="s">
        <v>70</v>
      </c>
      <c r="I318" t="s">
        <v>24</v>
      </c>
      <c r="J318" t="s">
        <v>25</v>
      </c>
      <c r="K318" t="s">
        <v>26</v>
      </c>
      <c r="L318" t="s">
        <v>795</v>
      </c>
      <c r="M318">
        <v>0.57999999999999996</v>
      </c>
      <c r="N318" t="s">
        <v>8</v>
      </c>
      <c r="O318" t="s">
        <v>28</v>
      </c>
      <c r="P318" t="s">
        <v>541</v>
      </c>
      <c r="Q318" t="s">
        <v>796</v>
      </c>
      <c r="R318">
        <v>58601</v>
      </c>
      <c r="S318" s="1">
        <v>42031</v>
      </c>
      <c r="T318" s="1">
        <v>42032</v>
      </c>
      <c r="U318">
        <v>6.3840000000000003</v>
      </c>
      <c r="V318">
        <v>9</v>
      </c>
      <c r="W318">
        <v>25.22</v>
      </c>
      <c r="X318">
        <v>86544</v>
      </c>
      <c r="Y318">
        <f>cleaneddata[[#This Row],[Unit Price]]-cleaneddata[[#This Row],[Discount]]</f>
        <v>2.85</v>
      </c>
      <c r="Z31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19" spans="1:26" x14ac:dyDescent="0.3">
      <c r="A319">
        <v>2980</v>
      </c>
      <c r="B319" t="s">
        <v>797</v>
      </c>
      <c r="C319" t="s">
        <v>1</v>
      </c>
      <c r="D319">
        <v>0.03</v>
      </c>
      <c r="E319">
        <v>43.98</v>
      </c>
      <c r="F319">
        <v>8.99</v>
      </c>
      <c r="G319" t="s">
        <v>14</v>
      </c>
      <c r="H319" t="s">
        <v>70</v>
      </c>
      <c r="I319" t="s">
        <v>24</v>
      </c>
      <c r="J319" t="s">
        <v>25</v>
      </c>
      <c r="K319" t="s">
        <v>18</v>
      </c>
      <c r="L319" t="s">
        <v>798</v>
      </c>
      <c r="M319">
        <v>0.57999999999999996</v>
      </c>
      <c r="N319" t="s">
        <v>8</v>
      </c>
      <c r="O319" t="s">
        <v>87</v>
      </c>
      <c r="P319" t="s">
        <v>293</v>
      </c>
      <c r="Q319" t="s">
        <v>799</v>
      </c>
      <c r="R319">
        <v>44870</v>
      </c>
      <c r="S319" s="1">
        <v>42031</v>
      </c>
      <c r="T319" s="1">
        <v>42033</v>
      </c>
      <c r="U319">
        <v>274.0788</v>
      </c>
      <c r="V319">
        <v>10</v>
      </c>
      <c r="W319">
        <v>454.4</v>
      </c>
      <c r="X319">
        <v>86544</v>
      </c>
      <c r="Y319">
        <f>cleaneddata[[#This Row],[Unit Price]]-cleaneddata[[#This Row],[Discount]]</f>
        <v>43.949999999999996</v>
      </c>
      <c r="Z3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0" spans="1:26" x14ac:dyDescent="0.3">
      <c r="A320">
        <v>2980</v>
      </c>
      <c r="B320" t="s">
        <v>797</v>
      </c>
      <c r="C320" t="s">
        <v>1</v>
      </c>
      <c r="D320">
        <v>0.06</v>
      </c>
      <c r="E320">
        <v>1.1399999999999999</v>
      </c>
      <c r="F320">
        <v>0.7</v>
      </c>
      <c r="G320" t="s">
        <v>14</v>
      </c>
      <c r="H320" t="s">
        <v>70</v>
      </c>
      <c r="I320" t="s">
        <v>24</v>
      </c>
      <c r="J320" t="s">
        <v>152</v>
      </c>
      <c r="K320" t="s">
        <v>26</v>
      </c>
      <c r="L320" t="s">
        <v>800</v>
      </c>
      <c r="M320">
        <v>0.38</v>
      </c>
      <c r="N320" t="s">
        <v>8</v>
      </c>
      <c r="O320" t="s">
        <v>87</v>
      </c>
      <c r="P320" t="s">
        <v>293</v>
      </c>
      <c r="Q320" t="s">
        <v>799</v>
      </c>
      <c r="R320">
        <v>44870</v>
      </c>
      <c r="S320" s="1">
        <v>42031</v>
      </c>
      <c r="T320" s="1">
        <v>42034</v>
      </c>
      <c r="U320">
        <v>-3.782</v>
      </c>
      <c r="V320">
        <v>13</v>
      </c>
      <c r="W320">
        <v>14.53</v>
      </c>
      <c r="X320">
        <v>86544</v>
      </c>
      <c r="Y320">
        <f>cleaneddata[[#This Row],[Unit Price]]-cleaneddata[[#This Row],[Discount]]</f>
        <v>1.0799999999999998</v>
      </c>
      <c r="Z3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1" spans="1:26" x14ac:dyDescent="0.3">
      <c r="A321">
        <v>2254</v>
      </c>
      <c r="B321" t="s">
        <v>801</v>
      </c>
      <c r="C321" t="s">
        <v>23</v>
      </c>
      <c r="D321">
        <v>0.1</v>
      </c>
      <c r="E321">
        <v>6.3</v>
      </c>
      <c r="F321">
        <v>0.5</v>
      </c>
      <c r="G321" t="s">
        <v>14</v>
      </c>
      <c r="H321" t="s">
        <v>70</v>
      </c>
      <c r="I321" t="s">
        <v>24</v>
      </c>
      <c r="J321" t="s">
        <v>128</v>
      </c>
      <c r="K321" t="s">
        <v>49</v>
      </c>
      <c r="L321" t="s">
        <v>802</v>
      </c>
      <c r="M321">
        <v>0.39</v>
      </c>
      <c r="N321" t="s">
        <v>8</v>
      </c>
      <c r="O321" t="s">
        <v>9</v>
      </c>
      <c r="P321" t="s">
        <v>364</v>
      </c>
      <c r="Q321" t="s">
        <v>803</v>
      </c>
      <c r="R321">
        <v>42003</v>
      </c>
      <c r="S321" s="1">
        <v>42031</v>
      </c>
      <c r="T321" s="1">
        <v>42036</v>
      </c>
      <c r="U321">
        <v>-464.28199999999998</v>
      </c>
      <c r="V321">
        <v>12</v>
      </c>
      <c r="W321">
        <v>68.72</v>
      </c>
      <c r="X321">
        <v>89278</v>
      </c>
      <c r="Y321">
        <f>cleaneddata[[#This Row],[Unit Price]]-cleaneddata[[#This Row],[Discount]]</f>
        <v>6.2</v>
      </c>
      <c r="Z32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22" spans="1:26" x14ac:dyDescent="0.3">
      <c r="A322">
        <v>2178</v>
      </c>
      <c r="B322" t="s">
        <v>804</v>
      </c>
      <c r="C322" t="s">
        <v>92</v>
      </c>
      <c r="D322">
        <v>0.08</v>
      </c>
      <c r="E322">
        <v>2.94</v>
      </c>
      <c r="F322">
        <v>0.96</v>
      </c>
      <c r="G322" t="s">
        <v>14</v>
      </c>
      <c r="H322" t="s">
        <v>3</v>
      </c>
      <c r="I322" t="s">
        <v>24</v>
      </c>
      <c r="J322" t="s">
        <v>25</v>
      </c>
      <c r="K322" t="s">
        <v>26</v>
      </c>
      <c r="L322" t="s">
        <v>805</v>
      </c>
      <c r="M322">
        <v>0.57999999999999996</v>
      </c>
      <c r="N322" t="s">
        <v>8</v>
      </c>
      <c r="O322" t="s">
        <v>87</v>
      </c>
      <c r="P322" t="s">
        <v>379</v>
      </c>
      <c r="Q322" t="s">
        <v>806</v>
      </c>
      <c r="R322">
        <v>1610</v>
      </c>
      <c r="S322" s="1">
        <v>42031</v>
      </c>
      <c r="T322" s="1">
        <v>42033</v>
      </c>
      <c r="U322">
        <v>-1.18</v>
      </c>
      <c r="V322">
        <v>9</v>
      </c>
      <c r="W322">
        <v>25.35</v>
      </c>
      <c r="X322">
        <v>89465</v>
      </c>
      <c r="Y322">
        <f>cleaneddata[[#This Row],[Unit Price]]-cleaneddata[[#This Row],[Discount]]</f>
        <v>2.86</v>
      </c>
      <c r="Z32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3" spans="1:26" x14ac:dyDescent="0.3">
      <c r="A323">
        <v>3347</v>
      </c>
      <c r="B323" t="s">
        <v>241</v>
      </c>
      <c r="C323" t="s">
        <v>92</v>
      </c>
      <c r="D323">
        <v>0.02</v>
      </c>
      <c r="E323">
        <v>110.99</v>
      </c>
      <c r="F323">
        <v>2.5</v>
      </c>
      <c r="G323" t="s">
        <v>14</v>
      </c>
      <c r="H323" t="s">
        <v>15</v>
      </c>
      <c r="I323" t="s">
        <v>16</v>
      </c>
      <c r="J323" t="s">
        <v>111</v>
      </c>
      <c r="K323" t="s">
        <v>49</v>
      </c>
      <c r="L323" t="s">
        <v>112</v>
      </c>
      <c r="M323">
        <v>0.56999999999999995</v>
      </c>
      <c r="N323" t="s">
        <v>8</v>
      </c>
      <c r="O323" t="s">
        <v>9</v>
      </c>
      <c r="P323" t="s">
        <v>99</v>
      </c>
      <c r="Q323" t="s">
        <v>243</v>
      </c>
      <c r="R323">
        <v>33411</v>
      </c>
      <c r="S323" s="1">
        <v>42031</v>
      </c>
      <c r="T323" s="1">
        <v>42033</v>
      </c>
      <c r="U323">
        <v>-39.808999999999997</v>
      </c>
      <c r="V323">
        <v>1</v>
      </c>
      <c r="W323">
        <v>94.3</v>
      </c>
      <c r="X323">
        <v>89356</v>
      </c>
      <c r="Y323">
        <f>cleaneddata[[#This Row],[Unit Price]]-cleaneddata[[#This Row],[Discount]]</f>
        <v>110.97</v>
      </c>
      <c r="Z3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24" spans="1:26" x14ac:dyDescent="0.3">
      <c r="A324">
        <v>129</v>
      </c>
      <c r="B324" t="s">
        <v>807</v>
      </c>
      <c r="C324" t="s">
        <v>46</v>
      </c>
      <c r="D324">
        <v>0.02</v>
      </c>
      <c r="E324">
        <v>1.74</v>
      </c>
      <c r="F324">
        <v>4.08</v>
      </c>
      <c r="G324" t="s">
        <v>14</v>
      </c>
      <c r="H324" t="s">
        <v>3</v>
      </c>
      <c r="I324" t="s">
        <v>4</v>
      </c>
      <c r="J324" t="s">
        <v>102</v>
      </c>
      <c r="K324" t="s">
        <v>18</v>
      </c>
      <c r="L324" t="s">
        <v>746</v>
      </c>
      <c r="M324">
        <v>0.53</v>
      </c>
      <c r="N324" t="s">
        <v>8</v>
      </c>
      <c r="O324" t="s">
        <v>28</v>
      </c>
      <c r="P324" t="s">
        <v>79</v>
      </c>
      <c r="Q324" t="s">
        <v>808</v>
      </c>
      <c r="R324">
        <v>62002</v>
      </c>
      <c r="S324" s="1">
        <v>42031</v>
      </c>
      <c r="T324" s="1">
        <v>42032</v>
      </c>
      <c r="U324">
        <v>-37.39</v>
      </c>
      <c r="V324">
        <v>5</v>
      </c>
      <c r="W324">
        <v>10.23</v>
      </c>
      <c r="X324">
        <v>86693</v>
      </c>
      <c r="Y324">
        <f>cleaneddata[[#This Row],[Unit Price]]-cleaneddata[[#This Row],[Discount]]</f>
        <v>1.72</v>
      </c>
      <c r="Z3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25" spans="1:26" x14ac:dyDescent="0.3">
      <c r="A325">
        <v>898</v>
      </c>
      <c r="B325" t="s">
        <v>400</v>
      </c>
      <c r="C325" t="s">
        <v>46</v>
      </c>
      <c r="D325">
        <v>0.02</v>
      </c>
      <c r="E325">
        <v>12.53</v>
      </c>
      <c r="F325">
        <v>0.49</v>
      </c>
      <c r="G325" t="s">
        <v>14</v>
      </c>
      <c r="H325" t="s">
        <v>3</v>
      </c>
      <c r="I325" t="s">
        <v>24</v>
      </c>
      <c r="J325" t="s">
        <v>128</v>
      </c>
      <c r="K325" t="s">
        <v>49</v>
      </c>
      <c r="L325" t="s">
        <v>129</v>
      </c>
      <c r="M325">
        <v>0.38</v>
      </c>
      <c r="N325" t="s">
        <v>8</v>
      </c>
      <c r="O325" t="s">
        <v>87</v>
      </c>
      <c r="P325" t="s">
        <v>88</v>
      </c>
      <c r="Q325" t="s">
        <v>89</v>
      </c>
      <c r="R325">
        <v>10039</v>
      </c>
      <c r="S325" s="1">
        <v>42031</v>
      </c>
      <c r="T325" s="1">
        <v>42031</v>
      </c>
      <c r="U325">
        <v>263.39999999999998</v>
      </c>
      <c r="V325">
        <v>47</v>
      </c>
      <c r="W325">
        <v>594.44000000000005</v>
      </c>
      <c r="X325">
        <v>9606</v>
      </c>
      <c r="Y325">
        <f>cleaneddata[[#This Row],[Unit Price]]-cleaneddata[[#This Row],[Discount]]</f>
        <v>12.51</v>
      </c>
      <c r="Z32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6" spans="1:26" x14ac:dyDescent="0.3">
      <c r="A326">
        <v>898</v>
      </c>
      <c r="B326" t="s">
        <v>400</v>
      </c>
      <c r="C326" t="s">
        <v>46</v>
      </c>
      <c r="D326">
        <v>7.0000000000000007E-2</v>
      </c>
      <c r="E326">
        <v>5.18</v>
      </c>
      <c r="F326">
        <v>2.04</v>
      </c>
      <c r="G326" t="s">
        <v>63</v>
      </c>
      <c r="H326" t="s">
        <v>3</v>
      </c>
      <c r="I326" t="s">
        <v>24</v>
      </c>
      <c r="J326" t="s">
        <v>64</v>
      </c>
      <c r="K326" t="s">
        <v>26</v>
      </c>
      <c r="L326" t="s">
        <v>809</v>
      </c>
      <c r="M326">
        <v>0.36</v>
      </c>
      <c r="N326" t="s">
        <v>8</v>
      </c>
      <c r="O326" t="s">
        <v>87</v>
      </c>
      <c r="P326" t="s">
        <v>88</v>
      </c>
      <c r="Q326" t="s">
        <v>89</v>
      </c>
      <c r="R326">
        <v>10039</v>
      </c>
      <c r="S326" s="1">
        <v>42031</v>
      </c>
      <c r="T326" s="1">
        <v>42033</v>
      </c>
      <c r="U326">
        <v>37.31</v>
      </c>
      <c r="V326">
        <v>44</v>
      </c>
      <c r="W326">
        <v>228.5</v>
      </c>
      <c r="X326">
        <v>9606</v>
      </c>
      <c r="Y326">
        <f>cleaneddata[[#This Row],[Unit Price]]-cleaneddata[[#This Row],[Discount]]</f>
        <v>5.1099999999999994</v>
      </c>
      <c r="Z32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7" spans="1:26" x14ac:dyDescent="0.3">
      <c r="A327">
        <v>899</v>
      </c>
      <c r="B327" t="s">
        <v>402</v>
      </c>
      <c r="C327" t="s">
        <v>46</v>
      </c>
      <c r="D327">
        <v>0.02</v>
      </c>
      <c r="E327">
        <v>12.53</v>
      </c>
      <c r="F327">
        <v>0.49</v>
      </c>
      <c r="G327" t="s">
        <v>14</v>
      </c>
      <c r="H327" t="s">
        <v>3</v>
      </c>
      <c r="I327" t="s">
        <v>24</v>
      </c>
      <c r="J327" t="s">
        <v>128</v>
      </c>
      <c r="K327" t="s">
        <v>49</v>
      </c>
      <c r="L327" t="s">
        <v>129</v>
      </c>
      <c r="M327">
        <v>0.38</v>
      </c>
      <c r="N327" t="s">
        <v>8</v>
      </c>
      <c r="O327" t="s">
        <v>87</v>
      </c>
      <c r="P327" t="s">
        <v>296</v>
      </c>
      <c r="Q327" t="s">
        <v>403</v>
      </c>
      <c r="R327">
        <v>16602</v>
      </c>
      <c r="S327" s="1">
        <v>42031</v>
      </c>
      <c r="T327" s="1">
        <v>42031</v>
      </c>
      <c r="U327">
        <v>104.7213</v>
      </c>
      <c r="V327">
        <v>12</v>
      </c>
      <c r="W327">
        <v>151.77000000000001</v>
      </c>
      <c r="X327">
        <v>86264</v>
      </c>
      <c r="Y327">
        <f>cleaneddata[[#This Row],[Unit Price]]-cleaneddata[[#This Row],[Discount]]</f>
        <v>12.51</v>
      </c>
      <c r="Z32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8" spans="1:26" x14ac:dyDescent="0.3">
      <c r="A328">
        <v>899</v>
      </c>
      <c r="B328" t="s">
        <v>402</v>
      </c>
      <c r="C328" t="s">
        <v>46</v>
      </c>
      <c r="D328">
        <v>7.0000000000000007E-2</v>
      </c>
      <c r="E328">
        <v>5.18</v>
      </c>
      <c r="F328">
        <v>2.04</v>
      </c>
      <c r="G328" t="s">
        <v>63</v>
      </c>
      <c r="H328" t="s">
        <v>3</v>
      </c>
      <c r="I328" t="s">
        <v>24</v>
      </c>
      <c r="J328" t="s">
        <v>64</v>
      </c>
      <c r="K328" t="s">
        <v>26</v>
      </c>
      <c r="L328" t="s">
        <v>809</v>
      </c>
      <c r="M328">
        <v>0.36</v>
      </c>
      <c r="N328" t="s">
        <v>8</v>
      </c>
      <c r="O328" t="s">
        <v>87</v>
      </c>
      <c r="P328" t="s">
        <v>296</v>
      </c>
      <c r="Q328" t="s">
        <v>403</v>
      </c>
      <c r="R328">
        <v>16602</v>
      </c>
      <c r="S328" s="1">
        <v>42031</v>
      </c>
      <c r="T328" s="1">
        <v>42033</v>
      </c>
      <c r="U328">
        <v>37.31</v>
      </c>
      <c r="V328">
        <v>11</v>
      </c>
      <c r="W328">
        <v>57.13</v>
      </c>
      <c r="X328">
        <v>86264</v>
      </c>
      <c r="Y328">
        <f>cleaneddata[[#This Row],[Unit Price]]-cleaneddata[[#This Row],[Discount]]</f>
        <v>5.1099999999999994</v>
      </c>
      <c r="Z32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29" spans="1:26" x14ac:dyDescent="0.3">
      <c r="A329">
        <v>1351</v>
      </c>
      <c r="B329" t="s">
        <v>810</v>
      </c>
      <c r="C329" t="s">
        <v>46</v>
      </c>
      <c r="D329">
        <v>0.1</v>
      </c>
      <c r="E329">
        <v>110.99</v>
      </c>
      <c r="F329">
        <v>8.99</v>
      </c>
      <c r="G329" t="s">
        <v>63</v>
      </c>
      <c r="H329" t="s">
        <v>47</v>
      </c>
      <c r="I329" t="s">
        <v>16</v>
      </c>
      <c r="J329" t="s">
        <v>111</v>
      </c>
      <c r="K329" t="s">
        <v>49</v>
      </c>
      <c r="L329" t="s">
        <v>811</v>
      </c>
      <c r="M329">
        <v>0.56999999999999995</v>
      </c>
      <c r="N329" t="s">
        <v>8</v>
      </c>
      <c r="O329" t="s">
        <v>9</v>
      </c>
      <c r="P329" t="s">
        <v>99</v>
      </c>
      <c r="Q329" t="s">
        <v>812</v>
      </c>
      <c r="R329">
        <v>33063</v>
      </c>
      <c r="S329" s="1">
        <v>42031</v>
      </c>
      <c r="T329" s="1">
        <v>42033</v>
      </c>
      <c r="U329">
        <v>3285.48</v>
      </c>
      <c r="V329">
        <v>7</v>
      </c>
      <c r="W329">
        <v>627.78</v>
      </c>
      <c r="X329">
        <v>88232</v>
      </c>
      <c r="Y329">
        <f>cleaneddata[[#This Row],[Unit Price]]-cleaneddata[[#This Row],[Discount]]</f>
        <v>110.89</v>
      </c>
      <c r="Z32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30" spans="1:26" x14ac:dyDescent="0.3">
      <c r="A330">
        <v>2281</v>
      </c>
      <c r="B330" t="s">
        <v>813</v>
      </c>
      <c r="C330" t="s">
        <v>46</v>
      </c>
      <c r="D330">
        <v>0.08</v>
      </c>
      <c r="E330">
        <v>205.99</v>
      </c>
      <c r="F330">
        <v>2.5</v>
      </c>
      <c r="G330" t="s">
        <v>14</v>
      </c>
      <c r="H330" t="s">
        <v>47</v>
      </c>
      <c r="I330" t="s">
        <v>16</v>
      </c>
      <c r="J330" t="s">
        <v>111</v>
      </c>
      <c r="K330" t="s">
        <v>49</v>
      </c>
      <c r="L330" t="s">
        <v>814</v>
      </c>
      <c r="M330">
        <v>0.59</v>
      </c>
      <c r="N330" t="s">
        <v>8</v>
      </c>
      <c r="O330" t="s">
        <v>28</v>
      </c>
      <c r="P330" t="s">
        <v>333</v>
      </c>
      <c r="Q330" t="s">
        <v>815</v>
      </c>
      <c r="R330">
        <v>54703</v>
      </c>
      <c r="S330" s="1">
        <v>42031</v>
      </c>
      <c r="T330" s="1">
        <v>42032</v>
      </c>
      <c r="U330">
        <v>997.38144</v>
      </c>
      <c r="V330">
        <v>10</v>
      </c>
      <c r="W330">
        <v>1610.84</v>
      </c>
      <c r="X330">
        <v>85948</v>
      </c>
      <c r="Y330">
        <f>cleaneddata[[#This Row],[Unit Price]]-cleaneddata[[#This Row],[Discount]]</f>
        <v>205.91</v>
      </c>
      <c r="Z3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31" spans="1:26" x14ac:dyDescent="0.3">
      <c r="A331">
        <v>53</v>
      </c>
      <c r="B331" t="s">
        <v>816</v>
      </c>
      <c r="C331" t="s">
        <v>1</v>
      </c>
      <c r="D331">
        <v>7.0000000000000007E-2</v>
      </c>
      <c r="E331">
        <v>3502.14</v>
      </c>
      <c r="F331">
        <v>8.73</v>
      </c>
      <c r="G331" t="s">
        <v>2</v>
      </c>
      <c r="H331" t="s">
        <v>70</v>
      </c>
      <c r="I331" t="s">
        <v>16</v>
      </c>
      <c r="J331" t="s">
        <v>32</v>
      </c>
      <c r="K331" t="s">
        <v>6</v>
      </c>
      <c r="L331" t="s">
        <v>817</v>
      </c>
      <c r="M331">
        <v>0.56999999999999995</v>
      </c>
      <c r="N331" t="s">
        <v>8</v>
      </c>
      <c r="O331" t="s">
        <v>35</v>
      </c>
      <c r="P331" t="s">
        <v>42</v>
      </c>
      <c r="Q331" t="s">
        <v>818</v>
      </c>
      <c r="R331">
        <v>98052</v>
      </c>
      <c r="S331" s="1">
        <v>42032</v>
      </c>
      <c r="T331" s="1">
        <v>42034</v>
      </c>
      <c r="U331">
        <v>-6923.5991999999997</v>
      </c>
      <c r="V331">
        <v>1</v>
      </c>
      <c r="W331">
        <v>3267.55</v>
      </c>
      <c r="X331">
        <v>88425</v>
      </c>
      <c r="Y331">
        <f>cleaneddata[[#This Row],[Unit Price]]-cleaneddata[[#This Row],[Discount]]</f>
        <v>3502.0699999999997</v>
      </c>
      <c r="Z33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32" spans="1:26" x14ac:dyDescent="0.3">
      <c r="A332">
        <v>3266</v>
      </c>
      <c r="B332" t="s">
        <v>819</v>
      </c>
      <c r="C332" t="s">
        <v>1</v>
      </c>
      <c r="D332">
        <v>0</v>
      </c>
      <c r="E332">
        <v>122.99</v>
      </c>
      <c r="F332">
        <v>70.2</v>
      </c>
      <c r="G332" t="s">
        <v>2</v>
      </c>
      <c r="H332" t="s">
        <v>70</v>
      </c>
      <c r="I332" t="s">
        <v>4</v>
      </c>
      <c r="J332" t="s">
        <v>85</v>
      </c>
      <c r="K332" t="s">
        <v>33</v>
      </c>
      <c r="L332" t="s">
        <v>780</v>
      </c>
      <c r="M332">
        <v>0.74</v>
      </c>
      <c r="N332" t="s">
        <v>8</v>
      </c>
      <c r="O332" t="s">
        <v>87</v>
      </c>
      <c r="P332" t="s">
        <v>307</v>
      </c>
      <c r="Q332" t="s">
        <v>308</v>
      </c>
      <c r="R332">
        <v>4073</v>
      </c>
      <c r="S332" s="1">
        <v>42032</v>
      </c>
      <c r="T332" s="1">
        <v>42033</v>
      </c>
      <c r="U332">
        <v>-1764.29</v>
      </c>
      <c r="V332">
        <v>14</v>
      </c>
      <c r="W332">
        <v>1794.88</v>
      </c>
      <c r="X332">
        <v>89836</v>
      </c>
      <c r="Y332">
        <f>cleaneddata[[#This Row],[Unit Price]]-cleaneddata[[#This Row],[Discount]]</f>
        <v>122.99</v>
      </c>
      <c r="Z3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33" spans="1:26" x14ac:dyDescent="0.3">
      <c r="A333">
        <v>3269</v>
      </c>
      <c r="B333" t="s">
        <v>820</v>
      </c>
      <c r="C333" t="s">
        <v>1</v>
      </c>
      <c r="D333">
        <v>0.01</v>
      </c>
      <c r="E333">
        <v>60.97</v>
      </c>
      <c r="F333">
        <v>4.5</v>
      </c>
      <c r="G333" t="s">
        <v>63</v>
      </c>
      <c r="H333" t="s">
        <v>70</v>
      </c>
      <c r="I333" t="s">
        <v>24</v>
      </c>
      <c r="J333" t="s">
        <v>71</v>
      </c>
      <c r="K333" t="s">
        <v>49</v>
      </c>
      <c r="L333" t="s">
        <v>72</v>
      </c>
      <c r="M333">
        <v>0.56000000000000005</v>
      </c>
      <c r="N333" t="s">
        <v>8</v>
      </c>
      <c r="O333" t="s">
        <v>87</v>
      </c>
      <c r="P333" t="s">
        <v>373</v>
      </c>
      <c r="Q333" t="s">
        <v>821</v>
      </c>
      <c r="R333">
        <v>7060</v>
      </c>
      <c r="S333" s="1">
        <v>42032</v>
      </c>
      <c r="T333" s="1">
        <v>42034</v>
      </c>
      <c r="U333">
        <v>527.87760000000003</v>
      </c>
      <c r="V333">
        <v>12</v>
      </c>
      <c r="W333">
        <v>765.04</v>
      </c>
      <c r="X333">
        <v>89836</v>
      </c>
      <c r="Y333">
        <f>cleaneddata[[#This Row],[Unit Price]]-cleaneddata[[#This Row],[Discount]]</f>
        <v>60.96</v>
      </c>
      <c r="Z33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34" spans="1:26" x14ac:dyDescent="0.3">
      <c r="A334">
        <v>24</v>
      </c>
      <c r="B334" t="s">
        <v>822</v>
      </c>
      <c r="C334" t="s">
        <v>13</v>
      </c>
      <c r="D334">
        <v>0.06</v>
      </c>
      <c r="E334">
        <v>55.48</v>
      </c>
      <c r="F334">
        <v>14.3</v>
      </c>
      <c r="G334" t="s">
        <v>14</v>
      </c>
      <c r="H334" t="s">
        <v>70</v>
      </c>
      <c r="I334" t="s">
        <v>24</v>
      </c>
      <c r="J334" t="s">
        <v>64</v>
      </c>
      <c r="K334" t="s">
        <v>49</v>
      </c>
      <c r="L334" t="s">
        <v>823</v>
      </c>
      <c r="M334">
        <v>0.37</v>
      </c>
      <c r="N334" t="s">
        <v>8</v>
      </c>
      <c r="O334" t="s">
        <v>35</v>
      </c>
      <c r="P334" t="s">
        <v>66</v>
      </c>
      <c r="Q334" t="s">
        <v>824</v>
      </c>
      <c r="R334">
        <v>92677</v>
      </c>
      <c r="S334" s="1">
        <v>42032</v>
      </c>
      <c r="T334" s="1">
        <v>42033</v>
      </c>
      <c r="U334">
        <v>-28.296800000000001</v>
      </c>
      <c r="V334">
        <v>1</v>
      </c>
      <c r="W334">
        <v>67.489999999999995</v>
      </c>
      <c r="X334">
        <v>87651</v>
      </c>
      <c r="Y334">
        <f>cleaneddata[[#This Row],[Unit Price]]-cleaneddata[[#This Row],[Discount]]</f>
        <v>55.419999999999995</v>
      </c>
      <c r="Z33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35" spans="1:26" x14ac:dyDescent="0.3">
      <c r="A335">
        <v>24</v>
      </c>
      <c r="B335" t="s">
        <v>822</v>
      </c>
      <c r="C335" t="s">
        <v>13</v>
      </c>
      <c r="D335">
        <v>0.02</v>
      </c>
      <c r="E335">
        <v>1.68</v>
      </c>
      <c r="F335">
        <v>1.57</v>
      </c>
      <c r="G335" t="s">
        <v>14</v>
      </c>
      <c r="H335" t="s">
        <v>70</v>
      </c>
      <c r="I335" t="s">
        <v>24</v>
      </c>
      <c r="J335" t="s">
        <v>25</v>
      </c>
      <c r="K335" t="s">
        <v>26</v>
      </c>
      <c r="L335" t="s">
        <v>550</v>
      </c>
      <c r="M335">
        <v>0.59</v>
      </c>
      <c r="N335" t="s">
        <v>8</v>
      </c>
      <c r="O335" t="s">
        <v>35</v>
      </c>
      <c r="P335" t="s">
        <v>66</v>
      </c>
      <c r="Q335" t="s">
        <v>824</v>
      </c>
      <c r="R335">
        <v>92677</v>
      </c>
      <c r="S335" s="1">
        <v>42032</v>
      </c>
      <c r="T335" s="1">
        <v>42034</v>
      </c>
      <c r="U335">
        <v>-5.3071999999999999</v>
      </c>
      <c r="V335">
        <v>1</v>
      </c>
      <c r="W335">
        <v>2.25</v>
      </c>
      <c r="X335">
        <v>87651</v>
      </c>
      <c r="Y335">
        <f>cleaneddata[[#This Row],[Unit Price]]-cleaneddata[[#This Row],[Discount]]</f>
        <v>1.66</v>
      </c>
      <c r="Z33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36" spans="1:26" x14ac:dyDescent="0.3">
      <c r="A336">
        <v>744</v>
      </c>
      <c r="B336" t="s">
        <v>562</v>
      </c>
      <c r="C336" t="s">
        <v>23</v>
      </c>
      <c r="D336">
        <v>0.02</v>
      </c>
      <c r="E336">
        <v>59.98</v>
      </c>
      <c r="F336">
        <v>3.99</v>
      </c>
      <c r="G336" t="s">
        <v>14</v>
      </c>
      <c r="H336" t="s">
        <v>70</v>
      </c>
      <c r="I336" t="s">
        <v>24</v>
      </c>
      <c r="J336" t="s">
        <v>71</v>
      </c>
      <c r="K336" t="s">
        <v>49</v>
      </c>
      <c r="L336" t="s">
        <v>825</v>
      </c>
      <c r="M336">
        <v>0.56999999999999995</v>
      </c>
      <c r="N336" t="s">
        <v>8</v>
      </c>
      <c r="O336" t="s">
        <v>35</v>
      </c>
      <c r="P336" t="s">
        <v>564</v>
      </c>
      <c r="Q336" t="s">
        <v>565</v>
      </c>
      <c r="R336">
        <v>85737</v>
      </c>
      <c r="S336" s="1">
        <v>42032</v>
      </c>
      <c r="T336" s="1">
        <v>42041</v>
      </c>
      <c r="U336">
        <v>-54.622</v>
      </c>
      <c r="V336">
        <v>1</v>
      </c>
      <c r="W336">
        <v>63.48</v>
      </c>
      <c r="X336">
        <v>87725</v>
      </c>
      <c r="Y336">
        <f>cleaneddata[[#This Row],[Unit Price]]-cleaneddata[[#This Row],[Discount]]</f>
        <v>59.959999999999994</v>
      </c>
      <c r="Z33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37" spans="1:26" x14ac:dyDescent="0.3">
      <c r="A337">
        <v>744</v>
      </c>
      <c r="B337" t="s">
        <v>562</v>
      </c>
      <c r="C337" t="s">
        <v>23</v>
      </c>
      <c r="D337">
        <v>0.03</v>
      </c>
      <c r="E337">
        <v>5.18</v>
      </c>
      <c r="F337">
        <v>5.74</v>
      </c>
      <c r="G337" t="s">
        <v>14</v>
      </c>
      <c r="H337" t="s">
        <v>70</v>
      </c>
      <c r="I337" t="s">
        <v>24</v>
      </c>
      <c r="J337" t="s">
        <v>48</v>
      </c>
      <c r="K337" t="s">
        <v>49</v>
      </c>
      <c r="L337" t="s">
        <v>826</v>
      </c>
      <c r="M337">
        <v>0.36</v>
      </c>
      <c r="N337" t="s">
        <v>8</v>
      </c>
      <c r="O337" t="s">
        <v>35</v>
      </c>
      <c r="P337" t="s">
        <v>564</v>
      </c>
      <c r="Q337" t="s">
        <v>565</v>
      </c>
      <c r="R337">
        <v>85737</v>
      </c>
      <c r="S337" s="1">
        <v>42032</v>
      </c>
      <c r="T337" s="1">
        <v>42036</v>
      </c>
      <c r="U337">
        <v>-126.81417999999999</v>
      </c>
      <c r="V337">
        <v>9</v>
      </c>
      <c r="W337">
        <v>47.64</v>
      </c>
      <c r="X337">
        <v>87725</v>
      </c>
      <c r="Y337">
        <f>cleaneddata[[#This Row],[Unit Price]]-cleaneddata[[#This Row],[Discount]]</f>
        <v>5.1499999999999995</v>
      </c>
      <c r="Z33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38" spans="1:26" x14ac:dyDescent="0.3">
      <c r="A338">
        <v>553</v>
      </c>
      <c r="B338" t="s">
        <v>827</v>
      </c>
      <c r="C338" t="s">
        <v>92</v>
      </c>
      <c r="D338">
        <v>0</v>
      </c>
      <c r="E338">
        <v>6.88</v>
      </c>
      <c r="F338">
        <v>2</v>
      </c>
      <c r="G338" t="s">
        <v>63</v>
      </c>
      <c r="H338" t="s">
        <v>47</v>
      </c>
      <c r="I338" t="s">
        <v>24</v>
      </c>
      <c r="J338" t="s">
        <v>64</v>
      </c>
      <c r="K338" t="s">
        <v>26</v>
      </c>
      <c r="L338" t="s">
        <v>828</v>
      </c>
      <c r="M338">
        <v>0.39</v>
      </c>
      <c r="N338" t="s">
        <v>8</v>
      </c>
      <c r="O338" t="s">
        <v>35</v>
      </c>
      <c r="P338" t="s">
        <v>66</v>
      </c>
      <c r="Q338" t="s">
        <v>76</v>
      </c>
      <c r="R338">
        <v>90008</v>
      </c>
      <c r="S338" s="1">
        <v>42032</v>
      </c>
      <c r="T338" s="1">
        <v>42033</v>
      </c>
      <c r="U338">
        <v>34.067999999999998</v>
      </c>
      <c r="V338">
        <v>36</v>
      </c>
      <c r="W338">
        <v>267.52999999999997</v>
      </c>
      <c r="X338">
        <v>17155</v>
      </c>
      <c r="Y338">
        <f>cleaneddata[[#This Row],[Unit Price]]-cleaneddata[[#This Row],[Discount]]</f>
        <v>6.88</v>
      </c>
      <c r="Z33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39" spans="1:26" x14ac:dyDescent="0.3">
      <c r="A339">
        <v>556</v>
      </c>
      <c r="B339" t="s">
        <v>829</v>
      </c>
      <c r="C339" t="s">
        <v>92</v>
      </c>
      <c r="D339">
        <v>0</v>
      </c>
      <c r="E339">
        <v>6.88</v>
      </c>
      <c r="F339">
        <v>2</v>
      </c>
      <c r="G339" t="s">
        <v>63</v>
      </c>
      <c r="H339" t="s">
        <v>47</v>
      </c>
      <c r="I339" t="s">
        <v>24</v>
      </c>
      <c r="J339" t="s">
        <v>64</v>
      </c>
      <c r="K339" t="s">
        <v>26</v>
      </c>
      <c r="L339" t="s">
        <v>828</v>
      </c>
      <c r="M339">
        <v>0.39</v>
      </c>
      <c r="N339" t="s">
        <v>8</v>
      </c>
      <c r="O339" t="s">
        <v>35</v>
      </c>
      <c r="P339" t="s">
        <v>122</v>
      </c>
      <c r="Q339" t="s">
        <v>830</v>
      </c>
      <c r="R339">
        <v>84604</v>
      </c>
      <c r="S339" s="1">
        <v>42032</v>
      </c>
      <c r="T339" s="1">
        <v>42033</v>
      </c>
      <c r="U339">
        <v>46.147199999999998</v>
      </c>
      <c r="V339">
        <v>9</v>
      </c>
      <c r="W339">
        <v>66.88</v>
      </c>
      <c r="X339">
        <v>86189</v>
      </c>
      <c r="Y339">
        <f>cleaneddata[[#This Row],[Unit Price]]-cleaneddata[[#This Row],[Discount]]</f>
        <v>6.88</v>
      </c>
      <c r="Z33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40" spans="1:26" x14ac:dyDescent="0.3">
      <c r="A340">
        <v>556</v>
      </c>
      <c r="B340" t="s">
        <v>829</v>
      </c>
      <c r="C340" t="s">
        <v>92</v>
      </c>
      <c r="D340">
        <v>0.03</v>
      </c>
      <c r="E340">
        <v>32.479999999999997</v>
      </c>
      <c r="F340">
        <v>35</v>
      </c>
      <c r="G340" t="s">
        <v>63</v>
      </c>
      <c r="H340" t="s">
        <v>47</v>
      </c>
      <c r="I340" t="s">
        <v>24</v>
      </c>
      <c r="J340" t="s">
        <v>54</v>
      </c>
      <c r="K340" t="s">
        <v>40</v>
      </c>
      <c r="L340" t="s">
        <v>761</v>
      </c>
      <c r="M340">
        <v>0.81</v>
      </c>
      <c r="N340" t="s">
        <v>8</v>
      </c>
      <c r="O340" t="s">
        <v>35</v>
      </c>
      <c r="P340" t="s">
        <v>122</v>
      </c>
      <c r="Q340" t="s">
        <v>830</v>
      </c>
      <c r="R340">
        <v>84604</v>
      </c>
      <c r="S340" s="1">
        <v>42032</v>
      </c>
      <c r="T340" s="1">
        <v>42032</v>
      </c>
      <c r="U340">
        <v>-1116.3348000000001</v>
      </c>
      <c r="V340">
        <v>8</v>
      </c>
      <c r="W340">
        <v>274.91000000000003</v>
      </c>
      <c r="X340">
        <v>86189</v>
      </c>
      <c r="Y340">
        <f>cleaneddata[[#This Row],[Unit Price]]-cleaneddata[[#This Row],[Discount]]</f>
        <v>32.449999999999996</v>
      </c>
      <c r="Z34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41" spans="1:26" x14ac:dyDescent="0.3">
      <c r="A341">
        <v>1875</v>
      </c>
      <c r="B341" t="s">
        <v>831</v>
      </c>
      <c r="C341" t="s">
        <v>1</v>
      </c>
      <c r="D341">
        <v>0.09</v>
      </c>
      <c r="E341">
        <v>95.99</v>
      </c>
      <c r="F341">
        <v>4.9000000000000004</v>
      </c>
      <c r="G341" t="s">
        <v>14</v>
      </c>
      <c r="H341" t="s">
        <v>15</v>
      </c>
      <c r="I341" t="s">
        <v>16</v>
      </c>
      <c r="J341" t="s">
        <v>111</v>
      </c>
      <c r="K341" t="s">
        <v>49</v>
      </c>
      <c r="L341" t="s">
        <v>744</v>
      </c>
      <c r="M341">
        <v>0.56000000000000005</v>
      </c>
      <c r="N341" t="s">
        <v>8</v>
      </c>
      <c r="O341" t="s">
        <v>9</v>
      </c>
      <c r="P341" t="s">
        <v>218</v>
      </c>
      <c r="Q341" t="s">
        <v>832</v>
      </c>
      <c r="R341">
        <v>23320</v>
      </c>
      <c r="S341" s="1">
        <v>42033</v>
      </c>
      <c r="T341" s="1">
        <v>42035</v>
      </c>
      <c r="U341">
        <v>34.302</v>
      </c>
      <c r="V341">
        <v>4</v>
      </c>
      <c r="W341">
        <v>320.75</v>
      </c>
      <c r="X341">
        <v>90899</v>
      </c>
      <c r="Y341">
        <f>cleaneddata[[#This Row],[Unit Price]]-cleaneddata[[#This Row],[Discount]]</f>
        <v>95.899999999999991</v>
      </c>
      <c r="Z3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42" spans="1:26" x14ac:dyDescent="0.3">
      <c r="A342">
        <v>2265</v>
      </c>
      <c r="B342" t="s">
        <v>833</v>
      </c>
      <c r="C342" t="s">
        <v>1</v>
      </c>
      <c r="D342">
        <v>0.1</v>
      </c>
      <c r="E342">
        <v>7.45</v>
      </c>
      <c r="F342">
        <v>6.28</v>
      </c>
      <c r="G342" t="s">
        <v>14</v>
      </c>
      <c r="H342" t="s">
        <v>70</v>
      </c>
      <c r="I342" t="s">
        <v>24</v>
      </c>
      <c r="J342" t="s">
        <v>48</v>
      </c>
      <c r="K342" t="s">
        <v>49</v>
      </c>
      <c r="L342" t="s">
        <v>834</v>
      </c>
      <c r="M342">
        <v>0.4</v>
      </c>
      <c r="N342" t="s">
        <v>8</v>
      </c>
      <c r="O342" t="s">
        <v>28</v>
      </c>
      <c r="P342" t="s">
        <v>56</v>
      </c>
      <c r="Q342" t="s">
        <v>835</v>
      </c>
      <c r="R342">
        <v>64130</v>
      </c>
      <c r="S342" s="1">
        <v>42033</v>
      </c>
      <c r="T342" s="1">
        <v>42036</v>
      </c>
      <c r="U342">
        <v>-69.873999999999995</v>
      </c>
      <c r="V342">
        <v>8</v>
      </c>
      <c r="W342">
        <v>59.4</v>
      </c>
      <c r="X342">
        <v>86612</v>
      </c>
      <c r="Y342">
        <f>cleaneddata[[#This Row],[Unit Price]]-cleaneddata[[#This Row],[Discount]]</f>
        <v>7.3500000000000005</v>
      </c>
      <c r="Z34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43" spans="1:26" x14ac:dyDescent="0.3">
      <c r="A343">
        <v>2265</v>
      </c>
      <c r="B343" t="s">
        <v>833</v>
      </c>
      <c r="C343" t="s">
        <v>1</v>
      </c>
      <c r="D343">
        <v>0.01</v>
      </c>
      <c r="E343">
        <v>6.48</v>
      </c>
      <c r="F343">
        <v>7.86</v>
      </c>
      <c r="G343" t="s">
        <v>14</v>
      </c>
      <c r="H343" t="s">
        <v>70</v>
      </c>
      <c r="I343" t="s">
        <v>24</v>
      </c>
      <c r="J343" t="s">
        <v>64</v>
      </c>
      <c r="K343" t="s">
        <v>49</v>
      </c>
      <c r="L343" t="s">
        <v>836</v>
      </c>
      <c r="M343">
        <v>0.37</v>
      </c>
      <c r="N343" t="s">
        <v>8</v>
      </c>
      <c r="O343" t="s">
        <v>28</v>
      </c>
      <c r="P343" t="s">
        <v>56</v>
      </c>
      <c r="Q343" t="s">
        <v>835</v>
      </c>
      <c r="R343">
        <v>64130</v>
      </c>
      <c r="S343" s="1">
        <v>42033</v>
      </c>
      <c r="T343" s="1">
        <v>42035</v>
      </c>
      <c r="U343">
        <v>-135.74</v>
      </c>
      <c r="V343">
        <v>10</v>
      </c>
      <c r="W343">
        <v>66.459999999999994</v>
      </c>
      <c r="X343">
        <v>86612</v>
      </c>
      <c r="Y343">
        <f>cleaneddata[[#This Row],[Unit Price]]-cleaneddata[[#This Row],[Discount]]</f>
        <v>6.4700000000000006</v>
      </c>
      <c r="Z34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44" spans="1:26" x14ac:dyDescent="0.3">
      <c r="A344">
        <v>699</v>
      </c>
      <c r="B344" t="s">
        <v>837</v>
      </c>
      <c r="C344" t="s">
        <v>92</v>
      </c>
      <c r="D344">
        <v>7.0000000000000007E-2</v>
      </c>
      <c r="E344">
        <v>5.0199999999999996</v>
      </c>
      <c r="F344">
        <v>5.14</v>
      </c>
      <c r="G344" t="s">
        <v>14</v>
      </c>
      <c r="H344" t="s">
        <v>15</v>
      </c>
      <c r="I344" t="s">
        <v>16</v>
      </c>
      <c r="J344" t="s">
        <v>17</v>
      </c>
      <c r="K344" t="s">
        <v>18</v>
      </c>
      <c r="L344" t="s">
        <v>367</v>
      </c>
      <c r="M344">
        <v>0.79</v>
      </c>
      <c r="N344" t="s">
        <v>8</v>
      </c>
      <c r="O344" t="s">
        <v>35</v>
      </c>
      <c r="P344" t="s">
        <v>66</v>
      </c>
      <c r="Q344" t="s">
        <v>76</v>
      </c>
      <c r="R344">
        <v>90041</v>
      </c>
      <c r="S344" s="1">
        <v>42033</v>
      </c>
      <c r="T344" s="1">
        <v>42035</v>
      </c>
      <c r="U344">
        <v>-168.72</v>
      </c>
      <c r="V344">
        <v>42</v>
      </c>
      <c r="W344">
        <v>210.1</v>
      </c>
      <c r="X344">
        <v>32420</v>
      </c>
      <c r="Y344">
        <f>cleaneddata[[#This Row],[Unit Price]]-cleaneddata[[#This Row],[Discount]]</f>
        <v>4.9499999999999993</v>
      </c>
      <c r="Z3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45" spans="1:26" x14ac:dyDescent="0.3">
      <c r="A345">
        <v>699</v>
      </c>
      <c r="B345" t="s">
        <v>837</v>
      </c>
      <c r="C345" t="s">
        <v>92</v>
      </c>
      <c r="D345">
        <v>7.0000000000000007E-2</v>
      </c>
      <c r="E345">
        <v>280.98</v>
      </c>
      <c r="F345">
        <v>57</v>
      </c>
      <c r="G345" t="s">
        <v>2</v>
      </c>
      <c r="H345" t="s">
        <v>15</v>
      </c>
      <c r="I345" t="s">
        <v>4</v>
      </c>
      <c r="J345" t="s">
        <v>85</v>
      </c>
      <c r="K345" t="s">
        <v>33</v>
      </c>
      <c r="L345" t="s">
        <v>838</v>
      </c>
      <c r="M345">
        <v>0.78</v>
      </c>
      <c r="N345" t="s">
        <v>8</v>
      </c>
      <c r="O345" t="s">
        <v>35</v>
      </c>
      <c r="P345" t="s">
        <v>66</v>
      </c>
      <c r="Q345" t="s">
        <v>76</v>
      </c>
      <c r="R345">
        <v>90041</v>
      </c>
      <c r="S345" s="1">
        <v>42033</v>
      </c>
      <c r="T345" s="1">
        <v>42035</v>
      </c>
      <c r="U345">
        <v>-439.62</v>
      </c>
      <c r="V345">
        <v>23</v>
      </c>
      <c r="W345">
        <v>6499.87</v>
      </c>
      <c r="X345">
        <v>32420</v>
      </c>
      <c r="Y345">
        <f>cleaneddata[[#This Row],[Unit Price]]-cleaneddata[[#This Row],[Discount]]</f>
        <v>280.91000000000003</v>
      </c>
      <c r="Z34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46" spans="1:26" x14ac:dyDescent="0.3">
      <c r="A346">
        <v>2061</v>
      </c>
      <c r="B346" t="s">
        <v>839</v>
      </c>
      <c r="C346" t="s">
        <v>92</v>
      </c>
      <c r="D346">
        <v>0.02</v>
      </c>
      <c r="E346">
        <v>240.98</v>
      </c>
      <c r="F346">
        <v>60.2</v>
      </c>
      <c r="G346" t="s">
        <v>2</v>
      </c>
      <c r="H346" t="s">
        <v>70</v>
      </c>
      <c r="I346" t="s">
        <v>4</v>
      </c>
      <c r="J346" t="s">
        <v>93</v>
      </c>
      <c r="K346" t="s">
        <v>6</v>
      </c>
      <c r="L346" t="s">
        <v>840</v>
      </c>
      <c r="M346">
        <v>0.56000000000000005</v>
      </c>
      <c r="N346" t="s">
        <v>8</v>
      </c>
      <c r="O346" t="s">
        <v>28</v>
      </c>
      <c r="P346" t="s">
        <v>109</v>
      </c>
      <c r="Q346" t="s">
        <v>841</v>
      </c>
      <c r="R346">
        <v>69101</v>
      </c>
      <c r="S346" s="1">
        <v>42033</v>
      </c>
      <c r="T346" s="1">
        <v>42035</v>
      </c>
      <c r="U346">
        <v>-272.71319999999997</v>
      </c>
      <c r="V346">
        <v>1</v>
      </c>
      <c r="W346">
        <v>260.66000000000003</v>
      </c>
      <c r="X346">
        <v>87146</v>
      </c>
      <c r="Y346">
        <f>cleaneddata[[#This Row],[Unit Price]]-cleaneddata[[#This Row],[Discount]]</f>
        <v>240.95999999999998</v>
      </c>
      <c r="Z34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47" spans="1:26" x14ac:dyDescent="0.3">
      <c r="A347">
        <v>2062</v>
      </c>
      <c r="B347" t="s">
        <v>842</v>
      </c>
      <c r="C347" t="s">
        <v>92</v>
      </c>
      <c r="D347">
        <v>0.02</v>
      </c>
      <c r="E347">
        <v>420.98</v>
      </c>
      <c r="F347">
        <v>19.989999999999998</v>
      </c>
      <c r="G347" t="s">
        <v>14</v>
      </c>
      <c r="H347" t="s">
        <v>70</v>
      </c>
      <c r="I347" t="s">
        <v>24</v>
      </c>
      <c r="J347" t="s">
        <v>48</v>
      </c>
      <c r="K347" t="s">
        <v>49</v>
      </c>
      <c r="L347" t="s">
        <v>843</v>
      </c>
      <c r="M347">
        <v>0.35</v>
      </c>
      <c r="N347" t="s">
        <v>8</v>
      </c>
      <c r="O347" t="s">
        <v>9</v>
      </c>
      <c r="P347" t="s">
        <v>218</v>
      </c>
      <c r="Q347" t="s">
        <v>844</v>
      </c>
      <c r="R347">
        <v>23111</v>
      </c>
      <c r="S347" s="1">
        <v>42033</v>
      </c>
      <c r="T347" s="1">
        <v>42036</v>
      </c>
      <c r="U347">
        <v>-162.69399999999999</v>
      </c>
      <c r="V347">
        <v>10</v>
      </c>
      <c r="W347">
        <v>4249.37</v>
      </c>
      <c r="X347">
        <v>87146</v>
      </c>
      <c r="Y347">
        <f>cleaneddata[[#This Row],[Unit Price]]-cleaneddata[[#This Row],[Discount]]</f>
        <v>420.96000000000004</v>
      </c>
      <c r="Z34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48" spans="1:26" x14ac:dyDescent="0.3">
      <c r="A348">
        <v>767</v>
      </c>
      <c r="B348" t="s">
        <v>845</v>
      </c>
      <c r="C348" t="s">
        <v>1</v>
      </c>
      <c r="D348">
        <v>0.1</v>
      </c>
      <c r="E348">
        <v>31.78</v>
      </c>
      <c r="F348">
        <v>1.99</v>
      </c>
      <c r="G348" t="s">
        <v>14</v>
      </c>
      <c r="H348" t="s">
        <v>70</v>
      </c>
      <c r="I348" t="s">
        <v>16</v>
      </c>
      <c r="J348" t="s">
        <v>17</v>
      </c>
      <c r="K348" t="s">
        <v>18</v>
      </c>
      <c r="L348" t="s">
        <v>846</v>
      </c>
      <c r="M348">
        <v>0.42</v>
      </c>
      <c r="N348" t="s">
        <v>8</v>
      </c>
      <c r="O348" t="s">
        <v>28</v>
      </c>
      <c r="P348" t="s">
        <v>79</v>
      </c>
      <c r="Q348" t="s">
        <v>847</v>
      </c>
      <c r="R348">
        <v>61201</v>
      </c>
      <c r="S348" s="1">
        <v>42034</v>
      </c>
      <c r="T348" s="1">
        <v>42036</v>
      </c>
      <c r="U348">
        <v>232.2816</v>
      </c>
      <c r="V348">
        <v>11</v>
      </c>
      <c r="W348">
        <v>336.64</v>
      </c>
      <c r="X348">
        <v>86279</v>
      </c>
      <c r="Y348">
        <f>cleaneddata[[#This Row],[Unit Price]]-cleaneddata[[#This Row],[Discount]]</f>
        <v>31.68</v>
      </c>
      <c r="Z34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49" spans="1:26" x14ac:dyDescent="0.3">
      <c r="A349">
        <v>550</v>
      </c>
      <c r="B349" t="s">
        <v>848</v>
      </c>
      <c r="C349" t="s">
        <v>13</v>
      </c>
      <c r="D349">
        <v>0.05</v>
      </c>
      <c r="E349">
        <v>1.68</v>
      </c>
      <c r="F349">
        <v>1.57</v>
      </c>
      <c r="G349" t="s">
        <v>14</v>
      </c>
      <c r="H349" t="s">
        <v>70</v>
      </c>
      <c r="I349" t="s">
        <v>24</v>
      </c>
      <c r="J349" t="s">
        <v>25</v>
      </c>
      <c r="K349" t="s">
        <v>26</v>
      </c>
      <c r="L349" t="s">
        <v>550</v>
      </c>
      <c r="M349">
        <v>0.59</v>
      </c>
      <c r="N349" t="s">
        <v>8</v>
      </c>
      <c r="O349" t="s">
        <v>28</v>
      </c>
      <c r="P349" t="s">
        <v>163</v>
      </c>
      <c r="Q349" t="s">
        <v>849</v>
      </c>
      <c r="R349">
        <v>78155</v>
      </c>
      <c r="S349" s="1">
        <v>42034</v>
      </c>
      <c r="T349" s="1">
        <v>42035</v>
      </c>
      <c r="U349">
        <v>-33.340000000000003</v>
      </c>
      <c r="V349">
        <v>11</v>
      </c>
      <c r="W349">
        <v>18.75</v>
      </c>
      <c r="X349">
        <v>90909</v>
      </c>
      <c r="Y349">
        <f>cleaneddata[[#This Row],[Unit Price]]-cleaneddata[[#This Row],[Discount]]</f>
        <v>1.63</v>
      </c>
      <c r="Z3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0" spans="1:26" x14ac:dyDescent="0.3">
      <c r="A350">
        <v>550</v>
      </c>
      <c r="B350" t="s">
        <v>848</v>
      </c>
      <c r="C350" t="s">
        <v>13</v>
      </c>
      <c r="D350">
        <v>0.1</v>
      </c>
      <c r="E350">
        <v>218.75</v>
      </c>
      <c r="F350">
        <v>69.64</v>
      </c>
      <c r="G350" t="s">
        <v>2</v>
      </c>
      <c r="H350" t="s">
        <v>70</v>
      </c>
      <c r="I350" t="s">
        <v>4</v>
      </c>
      <c r="J350" t="s">
        <v>5</v>
      </c>
      <c r="K350" t="s">
        <v>6</v>
      </c>
      <c r="L350" t="s">
        <v>850</v>
      </c>
      <c r="M350">
        <v>0.77</v>
      </c>
      <c r="N350" t="s">
        <v>8</v>
      </c>
      <c r="O350" t="s">
        <v>28</v>
      </c>
      <c r="P350" t="s">
        <v>163</v>
      </c>
      <c r="Q350" t="s">
        <v>849</v>
      </c>
      <c r="R350">
        <v>78155</v>
      </c>
      <c r="S350" s="1">
        <v>42034</v>
      </c>
      <c r="T350" s="1">
        <v>42036</v>
      </c>
      <c r="U350">
        <v>-201.27600000000001</v>
      </c>
      <c r="V350">
        <v>1</v>
      </c>
      <c r="W350">
        <v>188.51</v>
      </c>
      <c r="X350">
        <v>90909</v>
      </c>
      <c r="Y350">
        <f>cleaneddata[[#This Row],[Unit Price]]-cleaneddata[[#This Row],[Discount]]</f>
        <v>218.65</v>
      </c>
      <c r="Z3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1" spans="1:26" x14ac:dyDescent="0.3">
      <c r="A351">
        <v>551</v>
      </c>
      <c r="B351" t="s">
        <v>851</v>
      </c>
      <c r="C351" t="s">
        <v>13</v>
      </c>
      <c r="D351">
        <v>0</v>
      </c>
      <c r="E351">
        <v>15.04</v>
      </c>
      <c r="F351">
        <v>1.97</v>
      </c>
      <c r="G351" t="s">
        <v>14</v>
      </c>
      <c r="H351" t="s">
        <v>70</v>
      </c>
      <c r="I351" t="s">
        <v>24</v>
      </c>
      <c r="J351" t="s">
        <v>64</v>
      </c>
      <c r="K351" t="s">
        <v>26</v>
      </c>
      <c r="L351" t="s">
        <v>68</v>
      </c>
      <c r="M351">
        <v>0.39</v>
      </c>
      <c r="N351" t="s">
        <v>8</v>
      </c>
      <c r="O351" t="s">
        <v>28</v>
      </c>
      <c r="P351" t="s">
        <v>163</v>
      </c>
      <c r="Q351" t="s">
        <v>852</v>
      </c>
      <c r="R351">
        <v>75090</v>
      </c>
      <c r="S351" s="1">
        <v>42034</v>
      </c>
      <c r="T351" s="1">
        <v>42036</v>
      </c>
      <c r="U351">
        <v>21.514199999999999</v>
      </c>
      <c r="V351">
        <v>2</v>
      </c>
      <c r="W351">
        <v>31.18</v>
      </c>
      <c r="X351">
        <v>90909</v>
      </c>
      <c r="Y351">
        <f>cleaneddata[[#This Row],[Unit Price]]-cleaneddata[[#This Row],[Discount]]</f>
        <v>15.04</v>
      </c>
      <c r="Z35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2" spans="1:26" x14ac:dyDescent="0.3">
      <c r="A352">
        <v>1442</v>
      </c>
      <c r="B352" t="s">
        <v>853</v>
      </c>
      <c r="C352" t="s">
        <v>23</v>
      </c>
      <c r="D352">
        <v>0.02</v>
      </c>
      <c r="E352">
        <v>15.99</v>
      </c>
      <c r="F352">
        <v>13.18</v>
      </c>
      <c r="G352" t="s">
        <v>63</v>
      </c>
      <c r="H352" t="s">
        <v>70</v>
      </c>
      <c r="I352" t="s">
        <v>24</v>
      </c>
      <c r="J352" t="s">
        <v>48</v>
      </c>
      <c r="K352" t="s">
        <v>49</v>
      </c>
      <c r="L352" t="s">
        <v>271</v>
      </c>
      <c r="M352">
        <v>0.37</v>
      </c>
      <c r="N352" t="s">
        <v>8</v>
      </c>
      <c r="O352" t="s">
        <v>28</v>
      </c>
      <c r="P352" t="s">
        <v>56</v>
      </c>
      <c r="Q352" t="s">
        <v>854</v>
      </c>
      <c r="R352">
        <v>65807</v>
      </c>
      <c r="S352" s="1">
        <v>42034</v>
      </c>
      <c r="T352" s="1">
        <v>42038</v>
      </c>
      <c r="U352">
        <v>-76.992500000000007</v>
      </c>
      <c r="V352">
        <v>7</v>
      </c>
      <c r="W352">
        <v>123.03</v>
      </c>
      <c r="X352">
        <v>89077</v>
      </c>
      <c r="Y352">
        <f>cleaneddata[[#This Row],[Unit Price]]-cleaneddata[[#This Row],[Discount]]</f>
        <v>15.97</v>
      </c>
      <c r="Z3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3" spans="1:26" x14ac:dyDescent="0.3">
      <c r="A353">
        <v>1442</v>
      </c>
      <c r="B353" t="s">
        <v>853</v>
      </c>
      <c r="C353" t="s">
        <v>23</v>
      </c>
      <c r="D353">
        <v>0.09</v>
      </c>
      <c r="E353">
        <v>46.94</v>
      </c>
      <c r="F353">
        <v>6.77</v>
      </c>
      <c r="G353" t="s">
        <v>63</v>
      </c>
      <c r="H353" t="s">
        <v>70</v>
      </c>
      <c r="I353" t="s">
        <v>4</v>
      </c>
      <c r="J353" t="s">
        <v>102</v>
      </c>
      <c r="K353" t="s">
        <v>49</v>
      </c>
      <c r="L353" t="s">
        <v>855</v>
      </c>
      <c r="M353">
        <v>0.44</v>
      </c>
      <c r="N353" t="s">
        <v>8</v>
      </c>
      <c r="O353" t="s">
        <v>28</v>
      </c>
      <c r="P353" t="s">
        <v>56</v>
      </c>
      <c r="Q353" t="s">
        <v>854</v>
      </c>
      <c r="R353">
        <v>65807</v>
      </c>
      <c r="S353" s="1">
        <v>42034</v>
      </c>
      <c r="T353" s="1">
        <v>42034</v>
      </c>
      <c r="U353">
        <v>297.96960000000001</v>
      </c>
      <c r="V353">
        <v>10</v>
      </c>
      <c r="W353">
        <v>431.84</v>
      </c>
      <c r="X353">
        <v>89077</v>
      </c>
      <c r="Y353">
        <f>cleaneddata[[#This Row],[Unit Price]]-cleaneddata[[#This Row],[Discount]]</f>
        <v>46.849999999999994</v>
      </c>
      <c r="Z3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4" spans="1:26" x14ac:dyDescent="0.3">
      <c r="A354">
        <v>2775</v>
      </c>
      <c r="B354" t="s">
        <v>856</v>
      </c>
      <c r="C354" t="s">
        <v>23</v>
      </c>
      <c r="D354">
        <v>7.0000000000000007E-2</v>
      </c>
      <c r="E354">
        <v>574.74</v>
      </c>
      <c r="F354">
        <v>24.49</v>
      </c>
      <c r="G354" t="s">
        <v>14</v>
      </c>
      <c r="H354" t="s">
        <v>15</v>
      </c>
      <c r="I354" t="s">
        <v>16</v>
      </c>
      <c r="J354" t="s">
        <v>32</v>
      </c>
      <c r="K354" t="s">
        <v>40</v>
      </c>
      <c r="L354" t="s">
        <v>146</v>
      </c>
      <c r="M354">
        <v>0.37</v>
      </c>
      <c r="N354" t="s">
        <v>8</v>
      </c>
      <c r="O354" t="s">
        <v>28</v>
      </c>
      <c r="P354" t="s">
        <v>79</v>
      </c>
      <c r="Q354" t="s">
        <v>857</v>
      </c>
      <c r="R354">
        <v>60131</v>
      </c>
      <c r="S354" s="1">
        <v>42034</v>
      </c>
      <c r="T354" s="1">
        <v>42039</v>
      </c>
      <c r="U354">
        <v>2860.9331999999999</v>
      </c>
      <c r="V354">
        <v>8</v>
      </c>
      <c r="W354">
        <v>4146.28</v>
      </c>
      <c r="X354">
        <v>91229</v>
      </c>
      <c r="Y354">
        <f>cleaneddata[[#This Row],[Unit Price]]-cleaneddata[[#This Row],[Discount]]</f>
        <v>574.66999999999996</v>
      </c>
      <c r="Z3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5" spans="1:26" x14ac:dyDescent="0.3">
      <c r="A355">
        <v>256</v>
      </c>
      <c r="B355" t="s">
        <v>858</v>
      </c>
      <c r="C355" t="s">
        <v>1</v>
      </c>
      <c r="D355">
        <v>0.03</v>
      </c>
      <c r="E355">
        <v>8.34</v>
      </c>
      <c r="F355">
        <v>2.64</v>
      </c>
      <c r="G355" t="s">
        <v>14</v>
      </c>
      <c r="H355" t="s">
        <v>47</v>
      </c>
      <c r="I355" t="s">
        <v>24</v>
      </c>
      <c r="J355" t="s">
        <v>544</v>
      </c>
      <c r="K355" t="s">
        <v>18</v>
      </c>
      <c r="L355" t="s">
        <v>859</v>
      </c>
      <c r="M355">
        <v>0.59</v>
      </c>
      <c r="N355" t="s">
        <v>8</v>
      </c>
      <c r="O355" t="s">
        <v>87</v>
      </c>
      <c r="P355" t="s">
        <v>296</v>
      </c>
      <c r="Q355" t="s">
        <v>860</v>
      </c>
      <c r="R355">
        <v>17331</v>
      </c>
      <c r="S355" s="1">
        <v>42035</v>
      </c>
      <c r="T355" s="1">
        <v>42037</v>
      </c>
      <c r="U355">
        <v>0.68400000000000005</v>
      </c>
      <c r="V355">
        <v>4</v>
      </c>
      <c r="W355">
        <v>34.64</v>
      </c>
      <c r="X355">
        <v>86267</v>
      </c>
      <c r="Y355">
        <f>cleaneddata[[#This Row],[Unit Price]]-cleaneddata[[#This Row],[Discount]]</f>
        <v>8.31</v>
      </c>
      <c r="Z35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56" spans="1:26" x14ac:dyDescent="0.3">
      <c r="A356">
        <v>343</v>
      </c>
      <c r="B356" t="s">
        <v>861</v>
      </c>
      <c r="C356" t="s">
        <v>1</v>
      </c>
      <c r="D356">
        <v>0.03</v>
      </c>
      <c r="E356">
        <v>15.23</v>
      </c>
      <c r="F356">
        <v>27.75</v>
      </c>
      <c r="G356" t="s">
        <v>2</v>
      </c>
      <c r="H356" t="s">
        <v>70</v>
      </c>
      <c r="I356" t="s">
        <v>4</v>
      </c>
      <c r="J356" t="s">
        <v>5</v>
      </c>
      <c r="K356" t="s">
        <v>6</v>
      </c>
      <c r="L356" t="s">
        <v>862</v>
      </c>
      <c r="M356">
        <v>0.76</v>
      </c>
      <c r="N356" t="s">
        <v>8</v>
      </c>
      <c r="O356" t="s">
        <v>87</v>
      </c>
      <c r="P356" t="s">
        <v>307</v>
      </c>
      <c r="Q356" t="s">
        <v>863</v>
      </c>
      <c r="R356">
        <v>4401</v>
      </c>
      <c r="S356" s="1">
        <v>42035</v>
      </c>
      <c r="T356" s="1">
        <v>42036</v>
      </c>
      <c r="U356">
        <v>11.65095</v>
      </c>
      <c r="V356">
        <v>7</v>
      </c>
      <c r="W356">
        <v>111.86</v>
      </c>
      <c r="X356">
        <v>88151</v>
      </c>
      <c r="Y356">
        <f>cleaneddata[[#This Row],[Unit Price]]-cleaneddata[[#This Row],[Discount]]</f>
        <v>15.200000000000001</v>
      </c>
      <c r="Z35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57" spans="1:26" x14ac:dyDescent="0.3">
      <c r="A357">
        <v>1723</v>
      </c>
      <c r="B357" t="s">
        <v>864</v>
      </c>
      <c r="C357" t="s">
        <v>23</v>
      </c>
      <c r="D357">
        <v>0.1</v>
      </c>
      <c r="E357">
        <v>49.99</v>
      </c>
      <c r="F357">
        <v>19.989999999999998</v>
      </c>
      <c r="G357" t="s">
        <v>63</v>
      </c>
      <c r="H357" t="s">
        <v>70</v>
      </c>
      <c r="I357" t="s">
        <v>16</v>
      </c>
      <c r="J357" t="s">
        <v>17</v>
      </c>
      <c r="K357" t="s">
        <v>49</v>
      </c>
      <c r="L357" t="s">
        <v>865</v>
      </c>
      <c r="M357">
        <v>0.45</v>
      </c>
      <c r="N357" t="s">
        <v>8</v>
      </c>
      <c r="O357" t="s">
        <v>35</v>
      </c>
      <c r="P357" t="s">
        <v>66</v>
      </c>
      <c r="Q357" t="s">
        <v>866</v>
      </c>
      <c r="R357">
        <v>92037</v>
      </c>
      <c r="S357" s="1">
        <v>42035</v>
      </c>
      <c r="T357" s="1">
        <v>42040</v>
      </c>
      <c r="U357">
        <v>13.507999999999999</v>
      </c>
      <c r="V357">
        <v>46</v>
      </c>
      <c r="W357">
        <v>2188.06</v>
      </c>
      <c r="X357">
        <v>40101</v>
      </c>
      <c r="Y357">
        <f>cleaneddata[[#This Row],[Unit Price]]-cleaneddata[[#This Row],[Discount]]</f>
        <v>49.89</v>
      </c>
      <c r="Z35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58" spans="1:26" x14ac:dyDescent="0.3">
      <c r="A358">
        <v>2202</v>
      </c>
      <c r="B358" t="s">
        <v>867</v>
      </c>
      <c r="C358" t="s">
        <v>23</v>
      </c>
      <c r="D358">
        <v>0.09</v>
      </c>
      <c r="E358">
        <v>160.97999999999999</v>
      </c>
      <c r="F358">
        <v>30</v>
      </c>
      <c r="G358" t="s">
        <v>2</v>
      </c>
      <c r="H358" t="s">
        <v>47</v>
      </c>
      <c r="I358" t="s">
        <v>4</v>
      </c>
      <c r="J358" t="s">
        <v>85</v>
      </c>
      <c r="K358" t="s">
        <v>33</v>
      </c>
      <c r="L358" t="s">
        <v>868</v>
      </c>
      <c r="M358">
        <v>0.62</v>
      </c>
      <c r="N358" t="s">
        <v>8</v>
      </c>
      <c r="O358" t="s">
        <v>28</v>
      </c>
      <c r="P358" t="s">
        <v>60</v>
      </c>
      <c r="Q358" t="s">
        <v>869</v>
      </c>
      <c r="R358">
        <v>55429</v>
      </c>
      <c r="S358" s="1">
        <v>42035</v>
      </c>
      <c r="T358" s="1">
        <v>42035</v>
      </c>
      <c r="U358">
        <v>357.428</v>
      </c>
      <c r="V358">
        <v>11</v>
      </c>
      <c r="W358">
        <v>1635.38</v>
      </c>
      <c r="X358">
        <v>86050</v>
      </c>
      <c r="Y358">
        <f>cleaneddata[[#This Row],[Unit Price]]-cleaneddata[[#This Row],[Discount]]</f>
        <v>160.88999999999999</v>
      </c>
      <c r="Z35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59" spans="1:26" x14ac:dyDescent="0.3">
      <c r="A359">
        <v>2202</v>
      </c>
      <c r="B359" t="s">
        <v>867</v>
      </c>
      <c r="C359" t="s">
        <v>23</v>
      </c>
      <c r="D359">
        <v>0.09</v>
      </c>
      <c r="E359">
        <v>6.3</v>
      </c>
      <c r="F359">
        <v>0.5</v>
      </c>
      <c r="G359" t="s">
        <v>14</v>
      </c>
      <c r="H359" t="s">
        <v>47</v>
      </c>
      <c r="I359" t="s">
        <v>24</v>
      </c>
      <c r="J359" t="s">
        <v>128</v>
      </c>
      <c r="K359" t="s">
        <v>49</v>
      </c>
      <c r="L359" t="s">
        <v>398</v>
      </c>
      <c r="M359">
        <v>0.39</v>
      </c>
      <c r="N359" t="s">
        <v>8</v>
      </c>
      <c r="O359" t="s">
        <v>28</v>
      </c>
      <c r="P359" t="s">
        <v>60</v>
      </c>
      <c r="Q359" t="s">
        <v>869</v>
      </c>
      <c r="R359">
        <v>55429</v>
      </c>
      <c r="S359" s="1">
        <v>42035</v>
      </c>
      <c r="T359" s="1">
        <v>42035</v>
      </c>
      <c r="U359">
        <v>40.351199999999999</v>
      </c>
      <c r="V359">
        <v>10</v>
      </c>
      <c r="W359">
        <v>58.48</v>
      </c>
      <c r="X359">
        <v>86050</v>
      </c>
      <c r="Y359">
        <f>cleaneddata[[#This Row],[Unit Price]]-cleaneddata[[#This Row],[Discount]]</f>
        <v>6.21</v>
      </c>
      <c r="Z35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60" spans="1:26" x14ac:dyDescent="0.3">
      <c r="A360">
        <v>2202</v>
      </c>
      <c r="B360" t="s">
        <v>867</v>
      </c>
      <c r="C360" t="s">
        <v>23</v>
      </c>
      <c r="D360">
        <v>0</v>
      </c>
      <c r="E360">
        <v>4.9800000000000004</v>
      </c>
      <c r="F360">
        <v>0.8</v>
      </c>
      <c r="G360" t="s">
        <v>14</v>
      </c>
      <c r="H360" t="s">
        <v>47</v>
      </c>
      <c r="I360" t="s">
        <v>24</v>
      </c>
      <c r="J360" t="s">
        <v>64</v>
      </c>
      <c r="K360" t="s">
        <v>26</v>
      </c>
      <c r="L360" t="s">
        <v>870</v>
      </c>
      <c r="M360">
        <v>0.36</v>
      </c>
      <c r="N360" t="s">
        <v>8</v>
      </c>
      <c r="O360" t="s">
        <v>28</v>
      </c>
      <c r="P360" t="s">
        <v>60</v>
      </c>
      <c r="Q360" t="s">
        <v>869</v>
      </c>
      <c r="R360">
        <v>55429</v>
      </c>
      <c r="S360" s="1">
        <v>42035</v>
      </c>
      <c r="T360" s="1">
        <v>42042</v>
      </c>
      <c r="U360">
        <v>27.634499999999999</v>
      </c>
      <c r="V360">
        <v>8</v>
      </c>
      <c r="W360">
        <v>40.049999999999997</v>
      </c>
      <c r="X360">
        <v>86050</v>
      </c>
      <c r="Y360">
        <f>cleaneddata[[#This Row],[Unit Price]]-cleaneddata[[#This Row],[Discount]]</f>
        <v>4.9800000000000004</v>
      </c>
      <c r="Z36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61" spans="1:26" x14ac:dyDescent="0.3">
      <c r="A361">
        <v>2781</v>
      </c>
      <c r="B361" t="s">
        <v>871</v>
      </c>
      <c r="C361" t="s">
        <v>23</v>
      </c>
      <c r="D361">
        <v>0.09</v>
      </c>
      <c r="E361">
        <v>2.16</v>
      </c>
      <c r="F361">
        <v>6.05</v>
      </c>
      <c r="G361" t="s">
        <v>14</v>
      </c>
      <c r="H361" t="s">
        <v>15</v>
      </c>
      <c r="I361" t="s">
        <v>24</v>
      </c>
      <c r="J361" t="s">
        <v>48</v>
      </c>
      <c r="K361" t="s">
        <v>49</v>
      </c>
      <c r="L361" t="s">
        <v>872</v>
      </c>
      <c r="M361">
        <v>0.37</v>
      </c>
      <c r="N361" t="s">
        <v>8</v>
      </c>
      <c r="O361" t="s">
        <v>35</v>
      </c>
      <c r="P361" t="s">
        <v>115</v>
      </c>
      <c r="Q361" t="s">
        <v>873</v>
      </c>
      <c r="R361">
        <v>97071</v>
      </c>
      <c r="S361" s="1">
        <v>42035</v>
      </c>
      <c r="T361" s="1">
        <v>42039</v>
      </c>
      <c r="U361">
        <v>-37.789000000000001</v>
      </c>
      <c r="V361">
        <v>2</v>
      </c>
      <c r="W361">
        <v>5.48</v>
      </c>
      <c r="X361">
        <v>87162</v>
      </c>
      <c r="Y361">
        <f>cleaneddata[[#This Row],[Unit Price]]-cleaneddata[[#This Row],[Discount]]</f>
        <v>2.0700000000000003</v>
      </c>
      <c r="Z3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62" spans="1:26" x14ac:dyDescent="0.3">
      <c r="A362">
        <v>2781</v>
      </c>
      <c r="B362" t="s">
        <v>871</v>
      </c>
      <c r="C362" t="s">
        <v>23</v>
      </c>
      <c r="D362">
        <v>0.03</v>
      </c>
      <c r="E362">
        <v>808.49</v>
      </c>
      <c r="F362">
        <v>55.3</v>
      </c>
      <c r="G362" t="s">
        <v>2</v>
      </c>
      <c r="H362" t="s">
        <v>15</v>
      </c>
      <c r="I362" t="s">
        <v>16</v>
      </c>
      <c r="J362" t="s">
        <v>32</v>
      </c>
      <c r="K362" t="s">
        <v>33</v>
      </c>
      <c r="L362" t="s">
        <v>874</v>
      </c>
      <c r="M362">
        <v>0.4</v>
      </c>
      <c r="N362" t="s">
        <v>8</v>
      </c>
      <c r="O362" t="s">
        <v>35</v>
      </c>
      <c r="P362" t="s">
        <v>115</v>
      </c>
      <c r="Q362" t="s">
        <v>873</v>
      </c>
      <c r="R362">
        <v>97071</v>
      </c>
      <c r="S362" s="1">
        <v>42035</v>
      </c>
      <c r="T362" s="1">
        <v>42042</v>
      </c>
      <c r="U362">
        <v>7576.11</v>
      </c>
      <c r="V362">
        <v>11</v>
      </c>
      <c r="W362">
        <v>8201.33</v>
      </c>
      <c r="X362">
        <v>87162</v>
      </c>
      <c r="Y362">
        <f>cleaneddata[[#This Row],[Unit Price]]-cleaneddata[[#This Row],[Discount]]</f>
        <v>808.46</v>
      </c>
      <c r="Z3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63" spans="1:26" x14ac:dyDescent="0.3">
      <c r="A363">
        <v>2781</v>
      </c>
      <c r="B363" t="s">
        <v>871</v>
      </c>
      <c r="C363" t="s">
        <v>23</v>
      </c>
      <c r="D363">
        <v>0</v>
      </c>
      <c r="E363">
        <v>6.48</v>
      </c>
      <c r="F363">
        <v>8.19</v>
      </c>
      <c r="G363" t="s">
        <v>14</v>
      </c>
      <c r="H363" t="s">
        <v>15</v>
      </c>
      <c r="I363" t="s">
        <v>24</v>
      </c>
      <c r="J363" t="s">
        <v>64</v>
      </c>
      <c r="K363" t="s">
        <v>49</v>
      </c>
      <c r="L363" t="s">
        <v>875</v>
      </c>
      <c r="M363">
        <v>0.37</v>
      </c>
      <c r="N363" t="s">
        <v>8</v>
      </c>
      <c r="O363" t="s">
        <v>35</v>
      </c>
      <c r="P363" t="s">
        <v>115</v>
      </c>
      <c r="Q363" t="s">
        <v>873</v>
      </c>
      <c r="R363">
        <v>97071</v>
      </c>
      <c r="S363" s="1">
        <v>42035</v>
      </c>
      <c r="T363" s="1">
        <v>42042</v>
      </c>
      <c r="U363">
        <v>-43.26</v>
      </c>
      <c r="V363">
        <v>3</v>
      </c>
      <c r="W363">
        <v>22.67</v>
      </c>
      <c r="X363">
        <v>87162</v>
      </c>
      <c r="Y363">
        <f>cleaneddata[[#This Row],[Unit Price]]-cleaneddata[[#This Row],[Discount]]</f>
        <v>6.48</v>
      </c>
      <c r="Z3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64" spans="1:26" x14ac:dyDescent="0.3">
      <c r="A364">
        <v>1238</v>
      </c>
      <c r="B364" t="s">
        <v>876</v>
      </c>
      <c r="C364" t="s">
        <v>92</v>
      </c>
      <c r="D364">
        <v>0.01</v>
      </c>
      <c r="E364">
        <v>160.97999999999999</v>
      </c>
      <c r="F364">
        <v>30</v>
      </c>
      <c r="G364" t="s">
        <v>2</v>
      </c>
      <c r="H364" t="s">
        <v>70</v>
      </c>
      <c r="I364" t="s">
        <v>4</v>
      </c>
      <c r="J364" t="s">
        <v>85</v>
      </c>
      <c r="K364" t="s">
        <v>33</v>
      </c>
      <c r="L364" t="s">
        <v>868</v>
      </c>
      <c r="M364">
        <v>0.62</v>
      </c>
      <c r="N364" t="s">
        <v>8</v>
      </c>
      <c r="O364" t="s">
        <v>28</v>
      </c>
      <c r="P364" t="s">
        <v>163</v>
      </c>
      <c r="Q364" t="s">
        <v>877</v>
      </c>
      <c r="R364">
        <v>75104</v>
      </c>
      <c r="S364" s="1">
        <v>42035</v>
      </c>
      <c r="T364" s="1">
        <v>42037</v>
      </c>
      <c r="U364">
        <v>788.79</v>
      </c>
      <c r="V364">
        <v>10</v>
      </c>
      <c r="W364">
        <v>1634.67</v>
      </c>
      <c r="X364">
        <v>86075</v>
      </c>
      <c r="Y364">
        <f>cleaneddata[[#This Row],[Unit Price]]-cleaneddata[[#This Row],[Discount]]</f>
        <v>160.97</v>
      </c>
      <c r="Z3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65" spans="1:26" x14ac:dyDescent="0.3">
      <c r="A365">
        <v>911</v>
      </c>
      <c r="B365" t="s">
        <v>878</v>
      </c>
      <c r="C365" t="s">
        <v>46</v>
      </c>
      <c r="D365">
        <v>0.05</v>
      </c>
      <c r="E365">
        <v>7.64</v>
      </c>
      <c r="F365">
        <v>5.83</v>
      </c>
      <c r="G365" t="s">
        <v>14</v>
      </c>
      <c r="H365" t="s">
        <v>70</v>
      </c>
      <c r="I365" t="s">
        <v>24</v>
      </c>
      <c r="J365" t="s">
        <v>64</v>
      </c>
      <c r="K365" t="s">
        <v>26</v>
      </c>
      <c r="L365" t="s">
        <v>208</v>
      </c>
      <c r="M365">
        <v>0.36</v>
      </c>
      <c r="N365" t="s">
        <v>8</v>
      </c>
      <c r="O365" t="s">
        <v>87</v>
      </c>
      <c r="P365" t="s">
        <v>879</v>
      </c>
      <c r="Q365" t="s">
        <v>880</v>
      </c>
      <c r="R365">
        <v>26003</v>
      </c>
      <c r="S365" s="1">
        <v>42035</v>
      </c>
      <c r="T365" s="1">
        <v>42037</v>
      </c>
      <c r="U365">
        <v>-21.018000000000001</v>
      </c>
      <c r="V365">
        <v>2</v>
      </c>
      <c r="W365">
        <v>16.600000000000001</v>
      </c>
      <c r="X365">
        <v>90185</v>
      </c>
      <c r="Y365">
        <f>cleaneddata[[#This Row],[Unit Price]]-cleaneddata[[#This Row],[Discount]]</f>
        <v>7.59</v>
      </c>
      <c r="Z36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66" spans="1:26" x14ac:dyDescent="0.3">
      <c r="A366">
        <v>911</v>
      </c>
      <c r="B366" t="s">
        <v>878</v>
      </c>
      <c r="C366" t="s">
        <v>46</v>
      </c>
      <c r="D366">
        <v>0.04</v>
      </c>
      <c r="E366">
        <v>218.75</v>
      </c>
      <c r="F366">
        <v>69.64</v>
      </c>
      <c r="G366" t="s">
        <v>2</v>
      </c>
      <c r="H366" t="s">
        <v>70</v>
      </c>
      <c r="I366" t="s">
        <v>4</v>
      </c>
      <c r="J366" t="s">
        <v>5</v>
      </c>
      <c r="K366" t="s">
        <v>6</v>
      </c>
      <c r="L366" t="s">
        <v>850</v>
      </c>
      <c r="M366">
        <v>0.72</v>
      </c>
      <c r="N366" t="s">
        <v>8</v>
      </c>
      <c r="O366" t="s">
        <v>87</v>
      </c>
      <c r="P366" t="s">
        <v>879</v>
      </c>
      <c r="Q366" t="s">
        <v>880</v>
      </c>
      <c r="R366">
        <v>26003</v>
      </c>
      <c r="S366" s="1">
        <v>42035</v>
      </c>
      <c r="T366" s="1">
        <v>42036</v>
      </c>
      <c r="U366">
        <v>-655.52987499999995</v>
      </c>
      <c r="V366">
        <v>10</v>
      </c>
      <c r="W366">
        <v>2285.41</v>
      </c>
      <c r="X366">
        <v>90185</v>
      </c>
      <c r="Y366">
        <f>cleaneddata[[#This Row],[Unit Price]]-cleaneddata[[#This Row],[Discount]]</f>
        <v>218.71</v>
      </c>
      <c r="Z36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67" spans="1:26" x14ac:dyDescent="0.3">
      <c r="A367">
        <v>2137</v>
      </c>
      <c r="B367" t="s">
        <v>881</v>
      </c>
      <c r="C367" t="s">
        <v>46</v>
      </c>
      <c r="D367">
        <v>0</v>
      </c>
      <c r="E367">
        <v>6.98</v>
      </c>
      <c r="F367">
        <v>1.6</v>
      </c>
      <c r="G367" t="s">
        <v>14</v>
      </c>
      <c r="H367" t="s">
        <v>70</v>
      </c>
      <c r="I367" t="s">
        <v>24</v>
      </c>
      <c r="J367" t="s">
        <v>64</v>
      </c>
      <c r="K367" t="s">
        <v>26</v>
      </c>
      <c r="L367" t="s">
        <v>698</v>
      </c>
      <c r="M367">
        <v>0.38</v>
      </c>
      <c r="N367" t="s">
        <v>8</v>
      </c>
      <c r="O367" t="s">
        <v>9</v>
      </c>
      <c r="P367" t="s">
        <v>99</v>
      </c>
      <c r="Q367" t="s">
        <v>882</v>
      </c>
      <c r="R367">
        <v>33407</v>
      </c>
      <c r="S367" s="1">
        <v>42035</v>
      </c>
      <c r="T367" s="1">
        <v>42037</v>
      </c>
      <c r="U367">
        <v>-343.86799999999999</v>
      </c>
      <c r="V367">
        <v>9</v>
      </c>
      <c r="W367">
        <v>64.48</v>
      </c>
      <c r="X367">
        <v>86002</v>
      </c>
      <c r="Y367">
        <f>cleaneddata[[#This Row],[Unit Price]]-cleaneddata[[#This Row],[Discount]]</f>
        <v>6.98</v>
      </c>
      <c r="Z36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68" spans="1:26" x14ac:dyDescent="0.3">
      <c r="A368">
        <v>510</v>
      </c>
      <c r="B368" t="s">
        <v>437</v>
      </c>
      <c r="C368" t="s">
        <v>1</v>
      </c>
      <c r="D368">
        <v>0.03</v>
      </c>
      <c r="E368">
        <v>6.37</v>
      </c>
      <c r="F368">
        <v>5.19</v>
      </c>
      <c r="G368" t="s">
        <v>14</v>
      </c>
      <c r="H368" t="s">
        <v>70</v>
      </c>
      <c r="I368" t="s">
        <v>24</v>
      </c>
      <c r="J368" t="s">
        <v>48</v>
      </c>
      <c r="K368" t="s">
        <v>49</v>
      </c>
      <c r="L368" t="s">
        <v>883</v>
      </c>
      <c r="M368">
        <v>0.38</v>
      </c>
      <c r="N368" t="s">
        <v>8</v>
      </c>
      <c r="O368" t="s">
        <v>35</v>
      </c>
      <c r="P368" t="s">
        <v>66</v>
      </c>
      <c r="Q368" t="s">
        <v>439</v>
      </c>
      <c r="R368">
        <v>95336</v>
      </c>
      <c r="S368" s="1">
        <v>42036</v>
      </c>
      <c r="T368" s="1">
        <v>42037</v>
      </c>
      <c r="U368">
        <v>-29.092700000000001</v>
      </c>
      <c r="V368">
        <v>14</v>
      </c>
      <c r="W368">
        <v>89.79</v>
      </c>
      <c r="X368">
        <v>90059</v>
      </c>
      <c r="Y368">
        <f>cleaneddata[[#This Row],[Unit Price]]-cleaneddata[[#This Row],[Discount]]</f>
        <v>6.34</v>
      </c>
      <c r="Z3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69" spans="1:26" x14ac:dyDescent="0.3">
      <c r="A369">
        <v>2122</v>
      </c>
      <c r="B369" t="s">
        <v>884</v>
      </c>
      <c r="C369" t="s">
        <v>1</v>
      </c>
      <c r="D369">
        <v>0.06</v>
      </c>
      <c r="E369">
        <v>80.97</v>
      </c>
      <c r="F369">
        <v>33.6</v>
      </c>
      <c r="G369" t="s">
        <v>2</v>
      </c>
      <c r="H369" t="s">
        <v>15</v>
      </c>
      <c r="I369" t="s">
        <v>16</v>
      </c>
      <c r="J369" t="s">
        <v>32</v>
      </c>
      <c r="K369" t="s">
        <v>33</v>
      </c>
      <c r="L369" t="s">
        <v>885</v>
      </c>
      <c r="M369">
        <v>0.37</v>
      </c>
      <c r="N369" t="s">
        <v>8</v>
      </c>
      <c r="O369" t="s">
        <v>9</v>
      </c>
      <c r="P369" t="s">
        <v>20</v>
      </c>
      <c r="Q369" t="s">
        <v>886</v>
      </c>
      <c r="R369">
        <v>72116</v>
      </c>
      <c r="S369" s="1">
        <v>42036</v>
      </c>
      <c r="T369" s="1">
        <v>42038</v>
      </c>
      <c r="U369">
        <v>-15.1844</v>
      </c>
      <c r="V369">
        <v>10</v>
      </c>
      <c r="W369">
        <v>799.76</v>
      </c>
      <c r="X369">
        <v>89664</v>
      </c>
      <c r="Y369">
        <f>cleaneddata[[#This Row],[Unit Price]]-cleaneddata[[#This Row],[Discount]]</f>
        <v>80.91</v>
      </c>
      <c r="Z36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70" spans="1:26" x14ac:dyDescent="0.3">
      <c r="A370">
        <v>1211</v>
      </c>
      <c r="B370" t="s">
        <v>887</v>
      </c>
      <c r="C370" t="s">
        <v>23</v>
      </c>
      <c r="D370">
        <v>0.01</v>
      </c>
      <c r="E370">
        <v>3.08</v>
      </c>
      <c r="F370">
        <v>0.5</v>
      </c>
      <c r="G370" t="s">
        <v>14</v>
      </c>
      <c r="H370" t="s">
        <v>70</v>
      </c>
      <c r="I370" t="s">
        <v>24</v>
      </c>
      <c r="J370" t="s">
        <v>128</v>
      </c>
      <c r="K370" t="s">
        <v>49</v>
      </c>
      <c r="L370" t="s">
        <v>888</v>
      </c>
      <c r="M370">
        <v>0.37</v>
      </c>
      <c r="N370" t="s">
        <v>8</v>
      </c>
      <c r="O370" t="s">
        <v>28</v>
      </c>
      <c r="P370" t="s">
        <v>29</v>
      </c>
      <c r="Q370" t="s">
        <v>889</v>
      </c>
      <c r="R370">
        <v>46806</v>
      </c>
      <c r="S370" s="1">
        <v>42036</v>
      </c>
      <c r="T370" s="1">
        <v>42041</v>
      </c>
      <c r="U370">
        <v>9.0045000000000002</v>
      </c>
      <c r="V370">
        <v>4</v>
      </c>
      <c r="W370">
        <v>13.05</v>
      </c>
      <c r="X370">
        <v>88598</v>
      </c>
      <c r="Y370">
        <f>cleaneddata[[#This Row],[Unit Price]]-cleaneddata[[#This Row],[Discount]]</f>
        <v>3.0700000000000003</v>
      </c>
      <c r="Z37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71" spans="1:26" x14ac:dyDescent="0.3">
      <c r="A371">
        <v>1949</v>
      </c>
      <c r="B371" t="s">
        <v>890</v>
      </c>
      <c r="C371" t="s">
        <v>23</v>
      </c>
      <c r="D371">
        <v>0.05</v>
      </c>
      <c r="E371">
        <v>424.21</v>
      </c>
      <c r="F371">
        <v>110.2</v>
      </c>
      <c r="G371" t="s">
        <v>2</v>
      </c>
      <c r="H371" t="s">
        <v>3</v>
      </c>
      <c r="I371" t="s">
        <v>4</v>
      </c>
      <c r="J371" t="s">
        <v>5</v>
      </c>
      <c r="K371" t="s">
        <v>6</v>
      </c>
      <c r="L371" t="s">
        <v>891</v>
      </c>
      <c r="M371">
        <v>0.67</v>
      </c>
      <c r="N371" t="s">
        <v>8</v>
      </c>
      <c r="O371" t="s">
        <v>35</v>
      </c>
      <c r="P371" t="s">
        <v>253</v>
      </c>
      <c r="Q371" t="s">
        <v>892</v>
      </c>
      <c r="R371">
        <v>59715</v>
      </c>
      <c r="S371" s="1">
        <v>42036</v>
      </c>
      <c r="T371" s="1">
        <v>42040</v>
      </c>
      <c r="U371">
        <v>-213.40280000000001</v>
      </c>
      <c r="V371">
        <v>12</v>
      </c>
      <c r="W371">
        <v>4935.22</v>
      </c>
      <c r="X371">
        <v>90415</v>
      </c>
      <c r="Y371">
        <f>cleaneddata[[#This Row],[Unit Price]]-cleaneddata[[#This Row],[Discount]]</f>
        <v>424.15999999999997</v>
      </c>
      <c r="Z3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72" spans="1:26" x14ac:dyDescent="0.3">
      <c r="A372">
        <v>2071</v>
      </c>
      <c r="B372" t="s">
        <v>893</v>
      </c>
      <c r="C372" t="s">
        <v>46</v>
      </c>
      <c r="D372">
        <v>0.03</v>
      </c>
      <c r="E372">
        <v>60.98</v>
      </c>
      <c r="F372">
        <v>1.99</v>
      </c>
      <c r="G372" t="s">
        <v>14</v>
      </c>
      <c r="H372" t="s">
        <v>70</v>
      </c>
      <c r="I372" t="s">
        <v>16</v>
      </c>
      <c r="J372" t="s">
        <v>17</v>
      </c>
      <c r="K372" t="s">
        <v>18</v>
      </c>
      <c r="L372" t="s">
        <v>894</v>
      </c>
      <c r="M372">
        <v>0.5</v>
      </c>
      <c r="N372" t="s">
        <v>8</v>
      </c>
      <c r="O372" t="s">
        <v>28</v>
      </c>
      <c r="P372" t="s">
        <v>265</v>
      </c>
      <c r="Q372" t="s">
        <v>895</v>
      </c>
      <c r="R372">
        <v>48336</v>
      </c>
      <c r="S372" s="1">
        <v>42036</v>
      </c>
      <c r="T372" s="1">
        <v>42036</v>
      </c>
      <c r="U372">
        <v>976.2672</v>
      </c>
      <c r="V372">
        <v>23</v>
      </c>
      <c r="W372">
        <v>1414.88</v>
      </c>
      <c r="X372">
        <v>88555</v>
      </c>
      <c r="Y372">
        <f>cleaneddata[[#This Row],[Unit Price]]-cleaneddata[[#This Row],[Discount]]</f>
        <v>60.949999999999996</v>
      </c>
      <c r="Z3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73" spans="1:26" x14ac:dyDescent="0.3">
      <c r="A373">
        <v>2071</v>
      </c>
      <c r="B373" t="s">
        <v>893</v>
      </c>
      <c r="C373" t="s">
        <v>46</v>
      </c>
      <c r="D373">
        <v>0.04</v>
      </c>
      <c r="E373">
        <v>3.08</v>
      </c>
      <c r="F373">
        <v>0.99</v>
      </c>
      <c r="G373" t="s">
        <v>14</v>
      </c>
      <c r="H373" t="s">
        <v>70</v>
      </c>
      <c r="I373" t="s">
        <v>24</v>
      </c>
      <c r="J373" t="s">
        <v>128</v>
      </c>
      <c r="K373" t="s">
        <v>49</v>
      </c>
      <c r="L373" t="s">
        <v>634</v>
      </c>
      <c r="M373">
        <v>0.37</v>
      </c>
      <c r="N373" t="s">
        <v>8</v>
      </c>
      <c r="O373" t="s">
        <v>28</v>
      </c>
      <c r="P373" t="s">
        <v>265</v>
      </c>
      <c r="Q373" t="s">
        <v>895</v>
      </c>
      <c r="R373">
        <v>48336</v>
      </c>
      <c r="S373" s="1">
        <v>42036</v>
      </c>
      <c r="T373" s="1">
        <v>42037</v>
      </c>
      <c r="U373">
        <v>23.204699999999999</v>
      </c>
      <c r="V373">
        <v>11</v>
      </c>
      <c r="W373">
        <v>33.630000000000003</v>
      </c>
      <c r="X373">
        <v>88555</v>
      </c>
      <c r="Y373">
        <f>cleaneddata[[#This Row],[Unit Price]]-cleaneddata[[#This Row],[Discount]]</f>
        <v>3.04</v>
      </c>
      <c r="Z3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74" spans="1:26" x14ac:dyDescent="0.3">
      <c r="A374">
        <v>2072</v>
      </c>
      <c r="B374" t="s">
        <v>896</v>
      </c>
      <c r="C374" t="s">
        <v>46</v>
      </c>
      <c r="D374">
        <v>0</v>
      </c>
      <c r="E374">
        <v>10.31</v>
      </c>
      <c r="F374">
        <v>1.79</v>
      </c>
      <c r="G374" t="s">
        <v>14</v>
      </c>
      <c r="H374" t="s">
        <v>70</v>
      </c>
      <c r="I374" t="s">
        <v>24</v>
      </c>
      <c r="J374" t="s">
        <v>64</v>
      </c>
      <c r="K374" t="s">
        <v>26</v>
      </c>
      <c r="L374" t="s">
        <v>897</v>
      </c>
      <c r="M374">
        <v>0.38</v>
      </c>
      <c r="N374" t="s">
        <v>8</v>
      </c>
      <c r="O374" t="s">
        <v>28</v>
      </c>
      <c r="P374" t="s">
        <v>265</v>
      </c>
      <c r="Q374" t="s">
        <v>898</v>
      </c>
      <c r="R374">
        <v>48505</v>
      </c>
      <c r="S374" s="1">
        <v>42036</v>
      </c>
      <c r="T374" s="1">
        <v>42038</v>
      </c>
      <c r="U374">
        <v>167.46299999999999</v>
      </c>
      <c r="V374">
        <v>23</v>
      </c>
      <c r="W374">
        <v>242.7</v>
      </c>
      <c r="X374">
        <v>88555</v>
      </c>
      <c r="Y374">
        <f>cleaneddata[[#This Row],[Unit Price]]-cleaneddata[[#This Row],[Discount]]</f>
        <v>10.31</v>
      </c>
      <c r="Z3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75" spans="1:26" x14ac:dyDescent="0.3">
      <c r="A375">
        <v>397</v>
      </c>
      <c r="B375" t="s">
        <v>899</v>
      </c>
      <c r="C375" t="s">
        <v>1</v>
      </c>
      <c r="D375">
        <v>0.1</v>
      </c>
      <c r="E375">
        <v>154.13</v>
      </c>
      <c r="F375">
        <v>69</v>
      </c>
      <c r="G375" t="s">
        <v>14</v>
      </c>
      <c r="H375" t="s">
        <v>70</v>
      </c>
      <c r="I375" t="s">
        <v>4</v>
      </c>
      <c r="J375" t="s">
        <v>5</v>
      </c>
      <c r="K375" t="s">
        <v>40</v>
      </c>
      <c r="L375" t="s">
        <v>900</v>
      </c>
      <c r="M375">
        <v>0.68</v>
      </c>
      <c r="N375" t="s">
        <v>8</v>
      </c>
      <c r="O375" t="s">
        <v>87</v>
      </c>
      <c r="P375" t="s">
        <v>293</v>
      </c>
      <c r="Q375" t="s">
        <v>901</v>
      </c>
      <c r="R375">
        <v>44221</v>
      </c>
      <c r="S375" s="1">
        <v>42037</v>
      </c>
      <c r="T375" s="1">
        <v>42038</v>
      </c>
      <c r="U375">
        <v>-372.48597100000001</v>
      </c>
      <c r="V375">
        <v>8</v>
      </c>
      <c r="W375">
        <v>1216.32</v>
      </c>
      <c r="X375">
        <v>89319</v>
      </c>
      <c r="Y375">
        <f>cleaneddata[[#This Row],[Unit Price]]-cleaneddata[[#This Row],[Discount]]</f>
        <v>154.03</v>
      </c>
      <c r="Z37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76" spans="1:26" x14ac:dyDescent="0.3">
      <c r="A376">
        <v>2555</v>
      </c>
      <c r="B376" t="s">
        <v>331</v>
      </c>
      <c r="C376" t="s">
        <v>1</v>
      </c>
      <c r="D376">
        <v>0</v>
      </c>
      <c r="E376">
        <v>12.97</v>
      </c>
      <c r="F376">
        <v>1.49</v>
      </c>
      <c r="G376" t="s">
        <v>14</v>
      </c>
      <c r="H376" t="s">
        <v>47</v>
      </c>
      <c r="I376" t="s">
        <v>24</v>
      </c>
      <c r="J376" t="s">
        <v>48</v>
      </c>
      <c r="K376" t="s">
        <v>49</v>
      </c>
      <c r="L376" t="s">
        <v>902</v>
      </c>
      <c r="M376">
        <v>0.35</v>
      </c>
      <c r="N376" t="s">
        <v>8</v>
      </c>
      <c r="O376" t="s">
        <v>28</v>
      </c>
      <c r="P376" t="s">
        <v>333</v>
      </c>
      <c r="Q376" t="s">
        <v>334</v>
      </c>
      <c r="R376">
        <v>53711</v>
      </c>
      <c r="S376" s="1">
        <v>42037</v>
      </c>
      <c r="T376" s="1">
        <v>42038</v>
      </c>
      <c r="U376">
        <v>180.23490000000001</v>
      </c>
      <c r="V376">
        <v>19</v>
      </c>
      <c r="W376">
        <v>261.20999999999998</v>
      </c>
      <c r="X376">
        <v>86529</v>
      </c>
      <c r="Y376">
        <f>cleaneddata[[#This Row],[Unit Price]]-cleaneddata[[#This Row],[Discount]]</f>
        <v>12.97</v>
      </c>
      <c r="Z37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77" spans="1:26" x14ac:dyDescent="0.3">
      <c r="A377">
        <v>2555</v>
      </c>
      <c r="B377" t="s">
        <v>331</v>
      </c>
      <c r="C377" t="s">
        <v>1</v>
      </c>
      <c r="D377">
        <v>0.06</v>
      </c>
      <c r="E377">
        <v>4.91</v>
      </c>
      <c r="F377">
        <v>0.5</v>
      </c>
      <c r="G377" t="s">
        <v>14</v>
      </c>
      <c r="H377" t="s">
        <v>47</v>
      </c>
      <c r="I377" t="s">
        <v>24</v>
      </c>
      <c r="J377" t="s">
        <v>128</v>
      </c>
      <c r="K377" t="s">
        <v>49</v>
      </c>
      <c r="L377" t="s">
        <v>553</v>
      </c>
      <c r="M377">
        <v>0.36</v>
      </c>
      <c r="N377" t="s">
        <v>8</v>
      </c>
      <c r="O377" t="s">
        <v>28</v>
      </c>
      <c r="P377" t="s">
        <v>333</v>
      </c>
      <c r="Q377" t="s">
        <v>334</v>
      </c>
      <c r="R377">
        <v>53711</v>
      </c>
      <c r="S377" s="1">
        <v>42037</v>
      </c>
      <c r="T377" s="1">
        <v>42037</v>
      </c>
      <c r="U377">
        <v>29.525099999999998</v>
      </c>
      <c r="V377">
        <v>9</v>
      </c>
      <c r="W377">
        <v>42.79</v>
      </c>
      <c r="X377">
        <v>86529</v>
      </c>
      <c r="Y377">
        <f>cleaneddata[[#This Row],[Unit Price]]-cleaneddata[[#This Row],[Discount]]</f>
        <v>4.8500000000000005</v>
      </c>
      <c r="Z37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78" spans="1:26" x14ac:dyDescent="0.3">
      <c r="A378">
        <v>68</v>
      </c>
      <c r="B378" t="s">
        <v>84</v>
      </c>
      <c r="C378" t="s">
        <v>13</v>
      </c>
      <c r="D378">
        <v>0.09</v>
      </c>
      <c r="E378">
        <v>122.99</v>
      </c>
      <c r="F378">
        <v>70.2</v>
      </c>
      <c r="G378" t="s">
        <v>2</v>
      </c>
      <c r="H378" t="s">
        <v>70</v>
      </c>
      <c r="I378" t="s">
        <v>4</v>
      </c>
      <c r="J378" t="s">
        <v>85</v>
      </c>
      <c r="K378" t="s">
        <v>33</v>
      </c>
      <c r="L378" t="s">
        <v>780</v>
      </c>
      <c r="M378">
        <v>0.74</v>
      </c>
      <c r="N378" t="s">
        <v>8</v>
      </c>
      <c r="O378" t="s">
        <v>87</v>
      </c>
      <c r="P378" t="s">
        <v>88</v>
      </c>
      <c r="Q378" t="s">
        <v>89</v>
      </c>
      <c r="R378">
        <v>10177</v>
      </c>
      <c r="S378" s="1">
        <v>42037</v>
      </c>
      <c r="T378" s="1">
        <v>42039</v>
      </c>
      <c r="U378">
        <v>-2426.5500000000002</v>
      </c>
      <c r="V378">
        <v>49</v>
      </c>
      <c r="W378">
        <v>5718.85</v>
      </c>
      <c r="X378">
        <v>55713</v>
      </c>
      <c r="Y378">
        <f>cleaneddata[[#This Row],[Unit Price]]-cleaneddata[[#This Row],[Discount]]</f>
        <v>122.89999999999999</v>
      </c>
      <c r="Z37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79" spans="1:26" x14ac:dyDescent="0.3">
      <c r="A379">
        <v>70</v>
      </c>
      <c r="B379" t="s">
        <v>903</v>
      </c>
      <c r="C379" t="s">
        <v>13</v>
      </c>
      <c r="D379">
        <v>0.09</v>
      </c>
      <c r="E379">
        <v>122.99</v>
      </c>
      <c r="F379">
        <v>70.2</v>
      </c>
      <c r="G379" t="s">
        <v>2</v>
      </c>
      <c r="H379" t="s">
        <v>70</v>
      </c>
      <c r="I379" t="s">
        <v>4</v>
      </c>
      <c r="J379" t="s">
        <v>85</v>
      </c>
      <c r="K379" t="s">
        <v>33</v>
      </c>
      <c r="L379" t="s">
        <v>780</v>
      </c>
      <c r="M379">
        <v>0.74</v>
      </c>
      <c r="N379" t="s">
        <v>8</v>
      </c>
      <c r="O379" t="s">
        <v>87</v>
      </c>
      <c r="P379" t="s">
        <v>609</v>
      </c>
      <c r="Q379" t="s">
        <v>904</v>
      </c>
      <c r="R379">
        <v>5401</v>
      </c>
      <c r="S379" s="1">
        <v>42037</v>
      </c>
      <c r="T379" s="1">
        <v>42039</v>
      </c>
      <c r="U379">
        <v>-2426.5500000000002</v>
      </c>
      <c r="V379">
        <v>12</v>
      </c>
      <c r="W379">
        <v>1400.53</v>
      </c>
      <c r="X379">
        <v>87947</v>
      </c>
      <c r="Y379">
        <f>cleaneddata[[#This Row],[Unit Price]]-cleaneddata[[#This Row],[Discount]]</f>
        <v>122.89999999999999</v>
      </c>
      <c r="Z37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80" spans="1:26" x14ac:dyDescent="0.3">
      <c r="A380">
        <v>894</v>
      </c>
      <c r="B380" t="s">
        <v>348</v>
      </c>
      <c r="C380" t="s">
        <v>23</v>
      </c>
      <c r="D380">
        <v>0.02</v>
      </c>
      <c r="E380">
        <v>1.1399999999999999</v>
      </c>
      <c r="F380">
        <v>0.7</v>
      </c>
      <c r="G380" t="s">
        <v>14</v>
      </c>
      <c r="H380" t="s">
        <v>70</v>
      </c>
      <c r="I380" t="s">
        <v>24</v>
      </c>
      <c r="J380" t="s">
        <v>152</v>
      </c>
      <c r="K380" t="s">
        <v>26</v>
      </c>
      <c r="L380" t="s">
        <v>800</v>
      </c>
      <c r="M380">
        <v>0.38</v>
      </c>
      <c r="N380" t="s">
        <v>8</v>
      </c>
      <c r="O380" t="s">
        <v>87</v>
      </c>
      <c r="P380" t="s">
        <v>350</v>
      </c>
      <c r="Q380" t="s">
        <v>42</v>
      </c>
      <c r="R380">
        <v>20024</v>
      </c>
      <c r="S380" s="1">
        <v>42037</v>
      </c>
      <c r="T380" s="1">
        <v>42037</v>
      </c>
      <c r="U380">
        <v>-0.49</v>
      </c>
      <c r="V380">
        <v>38</v>
      </c>
      <c r="W380">
        <v>44.85</v>
      </c>
      <c r="X380">
        <v>38529</v>
      </c>
      <c r="Y380">
        <f>cleaneddata[[#This Row],[Unit Price]]-cleaneddata[[#This Row],[Discount]]</f>
        <v>1.1199999999999999</v>
      </c>
      <c r="Z38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81" spans="1:26" x14ac:dyDescent="0.3">
      <c r="A381">
        <v>2498</v>
      </c>
      <c r="B381" t="s">
        <v>905</v>
      </c>
      <c r="C381" t="s">
        <v>92</v>
      </c>
      <c r="D381">
        <v>0.09</v>
      </c>
      <c r="E381">
        <v>6.28</v>
      </c>
      <c r="F381">
        <v>5.41</v>
      </c>
      <c r="G381" t="s">
        <v>14</v>
      </c>
      <c r="H381" t="s">
        <v>3</v>
      </c>
      <c r="I381" t="s">
        <v>4</v>
      </c>
      <c r="J381" t="s">
        <v>102</v>
      </c>
      <c r="K381" t="s">
        <v>49</v>
      </c>
      <c r="L381" t="s">
        <v>906</v>
      </c>
      <c r="M381">
        <v>0.53</v>
      </c>
      <c r="N381" t="s">
        <v>8</v>
      </c>
      <c r="O381" t="s">
        <v>35</v>
      </c>
      <c r="P381" t="s">
        <v>66</v>
      </c>
      <c r="Q381" t="s">
        <v>866</v>
      </c>
      <c r="R381">
        <v>92024</v>
      </c>
      <c r="S381" s="1">
        <v>42037</v>
      </c>
      <c r="T381" s="1">
        <v>42039</v>
      </c>
      <c r="U381">
        <v>-61.59</v>
      </c>
      <c r="V381">
        <v>56</v>
      </c>
      <c r="W381">
        <v>355.4</v>
      </c>
      <c r="X381">
        <v>54567</v>
      </c>
      <c r="Y381">
        <f>cleaneddata[[#This Row],[Unit Price]]-cleaneddata[[#This Row],[Discount]]</f>
        <v>6.19</v>
      </c>
      <c r="Z3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82" spans="1:26" x14ac:dyDescent="0.3">
      <c r="A382">
        <v>2500</v>
      </c>
      <c r="B382" t="s">
        <v>907</v>
      </c>
      <c r="C382" t="s">
        <v>92</v>
      </c>
      <c r="D382">
        <v>0.09</v>
      </c>
      <c r="E382">
        <v>6.28</v>
      </c>
      <c r="F382">
        <v>5.41</v>
      </c>
      <c r="G382" t="s">
        <v>14</v>
      </c>
      <c r="H382" t="s">
        <v>3</v>
      </c>
      <c r="I382" t="s">
        <v>4</v>
      </c>
      <c r="J382" t="s">
        <v>102</v>
      </c>
      <c r="K382" t="s">
        <v>49</v>
      </c>
      <c r="L382" t="s">
        <v>906</v>
      </c>
      <c r="M382">
        <v>0.53</v>
      </c>
      <c r="N382" t="s">
        <v>8</v>
      </c>
      <c r="O382" t="s">
        <v>28</v>
      </c>
      <c r="P382" t="s">
        <v>79</v>
      </c>
      <c r="Q382" t="s">
        <v>908</v>
      </c>
      <c r="R382">
        <v>60102</v>
      </c>
      <c r="S382" s="1">
        <v>42037</v>
      </c>
      <c r="T382" s="1">
        <v>42039</v>
      </c>
      <c r="U382">
        <v>-32.026800000000001</v>
      </c>
      <c r="V382">
        <v>14</v>
      </c>
      <c r="W382">
        <v>88.85</v>
      </c>
      <c r="X382">
        <v>88320</v>
      </c>
      <c r="Y382">
        <f>cleaneddata[[#This Row],[Unit Price]]-cleaneddata[[#This Row],[Discount]]</f>
        <v>6.19</v>
      </c>
      <c r="Z38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83" spans="1:26" x14ac:dyDescent="0.3">
      <c r="A383">
        <v>84</v>
      </c>
      <c r="B383" t="s">
        <v>909</v>
      </c>
      <c r="C383" t="s">
        <v>46</v>
      </c>
      <c r="D383">
        <v>0</v>
      </c>
      <c r="E383">
        <v>8.09</v>
      </c>
      <c r="F383">
        <v>7.96</v>
      </c>
      <c r="G383" t="s">
        <v>14</v>
      </c>
      <c r="H383" t="s">
        <v>15</v>
      </c>
      <c r="I383" t="s">
        <v>4</v>
      </c>
      <c r="J383" t="s">
        <v>102</v>
      </c>
      <c r="K383" t="s">
        <v>49</v>
      </c>
      <c r="L383" t="s">
        <v>498</v>
      </c>
      <c r="M383">
        <v>0.49</v>
      </c>
      <c r="N383" t="s">
        <v>8</v>
      </c>
      <c r="O383" t="s">
        <v>87</v>
      </c>
      <c r="P383" t="s">
        <v>293</v>
      </c>
      <c r="Q383" t="s">
        <v>910</v>
      </c>
      <c r="R383">
        <v>45231</v>
      </c>
      <c r="S383" s="1">
        <v>42037</v>
      </c>
      <c r="T383" s="1">
        <v>42038</v>
      </c>
      <c r="U383">
        <v>-144.56</v>
      </c>
      <c r="V383">
        <v>11</v>
      </c>
      <c r="W383">
        <v>90.98</v>
      </c>
      <c r="X383">
        <v>87364</v>
      </c>
      <c r="Y383">
        <f>cleaneddata[[#This Row],[Unit Price]]-cleaneddata[[#This Row],[Discount]]</f>
        <v>8.09</v>
      </c>
      <c r="Z38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84" spans="1:26" x14ac:dyDescent="0.3">
      <c r="A384">
        <v>1412</v>
      </c>
      <c r="B384" t="s">
        <v>911</v>
      </c>
      <c r="C384" t="s">
        <v>46</v>
      </c>
      <c r="D384">
        <v>0.08</v>
      </c>
      <c r="E384">
        <v>3.38</v>
      </c>
      <c r="F384">
        <v>0.85</v>
      </c>
      <c r="G384" t="s">
        <v>14</v>
      </c>
      <c r="H384" t="s">
        <v>70</v>
      </c>
      <c r="I384" t="s">
        <v>24</v>
      </c>
      <c r="J384" t="s">
        <v>25</v>
      </c>
      <c r="K384" t="s">
        <v>26</v>
      </c>
      <c r="L384" t="s">
        <v>912</v>
      </c>
      <c r="M384">
        <v>0.48</v>
      </c>
      <c r="N384" t="s">
        <v>8</v>
      </c>
      <c r="O384" t="s">
        <v>35</v>
      </c>
      <c r="P384" t="s">
        <v>66</v>
      </c>
      <c r="Q384" t="s">
        <v>913</v>
      </c>
      <c r="R384">
        <v>94043</v>
      </c>
      <c r="S384" s="1">
        <v>42037</v>
      </c>
      <c r="T384" s="1">
        <v>42039</v>
      </c>
      <c r="U384">
        <v>20.453600000000002</v>
      </c>
      <c r="V384">
        <v>12</v>
      </c>
      <c r="W384">
        <v>38.81</v>
      </c>
      <c r="X384">
        <v>87087</v>
      </c>
      <c r="Y384">
        <f>cleaneddata[[#This Row],[Unit Price]]-cleaneddata[[#This Row],[Discount]]</f>
        <v>3.3</v>
      </c>
      <c r="Z38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85" spans="1:26" x14ac:dyDescent="0.3">
      <c r="A385">
        <v>1413</v>
      </c>
      <c r="B385" t="s">
        <v>914</v>
      </c>
      <c r="C385" t="s">
        <v>46</v>
      </c>
      <c r="D385">
        <v>0.02</v>
      </c>
      <c r="E385">
        <v>16.48</v>
      </c>
      <c r="F385">
        <v>1.99</v>
      </c>
      <c r="G385" t="s">
        <v>63</v>
      </c>
      <c r="H385" t="s">
        <v>70</v>
      </c>
      <c r="I385" t="s">
        <v>16</v>
      </c>
      <c r="J385" t="s">
        <v>17</v>
      </c>
      <c r="K385" t="s">
        <v>18</v>
      </c>
      <c r="L385" t="s">
        <v>577</v>
      </c>
      <c r="M385">
        <v>0.42</v>
      </c>
      <c r="N385" t="s">
        <v>8</v>
      </c>
      <c r="O385" t="s">
        <v>87</v>
      </c>
      <c r="P385" t="s">
        <v>379</v>
      </c>
      <c r="Q385" t="s">
        <v>764</v>
      </c>
      <c r="R385">
        <v>2113</v>
      </c>
      <c r="S385" s="1">
        <v>42037</v>
      </c>
      <c r="T385" s="1">
        <v>42039</v>
      </c>
      <c r="U385">
        <v>69.61</v>
      </c>
      <c r="V385">
        <v>27</v>
      </c>
      <c r="W385">
        <v>484.56</v>
      </c>
      <c r="X385">
        <v>45539</v>
      </c>
      <c r="Y385">
        <f>cleaneddata[[#This Row],[Unit Price]]-cleaneddata[[#This Row],[Discount]]</f>
        <v>16.46</v>
      </c>
      <c r="Z38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386" spans="1:26" x14ac:dyDescent="0.3">
      <c r="A386">
        <v>3196</v>
      </c>
      <c r="B386" t="s">
        <v>915</v>
      </c>
      <c r="C386" t="s">
        <v>46</v>
      </c>
      <c r="D386">
        <v>0.03</v>
      </c>
      <c r="E386">
        <v>200.97</v>
      </c>
      <c r="F386">
        <v>15.59</v>
      </c>
      <c r="G386" t="s">
        <v>2</v>
      </c>
      <c r="H386" t="s">
        <v>47</v>
      </c>
      <c r="I386" t="s">
        <v>16</v>
      </c>
      <c r="J386" t="s">
        <v>32</v>
      </c>
      <c r="K386" t="s">
        <v>33</v>
      </c>
      <c r="L386" t="s">
        <v>916</v>
      </c>
      <c r="M386">
        <v>0.36</v>
      </c>
      <c r="N386" t="s">
        <v>8</v>
      </c>
      <c r="O386" t="s">
        <v>35</v>
      </c>
      <c r="P386" t="s">
        <v>66</v>
      </c>
      <c r="Q386" t="s">
        <v>917</v>
      </c>
      <c r="R386">
        <v>94109</v>
      </c>
      <c r="S386" s="1">
        <v>42037</v>
      </c>
      <c r="T386" s="1">
        <v>42038</v>
      </c>
      <c r="U386">
        <v>1951.3</v>
      </c>
      <c r="V386">
        <v>43</v>
      </c>
      <c r="W386">
        <v>8717.75</v>
      </c>
      <c r="X386">
        <v>24294</v>
      </c>
      <c r="Y386">
        <f>cleaneddata[[#This Row],[Unit Price]]-cleaneddata[[#This Row],[Discount]]</f>
        <v>200.94</v>
      </c>
      <c r="Z38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87" spans="1:26" x14ac:dyDescent="0.3">
      <c r="A387">
        <v>3197</v>
      </c>
      <c r="B387" t="s">
        <v>918</v>
      </c>
      <c r="C387" t="s">
        <v>46</v>
      </c>
      <c r="D387">
        <v>0.03</v>
      </c>
      <c r="E387">
        <v>200.97</v>
      </c>
      <c r="F387">
        <v>15.59</v>
      </c>
      <c r="G387" t="s">
        <v>2</v>
      </c>
      <c r="H387" t="s">
        <v>47</v>
      </c>
      <c r="I387" t="s">
        <v>16</v>
      </c>
      <c r="J387" t="s">
        <v>32</v>
      </c>
      <c r="K387" t="s">
        <v>33</v>
      </c>
      <c r="L387" t="s">
        <v>916</v>
      </c>
      <c r="M387">
        <v>0.36</v>
      </c>
      <c r="N387" t="s">
        <v>8</v>
      </c>
      <c r="O387" t="s">
        <v>28</v>
      </c>
      <c r="P387" t="s">
        <v>79</v>
      </c>
      <c r="Q387" t="s">
        <v>919</v>
      </c>
      <c r="R387">
        <v>60062</v>
      </c>
      <c r="S387" s="1">
        <v>42037</v>
      </c>
      <c r="T387" s="1">
        <v>42038</v>
      </c>
      <c r="U387">
        <v>1538.7828</v>
      </c>
      <c r="V387">
        <v>11</v>
      </c>
      <c r="W387">
        <v>2230.12</v>
      </c>
      <c r="X387">
        <v>90850</v>
      </c>
      <c r="Y387">
        <f>cleaneddata[[#This Row],[Unit Price]]-cleaneddata[[#This Row],[Discount]]</f>
        <v>200.94</v>
      </c>
      <c r="Z3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88" spans="1:26" x14ac:dyDescent="0.3">
      <c r="A388">
        <v>2486</v>
      </c>
      <c r="B388" t="s">
        <v>920</v>
      </c>
      <c r="C388" t="s">
        <v>23</v>
      </c>
      <c r="D388">
        <v>0</v>
      </c>
      <c r="E388">
        <v>180.98</v>
      </c>
      <c r="F388">
        <v>30</v>
      </c>
      <c r="G388" t="s">
        <v>2</v>
      </c>
      <c r="H388" t="s">
        <v>3</v>
      </c>
      <c r="I388" t="s">
        <v>4</v>
      </c>
      <c r="J388" t="s">
        <v>85</v>
      </c>
      <c r="K388" t="s">
        <v>33</v>
      </c>
      <c r="L388" t="s">
        <v>921</v>
      </c>
      <c r="M388">
        <v>0.69</v>
      </c>
      <c r="N388" t="s">
        <v>8</v>
      </c>
      <c r="O388" t="s">
        <v>9</v>
      </c>
      <c r="P388" t="s">
        <v>51</v>
      </c>
      <c r="Q388" t="s">
        <v>922</v>
      </c>
      <c r="R388">
        <v>30458</v>
      </c>
      <c r="S388" s="1">
        <v>42038</v>
      </c>
      <c r="T388" s="1">
        <v>42040</v>
      </c>
      <c r="U388">
        <v>9.2040000000000006</v>
      </c>
      <c r="V388">
        <v>11</v>
      </c>
      <c r="W388">
        <v>2084.16</v>
      </c>
      <c r="X388">
        <v>91416</v>
      </c>
      <c r="Y388">
        <f>cleaneddata[[#This Row],[Unit Price]]-cleaneddata[[#This Row],[Discount]]</f>
        <v>180.98</v>
      </c>
      <c r="Z3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89" spans="1:26" x14ac:dyDescent="0.3">
      <c r="A389">
        <v>3053</v>
      </c>
      <c r="B389" t="s">
        <v>923</v>
      </c>
      <c r="C389" t="s">
        <v>92</v>
      </c>
      <c r="D389">
        <v>0.06</v>
      </c>
      <c r="E389">
        <v>125.99</v>
      </c>
      <c r="F389">
        <v>2.5</v>
      </c>
      <c r="G389" t="s">
        <v>14</v>
      </c>
      <c r="H389" t="s">
        <v>70</v>
      </c>
      <c r="I389" t="s">
        <v>16</v>
      </c>
      <c r="J389" t="s">
        <v>111</v>
      </c>
      <c r="K389" t="s">
        <v>49</v>
      </c>
      <c r="L389" t="s">
        <v>924</v>
      </c>
      <c r="M389">
        <v>0.6</v>
      </c>
      <c r="N389" t="s">
        <v>8</v>
      </c>
      <c r="O389" t="s">
        <v>9</v>
      </c>
      <c r="P389" t="s">
        <v>364</v>
      </c>
      <c r="Q389" t="s">
        <v>925</v>
      </c>
      <c r="R389">
        <v>42071</v>
      </c>
      <c r="S389" s="1">
        <v>42038</v>
      </c>
      <c r="T389" s="1">
        <v>42040</v>
      </c>
      <c r="U389">
        <v>402.06599999999997</v>
      </c>
      <c r="V389">
        <v>11</v>
      </c>
      <c r="W389">
        <v>1173.76</v>
      </c>
      <c r="X389">
        <v>86662</v>
      </c>
      <c r="Y389">
        <f>cleaneddata[[#This Row],[Unit Price]]-cleaneddata[[#This Row],[Discount]]</f>
        <v>125.92999999999999</v>
      </c>
      <c r="Z3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390" spans="1:26" x14ac:dyDescent="0.3">
      <c r="A390">
        <v>603</v>
      </c>
      <c r="B390" t="s">
        <v>926</v>
      </c>
      <c r="C390" t="s">
        <v>46</v>
      </c>
      <c r="D390">
        <v>0.02</v>
      </c>
      <c r="E390">
        <v>35.99</v>
      </c>
      <c r="F390">
        <v>5</v>
      </c>
      <c r="G390" t="s">
        <v>14</v>
      </c>
      <c r="H390" t="s">
        <v>47</v>
      </c>
      <c r="I390" t="s">
        <v>16</v>
      </c>
      <c r="J390" t="s">
        <v>111</v>
      </c>
      <c r="K390" t="s">
        <v>49</v>
      </c>
      <c r="L390" t="s">
        <v>927</v>
      </c>
      <c r="M390">
        <v>0.85</v>
      </c>
      <c r="N390" t="s">
        <v>8</v>
      </c>
      <c r="O390" t="s">
        <v>35</v>
      </c>
      <c r="P390" t="s">
        <v>36</v>
      </c>
      <c r="Q390" t="s">
        <v>928</v>
      </c>
      <c r="R390">
        <v>81001</v>
      </c>
      <c r="S390" s="1">
        <v>42038</v>
      </c>
      <c r="T390" s="1">
        <v>42040</v>
      </c>
      <c r="U390">
        <v>-120.934</v>
      </c>
      <c r="V390">
        <v>7</v>
      </c>
      <c r="W390">
        <v>227.79</v>
      </c>
      <c r="X390">
        <v>87020</v>
      </c>
      <c r="Y390">
        <f>cleaneddata[[#This Row],[Unit Price]]-cleaneddata[[#This Row],[Discount]]</f>
        <v>35.97</v>
      </c>
      <c r="Z39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91" spans="1:26" x14ac:dyDescent="0.3">
      <c r="A391">
        <v>3151</v>
      </c>
      <c r="B391" t="s">
        <v>929</v>
      </c>
      <c r="C391" t="s">
        <v>1</v>
      </c>
      <c r="D391">
        <v>0.01</v>
      </c>
      <c r="E391">
        <v>3502.14</v>
      </c>
      <c r="F391">
        <v>8.73</v>
      </c>
      <c r="G391" t="s">
        <v>2</v>
      </c>
      <c r="H391" t="s">
        <v>70</v>
      </c>
      <c r="I391" t="s">
        <v>16</v>
      </c>
      <c r="J391" t="s">
        <v>32</v>
      </c>
      <c r="K391" t="s">
        <v>6</v>
      </c>
      <c r="L391" t="s">
        <v>817</v>
      </c>
      <c r="M391">
        <v>0.56999999999999995</v>
      </c>
      <c r="N391" t="s">
        <v>8</v>
      </c>
      <c r="O391" t="s">
        <v>35</v>
      </c>
      <c r="P391" t="s">
        <v>66</v>
      </c>
      <c r="Q391" t="s">
        <v>930</v>
      </c>
      <c r="R391">
        <v>92277</v>
      </c>
      <c r="S391" s="1">
        <v>42039</v>
      </c>
      <c r="T391" s="1">
        <v>42040</v>
      </c>
      <c r="U391">
        <v>-4075.9339920000002</v>
      </c>
      <c r="V391">
        <v>1</v>
      </c>
      <c r="W391">
        <v>3501.79</v>
      </c>
      <c r="X391">
        <v>88544</v>
      </c>
      <c r="Y391">
        <f>cleaneddata[[#This Row],[Unit Price]]-cleaneddata[[#This Row],[Discount]]</f>
        <v>3502.1299999999997</v>
      </c>
      <c r="Z39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92" spans="1:26" x14ac:dyDescent="0.3">
      <c r="A392">
        <v>3151</v>
      </c>
      <c r="B392" t="s">
        <v>929</v>
      </c>
      <c r="C392" t="s">
        <v>1</v>
      </c>
      <c r="D392">
        <v>0.06</v>
      </c>
      <c r="E392">
        <v>15.73</v>
      </c>
      <c r="F392">
        <v>7.42</v>
      </c>
      <c r="G392" t="s">
        <v>14</v>
      </c>
      <c r="H392" t="s">
        <v>70</v>
      </c>
      <c r="I392" t="s">
        <v>24</v>
      </c>
      <c r="J392" t="s">
        <v>544</v>
      </c>
      <c r="K392" t="s">
        <v>18</v>
      </c>
      <c r="L392" t="s">
        <v>931</v>
      </c>
      <c r="M392">
        <v>0.56000000000000005</v>
      </c>
      <c r="N392" t="s">
        <v>8</v>
      </c>
      <c r="O392" t="s">
        <v>35</v>
      </c>
      <c r="P392" t="s">
        <v>66</v>
      </c>
      <c r="Q392" t="s">
        <v>930</v>
      </c>
      <c r="R392">
        <v>92277</v>
      </c>
      <c r="S392" s="1">
        <v>42039</v>
      </c>
      <c r="T392" s="1">
        <v>42040</v>
      </c>
      <c r="U392">
        <v>-18.558800000000002</v>
      </c>
      <c r="V392">
        <v>4</v>
      </c>
      <c r="W392">
        <v>63.04</v>
      </c>
      <c r="X392">
        <v>88544</v>
      </c>
      <c r="Y392">
        <f>cleaneddata[[#This Row],[Unit Price]]-cleaneddata[[#This Row],[Discount]]</f>
        <v>15.67</v>
      </c>
      <c r="Z39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93" spans="1:26" x14ac:dyDescent="0.3">
      <c r="A393">
        <v>3351</v>
      </c>
      <c r="B393" t="s">
        <v>932</v>
      </c>
      <c r="C393" t="s">
        <v>1</v>
      </c>
      <c r="D393">
        <v>0.1</v>
      </c>
      <c r="E393">
        <v>10.89</v>
      </c>
      <c r="F393">
        <v>4.5</v>
      </c>
      <c r="G393" t="s">
        <v>14</v>
      </c>
      <c r="H393" t="s">
        <v>3</v>
      </c>
      <c r="I393" t="s">
        <v>24</v>
      </c>
      <c r="J393" t="s">
        <v>71</v>
      </c>
      <c r="K393" t="s">
        <v>49</v>
      </c>
      <c r="L393" t="s">
        <v>749</v>
      </c>
      <c r="M393">
        <v>0.59</v>
      </c>
      <c r="N393" t="s">
        <v>8</v>
      </c>
      <c r="O393" t="s">
        <v>35</v>
      </c>
      <c r="P393" t="s">
        <v>42</v>
      </c>
      <c r="Q393" t="s">
        <v>933</v>
      </c>
      <c r="R393">
        <v>99301</v>
      </c>
      <c r="S393" s="1">
        <v>42039</v>
      </c>
      <c r="T393" s="1">
        <v>42041</v>
      </c>
      <c r="U393">
        <v>-19.2972</v>
      </c>
      <c r="V393">
        <v>17</v>
      </c>
      <c r="W393">
        <v>178.68</v>
      </c>
      <c r="X393">
        <v>91297</v>
      </c>
      <c r="Y393">
        <f>cleaneddata[[#This Row],[Unit Price]]-cleaneddata[[#This Row],[Discount]]</f>
        <v>10.790000000000001</v>
      </c>
      <c r="Z39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94" spans="1:26" x14ac:dyDescent="0.3">
      <c r="A394">
        <v>960</v>
      </c>
      <c r="B394" t="s">
        <v>934</v>
      </c>
      <c r="C394" t="s">
        <v>23</v>
      </c>
      <c r="D394">
        <v>0.03</v>
      </c>
      <c r="E394">
        <v>2.94</v>
      </c>
      <c r="F394">
        <v>0.96</v>
      </c>
      <c r="G394" t="s">
        <v>14</v>
      </c>
      <c r="H394" t="s">
        <v>47</v>
      </c>
      <c r="I394" t="s">
        <v>24</v>
      </c>
      <c r="J394" t="s">
        <v>25</v>
      </c>
      <c r="K394" t="s">
        <v>26</v>
      </c>
      <c r="L394" t="s">
        <v>805</v>
      </c>
      <c r="M394">
        <v>0.57999999999999996</v>
      </c>
      <c r="N394" t="s">
        <v>8</v>
      </c>
      <c r="O394" t="s">
        <v>35</v>
      </c>
      <c r="P394" t="s">
        <v>66</v>
      </c>
      <c r="Q394" t="s">
        <v>935</v>
      </c>
      <c r="R394">
        <v>90278</v>
      </c>
      <c r="S394" s="1">
        <v>42039</v>
      </c>
      <c r="T394" s="1">
        <v>42043</v>
      </c>
      <c r="U394">
        <v>-4.2</v>
      </c>
      <c r="V394">
        <v>1</v>
      </c>
      <c r="W394">
        <v>3.51</v>
      </c>
      <c r="X394">
        <v>89401</v>
      </c>
      <c r="Y394">
        <f>cleaneddata[[#This Row],[Unit Price]]-cleaneddata[[#This Row],[Discount]]</f>
        <v>2.91</v>
      </c>
      <c r="Z39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395" spans="1:26" x14ac:dyDescent="0.3">
      <c r="A395">
        <v>962</v>
      </c>
      <c r="B395" t="s">
        <v>936</v>
      </c>
      <c r="C395" t="s">
        <v>23</v>
      </c>
      <c r="D395">
        <v>0.03</v>
      </c>
      <c r="E395">
        <v>2.94</v>
      </c>
      <c r="F395">
        <v>0.96</v>
      </c>
      <c r="G395" t="s">
        <v>14</v>
      </c>
      <c r="H395" t="s">
        <v>47</v>
      </c>
      <c r="I395" t="s">
        <v>24</v>
      </c>
      <c r="J395" t="s">
        <v>25</v>
      </c>
      <c r="K395" t="s">
        <v>26</v>
      </c>
      <c r="L395" t="s">
        <v>805</v>
      </c>
      <c r="M395">
        <v>0.57999999999999996</v>
      </c>
      <c r="N395" t="s">
        <v>8</v>
      </c>
      <c r="O395" t="s">
        <v>28</v>
      </c>
      <c r="P395" t="s">
        <v>79</v>
      </c>
      <c r="Q395" t="s">
        <v>509</v>
      </c>
      <c r="R395">
        <v>60610</v>
      </c>
      <c r="S395" s="1">
        <v>42039</v>
      </c>
      <c r="T395" s="1">
        <v>42043</v>
      </c>
      <c r="U395">
        <v>-4.2</v>
      </c>
      <c r="V395">
        <v>2</v>
      </c>
      <c r="W395">
        <v>7.01</v>
      </c>
      <c r="X395">
        <v>17636</v>
      </c>
      <c r="Y395">
        <f>cleaneddata[[#This Row],[Unit Price]]-cleaneddata[[#This Row],[Discount]]</f>
        <v>2.91</v>
      </c>
      <c r="Z3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96" spans="1:26" x14ac:dyDescent="0.3">
      <c r="A396">
        <v>1213</v>
      </c>
      <c r="B396" t="s">
        <v>495</v>
      </c>
      <c r="C396" t="s">
        <v>23</v>
      </c>
      <c r="D396">
        <v>7.0000000000000007E-2</v>
      </c>
      <c r="E396">
        <v>29.89</v>
      </c>
      <c r="F396">
        <v>1.99</v>
      </c>
      <c r="G396" t="s">
        <v>63</v>
      </c>
      <c r="H396" t="s">
        <v>70</v>
      </c>
      <c r="I396" t="s">
        <v>16</v>
      </c>
      <c r="J396" t="s">
        <v>17</v>
      </c>
      <c r="K396" t="s">
        <v>18</v>
      </c>
      <c r="L396" t="s">
        <v>419</v>
      </c>
      <c r="M396">
        <v>0.5</v>
      </c>
      <c r="N396" t="s">
        <v>8</v>
      </c>
      <c r="O396" t="s">
        <v>28</v>
      </c>
      <c r="P396" t="s">
        <v>29</v>
      </c>
      <c r="Q396" t="s">
        <v>496</v>
      </c>
      <c r="R396">
        <v>46530</v>
      </c>
      <c r="S396" s="1">
        <v>42039</v>
      </c>
      <c r="T396" s="1">
        <v>42044</v>
      </c>
      <c r="U396">
        <v>258.6189</v>
      </c>
      <c r="V396">
        <v>13</v>
      </c>
      <c r="W396">
        <v>374.81</v>
      </c>
      <c r="X396">
        <v>88599</v>
      </c>
      <c r="Y396">
        <f>cleaneddata[[#This Row],[Unit Price]]-cleaneddata[[#This Row],[Discount]]</f>
        <v>29.82</v>
      </c>
      <c r="Z39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97" spans="1:26" x14ac:dyDescent="0.3">
      <c r="A397">
        <v>1213</v>
      </c>
      <c r="B397" t="s">
        <v>495</v>
      </c>
      <c r="C397" t="s">
        <v>23</v>
      </c>
      <c r="D397">
        <v>0.03</v>
      </c>
      <c r="E397">
        <v>8.34</v>
      </c>
      <c r="F397">
        <v>4.82</v>
      </c>
      <c r="G397" t="s">
        <v>14</v>
      </c>
      <c r="H397" t="s">
        <v>70</v>
      </c>
      <c r="I397" t="s">
        <v>24</v>
      </c>
      <c r="J397" t="s">
        <v>64</v>
      </c>
      <c r="K397" t="s">
        <v>49</v>
      </c>
      <c r="L397" t="s">
        <v>937</v>
      </c>
      <c r="M397">
        <v>0.4</v>
      </c>
      <c r="N397" t="s">
        <v>8</v>
      </c>
      <c r="O397" t="s">
        <v>28</v>
      </c>
      <c r="P397" t="s">
        <v>29</v>
      </c>
      <c r="Q397" t="s">
        <v>496</v>
      </c>
      <c r="R397">
        <v>46530</v>
      </c>
      <c r="S397" s="1">
        <v>42039</v>
      </c>
      <c r="T397" s="1">
        <v>42043</v>
      </c>
      <c r="U397">
        <v>-6.71</v>
      </c>
      <c r="V397">
        <v>5</v>
      </c>
      <c r="W397">
        <v>43.27</v>
      </c>
      <c r="X397">
        <v>88599</v>
      </c>
      <c r="Y397">
        <f>cleaneddata[[#This Row],[Unit Price]]-cleaneddata[[#This Row],[Discount]]</f>
        <v>8.31</v>
      </c>
      <c r="Z39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98" spans="1:26" x14ac:dyDescent="0.3">
      <c r="A398">
        <v>2203</v>
      </c>
      <c r="B398" t="s">
        <v>158</v>
      </c>
      <c r="C398" t="s">
        <v>23</v>
      </c>
      <c r="D398">
        <v>0.08</v>
      </c>
      <c r="E398">
        <v>145.44999999999999</v>
      </c>
      <c r="F398">
        <v>17.850000000000001</v>
      </c>
      <c r="G398" t="s">
        <v>2</v>
      </c>
      <c r="H398" t="s">
        <v>47</v>
      </c>
      <c r="I398" t="s">
        <v>16</v>
      </c>
      <c r="J398" t="s">
        <v>32</v>
      </c>
      <c r="K398" t="s">
        <v>33</v>
      </c>
      <c r="L398" t="s">
        <v>186</v>
      </c>
      <c r="M398">
        <v>0.56000000000000005</v>
      </c>
      <c r="N398" t="s">
        <v>8</v>
      </c>
      <c r="O398" t="s">
        <v>28</v>
      </c>
      <c r="P398" t="s">
        <v>60</v>
      </c>
      <c r="Q398" t="s">
        <v>160</v>
      </c>
      <c r="R398">
        <v>55445</v>
      </c>
      <c r="S398" s="1">
        <v>42039</v>
      </c>
      <c r="T398" s="1">
        <v>42039</v>
      </c>
      <c r="U398">
        <v>751.58</v>
      </c>
      <c r="V398">
        <v>8</v>
      </c>
      <c r="W398">
        <v>1117.6600000000001</v>
      </c>
      <c r="X398">
        <v>86051</v>
      </c>
      <c r="Y398">
        <f>cleaneddata[[#This Row],[Unit Price]]-cleaneddata[[#This Row],[Discount]]</f>
        <v>145.36999999999998</v>
      </c>
      <c r="Z39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399" spans="1:26" x14ac:dyDescent="0.3">
      <c r="A399">
        <v>2204</v>
      </c>
      <c r="B399" t="s">
        <v>938</v>
      </c>
      <c r="C399" t="s">
        <v>23</v>
      </c>
      <c r="D399">
        <v>7.0000000000000007E-2</v>
      </c>
      <c r="E399">
        <v>33.94</v>
      </c>
      <c r="F399">
        <v>19.190000000000001</v>
      </c>
      <c r="G399" t="s">
        <v>2</v>
      </c>
      <c r="H399" t="s">
        <v>47</v>
      </c>
      <c r="I399" t="s">
        <v>4</v>
      </c>
      <c r="J399" t="s">
        <v>85</v>
      </c>
      <c r="K399" t="s">
        <v>33</v>
      </c>
      <c r="L399" t="s">
        <v>178</v>
      </c>
      <c r="M399">
        <v>0.57999999999999996</v>
      </c>
      <c r="N399" t="s">
        <v>8</v>
      </c>
      <c r="O399" t="s">
        <v>28</v>
      </c>
      <c r="P399" t="s">
        <v>60</v>
      </c>
      <c r="Q399" t="s">
        <v>939</v>
      </c>
      <c r="R399">
        <v>55337</v>
      </c>
      <c r="S399" s="1">
        <v>42039</v>
      </c>
      <c r="T399" s="1">
        <v>42043</v>
      </c>
      <c r="U399">
        <v>-157.56</v>
      </c>
      <c r="V399">
        <v>5</v>
      </c>
      <c r="W399">
        <v>169.46</v>
      </c>
      <c r="X399">
        <v>86051</v>
      </c>
      <c r="Y399">
        <f>cleaneddata[[#This Row],[Unit Price]]-cleaneddata[[#This Row],[Discount]]</f>
        <v>33.869999999999997</v>
      </c>
      <c r="Z39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00" spans="1:26" x14ac:dyDescent="0.3">
      <c r="A400">
        <v>689</v>
      </c>
      <c r="B400" t="s">
        <v>940</v>
      </c>
      <c r="C400" t="s">
        <v>92</v>
      </c>
      <c r="D400">
        <v>7.0000000000000007E-2</v>
      </c>
      <c r="E400">
        <v>1.7</v>
      </c>
      <c r="F400">
        <v>1.99</v>
      </c>
      <c r="G400" t="s">
        <v>14</v>
      </c>
      <c r="H400" t="s">
        <v>3</v>
      </c>
      <c r="I400" t="s">
        <v>16</v>
      </c>
      <c r="J400" t="s">
        <v>17</v>
      </c>
      <c r="K400" t="s">
        <v>18</v>
      </c>
      <c r="L400" t="s">
        <v>260</v>
      </c>
      <c r="M400">
        <v>0.51</v>
      </c>
      <c r="N400" t="s">
        <v>8</v>
      </c>
      <c r="O400" t="s">
        <v>28</v>
      </c>
      <c r="P400" t="s">
        <v>56</v>
      </c>
      <c r="Q400" t="s">
        <v>941</v>
      </c>
      <c r="R400">
        <v>63376</v>
      </c>
      <c r="S400" s="1">
        <v>42039</v>
      </c>
      <c r="T400" s="1">
        <v>42040</v>
      </c>
      <c r="U400">
        <v>-51.42</v>
      </c>
      <c r="V400">
        <v>10</v>
      </c>
      <c r="W400">
        <v>17.420000000000002</v>
      </c>
      <c r="X400">
        <v>88502</v>
      </c>
      <c r="Y400">
        <f>cleaneddata[[#This Row],[Unit Price]]-cleaneddata[[#This Row],[Discount]]</f>
        <v>1.63</v>
      </c>
      <c r="Z4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01" spans="1:26" x14ac:dyDescent="0.3">
      <c r="A401">
        <v>1363</v>
      </c>
      <c r="B401" t="s">
        <v>942</v>
      </c>
      <c r="C401" t="s">
        <v>92</v>
      </c>
      <c r="D401">
        <v>0.05</v>
      </c>
      <c r="E401">
        <v>12.97</v>
      </c>
      <c r="F401">
        <v>1.49</v>
      </c>
      <c r="G401" t="s">
        <v>14</v>
      </c>
      <c r="H401" t="s">
        <v>15</v>
      </c>
      <c r="I401" t="s">
        <v>24</v>
      </c>
      <c r="J401" t="s">
        <v>48</v>
      </c>
      <c r="K401" t="s">
        <v>49</v>
      </c>
      <c r="L401" t="s">
        <v>902</v>
      </c>
      <c r="M401">
        <v>0.35</v>
      </c>
      <c r="N401" t="s">
        <v>8</v>
      </c>
      <c r="O401" t="s">
        <v>9</v>
      </c>
      <c r="P401" t="s">
        <v>99</v>
      </c>
      <c r="Q401" t="s">
        <v>943</v>
      </c>
      <c r="R401">
        <v>32707</v>
      </c>
      <c r="S401" s="1">
        <v>42039</v>
      </c>
      <c r="T401" s="1">
        <v>42041</v>
      </c>
      <c r="U401">
        <v>5.4660000000000002</v>
      </c>
      <c r="V401">
        <v>2</v>
      </c>
      <c r="W401">
        <v>26.37</v>
      </c>
      <c r="X401">
        <v>89993</v>
      </c>
      <c r="Y401">
        <f>cleaneddata[[#This Row],[Unit Price]]-cleaneddata[[#This Row],[Discount]]</f>
        <v>12.92</v>
      </c>
      <c r="Z40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2" spans="1:26" x14ac:dyDescent="0.3">
      <c r="A402">
        <v>1363</v>
      </c>
      <c r="B402" t="s">
        <v>942</v>
      </c>
      <c r="C402" t="s">
        <v>92</v>
      </c>
      <c r="D402">
        <v>0.06</v>
      </c>
      <c r="E402">
        <v>5.81</v>
      </c>
      <c r="F402">
        <v>3.37</v>
      </c>
      <c r="G402" t="s">
        <v>14</v>
      </c>
      <c r="H402" t="s">
        <v>15</v>
      </c>
      <c r="I402" t="s">
        <v>24</v>
      </c>
      <c r="J402" t="s">
        <v>152</v>
      </c>
      <c r="K402" t="s">
        <v>26</v>
      </c>
      <c r="L402" t="s">
        <v>944</v>
      </c>
      <c r="M402">
        <v>0.54</v>
      </c>
      <c r="N402" t="s">
        <v>8</v>
      </c>
      <c r="O402" t="s">
        <v>9</v>
      </c>
      <c r="P402" t="s">
        <v>99</v>
      </c>
      <c r="Q402" t="s">
        <v>943</v>
      </c>
      <c r="R402">
        <v>32707</v>
      </c>
      <c r="S402" s="1">
        <v>42039</v>
      </c>
      <c r="T402" s="1">
        <v>42041</v>
      </c>
      <c r="U402">
        <v>-149.1182</v>
      </c>
      <c r="V402">
        <v>9</v>
      </c>
      <c r="W402">
        <v>53.44</v>
      </c>
      <c r="X402">
        <v>89993</v>
      </c>
      <c r="Y402">
        <f>cleaneddata[[#This Row],[Unit Price]]-cleaneddata[[#This Row],[Discount]]</f>
        <v>5.75</v>
      </c>
      <c r="Z40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3" spans="1:26" x14ac:dyDescent="0.3">
      <c r="A403">
        <v>1499</v>
      </c>
      <c r="B403" t="s">
        <v>945</v>
      </c>
      <c r="C403" t="s">
        <v>92</v>
      </c>
      <c r="D403">
        <v>0.05</v>
      </c>
      <c r="E403">
        <v>2.16</v>
      </c>
      <c r="F403">
        <v>6.05</v>
      </c>
      <c r="G403" t="s">
        <v>14</v>
      </c>
      <c r="H403" t="s">
        <v>47</v>
      </c>
      <c r="I403" t="s">
        <v>24</v>
      </c>
      <c r="J403" t="s">
        <v>48</v>
      </c>
      <c r="K403" t="s">
        <v>49</v>
      </c>
      <c r="L403" t="s">
        <v>872</v>
      </c>
      <c r="M403">
        <v>0.37</v>
      </c>
      <c r="N403" t="s">
        <v>8</v>
      </c>
      <c r="O403" t="s">
        <v>9</v>
      </c>
      <c r="P403" t="s">
        <v>99</v>
      </c>
      <c r="Q403" t="s">
        <v>946</v>
      </c>
      <c r="R403">
        <v>33134</v>
      </c>
      <c r="S403" s="1">
        <v>42039</v>
      </c>
      <c r="T403" s="1">
        <v>42040</v>
      </c>
      <c r="U403">
        <v>-298.88600000000002</v>
      </c>
      <c r="V403">
        <v>8</v>
      </c>
      <c r="W403">
        <v>18.59</v>
      </c>
      <c r="X403">
        <v>90731</v>
      </c>
      <c r="Y403">
        <f>cleaneddata[[#This Row],[Unit Price]]-cleaneddata[[#This Row],[Discount]]</f>
        <v>2.1100000000000003</v>
      </c>
      <c r="Z40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4" spans="1:26" x14ac:dyDescent="0.3">
      <c r="A404">
        <v>1499</v>
      </c>
      <c r="B404" t="s">
        <v>945</v>
      </c>
      <c r="C404" t="s">
        <v>92</v>
      </c>
      <c r="D404">
        <v>0.03</v>
      </c>
      <c r="E404">
        <v>6.48</v>
      </c>
      <c r="F404">
        <v>6.6</v>
      </c>
      <c r="G404" t="s">
        <v>14</v>
      </c>
      <c r="H404" t="s">
        <v>47</v>
      </c>
      <c r="I404" t="s">
        <v>24</v>
      </c>
      <c r="J404" t="s">
        <v>64</v>
      </c>
      <c r="K404" t="s">
        <v>49</v>
      </c>
      <c r="L404" t="s">
        <v>624</v>
      </c>
      <c r="M404">
        <v>0.37</v>
      </c>
      <c r="N404" t="s">
        <v>8</v>
      </c>
      <c r="O404" t="s">
        <v>9</v>
      </c>
      <c r="P404" t="s">
        <v>99</v>
      </c>
      <c r="Q404" t="s">
        <v>946</v>
      </c>
      <c r="R404">
        <v>33134</v>
      </c>
      <c r="S404" s="1">
        <v>42039</v>
      </c>
      <c r="T404" s="1">
        <v>42040</v>
      </c>
      <c r="U404">
        <v>-145.852</v>
      </c>
      <c r="V404">
        <v>9</v>
      </c>
      <c r="W404">
        <v>58.83</v>
      </c>
      <c r="X404">
        <v>90731</v>
      </c>
      <c r="Y404">
        <f>cleaneddata[[#This Row],[Unit Price]]-cleaneddata[[#This Row],[Discount]]</f>
        <v>6.45</v>
      </c>
      <c r="Z40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5" spans="1:26" x14ac:dyDescent="0.3">
      <c r="A405">
        <v>1499</v>
      </c>
      <c r="B405" t="s">
        <v>945</v>
      </c>
      <c r="C405" t="s">
        <v>92</v>
      </c>
      <c r="D405">
        <v>0.08</v>
      </c>
      <c r="E405">
        <v>146.05000000000001</v>
      </c>
      <c r="F405">
        <v>80.2</v>
      </c>
      <c r="G405" t="s">
        <v>2</v>
      </c>
      <c r="H405" t="s">
        <v>47</v>
      </c>
      <c r="I405" t="s">
        <v>4</v>
      </c>
      <c r="J405" t="s">
        <v>5</v>
      </c>
      <c r="K405" t="s">
        <v>6</v>
      </c>
      <c r="L405" t="s">
        <v>947</v>
      </c>
      <c r="M405">
        <v>0.71</v>
      </c>
      <c r="N405" t="s">
        <v>8</v>
      </c>
      <c r="O405" t="s">
        <v>9</v>
      </c>
      <c r="P405" t="s">
        <v>99</v>
      </c>
      <c r="Q405" t="s">
        <v>946</v>
      </c>
      <c r="R405">
        <v>33134</v>
      </c>
      <c r="S405" s="1">
        <v>42039</v>
      </c>
      <c r="T405" s="1">
        <v>42040</v>
      </c>
      <c r="U405">
        <v>-27.951000000000001</v>
      </c>
      <c r="V405">
        <v>11</v>
      </c>
      <c r="W405">
        <v>1557.66</v>
      </c>
      <c r="X405">
        <v>90731</v>
      </c>
      <c r="Y405">
        <f>cleaneddata[[#This Row],[Unit Price]]-cleaneddata[[#This Row],[Discount]]</f>
        <v>145.97</v>
      </c>
      <c r="Z40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6" spans="1:26" x14ac:dyDescent="0.3">
      <c r="A406">
        <v>2286</v>
      </c>
      <c r="B406" t="s">
        <v>948</v>
      </c>
      <c r="C406" t="s">
        <v>92</v>
      </c>
      <c r="D406">
        <v>0</v>
      </c>
      <c r="E406">
        <v>4.91</v>
      </c>
      <c r="F406">
        <v>0.5</v>
      </c>
      <c r="G406" t="s">
        <v>14</v>
      </c>
      <c r="H406" t="s">
        <v>70</v>
      </c>
      <c r="I406" t="s">
        <v>24</v>
      </c>
      <c r="J406" t="s">
        <v>128</v>
      </c>
      <c r="K406" t="s">
        <v>49</v>
      </c>
      <c r="L406" t="s">
        <v>949</v>
      </c>
      <c r="M406">
        <v>0.36</v>
      </c>
      <c r="N406" t="s">
        <v>8</v>
      </c>
      <c r="O406" t="s">
        <v>9</v>
      </c>
      <c r="P406" t="s">
        <v>247</v>
      </c>
      <c r="Q406" t="s">
        <v>950</v>
      </c>
      <c r="R406">
        <v>29301</v>
      </c>
      <c r="S406" s="1">
        <v>42039</v>
      </c>
      <c r="T406" s="1">
        <v>42041</v>
      </c>
      <c r="U406">
        <v>99.197999999999993</v>
      </c>
      <c r="V406">
        <v>12</v>
      </c>
      <c r="W406">
        <v>61.87</v>
      </c>
      <c r="X406">
        <v>90145</v>
      </c>
      <c r="Y406">
        <f>cleaneddata[[#This Row],[Unit Price]]-cleaneddata[[#This Row],[Discount]]</f>
        <v>4.91</v>
      </c>
      <c r="Z40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7" spans="1:26" x14ac:dyDescent="0.3">
      <c r="A407">
        <v>2286</v>
      </c>
      <c r="B407" t="s">
        <v>948</v>
      </c>
      <c r="C407" t="s">
        <v>92</v>
      </c>
      <c r="D407">
        <v>0.01</v>
      </c>
      <c r="E407">
        <v>7.28</v>
      </c>
      <c r="F407">
        <v>11.15</v>
      </c>
      <c r="G407" t="s">
        <v>14</v>
      </c>
      <c r="H407" t="s">
        <v>70</v>
      </c>
      <c r="I407" t="s">
        <v>24</v>
      </c>
      <c r="J407" t="s">
        <v>64</v>
      </c>
      <c r="K407" t="s">
        <v>49</v>
      </c>
      <c r="L407" t="s">
        <v>951</v>
      </c>
      <c r="M407">
        <v>0.37</v>
      </c>
      <c r="N407" t="s">
        <v>8</v>
      </c>
      <c r="O407" t="s">
        <v>9</v>
      </c>
      <c r="P407" t="s">
        <v>247</v>
      </c>
      <c r="Q407" t="s">
        <v>950</v>
      </c>
      <c r="R407">
        <v>29301</v>
      </c>
      <c r="S407" s="1">
        <v>42039</v>
      </c>
      <c r="T407" s="1">
        <v>42040</v>
      </c>
      <c r="U407">
        <v>136.03139999999999</v>
      </c>
      <c r="V407">
        <v>6</v>
      </c>
      <c r="W407">
        <v>48.88</v>
      </c>
      <c r="X407">
        <v>90145</v>
      </c>
      <c r="Y407">
        <f>cleaneddata[[#This Row],[Unit Price]]-cleaneddata[[#This Row],[Discount]]</f>
        <v>7.2700000000000005</v>
      </c>
      <c r="Z4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8" spans="1:26" x14ac:dyDescent="0.3">
      <c r="A408">
        <v>2286</v>
      </c>
      <c r="B408" t="s">
        <v>948</v>
      </c>
      <c r="C408" t="s">
        <v>92</v>
      </c>
      <c r="D408">
        <v>0.1</v>
      </c>
      <c r="E408">
        <v>6.68</v>
      </c>
      <c r="F408">
        <v>6.93</v>
      </c>
      <c r="G408" t="s">
        <v>14</v>
      </c>
      <c r="H408" t="s">
        <v>70</v>
      </c>
      <c r="I408" t="s">
        <v>24</v>
      </c>
      <c r="J408" t="s">
        <v>64</v>
      </c>
      <c r="K408" t="s">
        <v>49</v>
      </c>
      <c r="L408" t="s">
        <v>952</v>
      </c>
      <c r="M408">
        <v>0.37</v>
      </c>
      <c r="N408" t="s">
        <v>8</v>
      </c>
      <c r="O408" t="s">
        <v>9</v>
      </c>
      <c r="P408" t="s">
        <v>247</v>
      </c>
      <c r="Q408" t="s">
        <v>950</v>
      </c>
      <c r="R408">
        <v>29301</v>
      </c>
      <c r="S408" s="1">
        <v>42039</v>
      </c>
      <c r="T408" s="1">
        <v>42042</v>
      </c>
      <c r="U408">
        <v>-100.072</v>
      </c>
      <c r="V408">
        <v>3</v>
      </c>
      <c r="W408">
        <v>21.56</v>
      </c>
      <c r="X408">
        <v>90145</v>
      </c>
      <c r="Y408">
        <f>cleaneddata[[#This Row],[Unit Price]]-cleaneddata[[#This Row],[Discount]]</f>
        <v>6.58</v>
      </c>
      <c r="Z4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09" spans="1:26" x14ac:dyDescent="0.3">
      <c r="A409">
        <v>2290</v>
      </c>
      <c r="B409" t="s">
        <v>255</v>
      </c>
      <c r="C409" t="s">
        <v>92</v>
      </c>
      <c r="D409">
        <v>7.0000000000000007E-2</v>
      </c>
      <c r="E409">
        <v>80.98</v>
      </c>
      <c r="F409">
        <v>7.18</v>
      </c>
      <c r="G409" t="s">
        <v>14</v>
      </c>
      <c r="H409" t="s">
        <v>70</v>
      </c>
      <c r="I409" t="s">
        <v>16</v>
      </c>
      <c r="J409" t="s">
        <v>17</v>
      </c>
      <c r="K409" t="s">
        <v>49</v>
      </c>
      <c r="L409" t="s">
        <v>953</v>
      </c>
      <c r="M409">
        <v>0.48</v>
      </c>
      <c r="N409" t="s">
        <v>8</v>
      </c>
      <c r="O409" t="s">
        <v>28</v>
      </c>
      <c r="P409" t="s">
        <v>60</v>
      </c>
      <c r="Q409" t="s">
        <v>257</v>
      </c>
      <c r="R409">
        <v>55433</v>
      </c>
      <c r="S409" s="1">
        <v>42039</v>
      </c>
      <c r="T409" s="1">
        <v>42041</v>
      </c>
      <c r="U409">
        <v>779.47230000000002</v>
      </c>
      <c r="V409">
        <v>15</v>
      </c>
      <c r="W409">
        <v>1129.67</v>
      </c>
      <c r="X409">
        <v>88164</v>
      </c>
      <c r="Y409">
        <f>cleaneddata[[#This Row],[Unit Price]]-cleaneddata[[#This Row],[Discount]]</f>
        <v>80.910000000000011</v>
      </c>
      <c r="Z4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0" spans="1:26" x14ac:dyDescent="0.3">
      <c r="A410">
        <v>3042</v>
      </c>
      <c r="B410" t="s">
        <v>954</v>
      </c>
      <c r="C410" t="s">
        <v>92</v>
      </c>
      <c r="D410">
        <v>7.0000000000000007E-2</v>
      </c>
      <c r="E410">
        <v>14.48</v>
      </c>
      <c r="F410">
        <v>6.46</v>
      </c>
      <c r="G410" t="s">
        <v>14</v>
      </c>
      <c r="H410" t="s">
        <v>3</v>
      </c>
      <c r="I410" t="s">
        <v>24</v>
      </c>
      <c r="J410" t="s">
        <v>48</v>
      </c>
      <c r="K410" t="s">
        <v>49</v>
      </c>
      <c r="L410" t="s">
        <v>955</v>
      </c>
      <c r="M410">
        <v>0.38</v>
      </c>
      <c r="N410" t="s">
        <v>8</v>
      </c>
      <c r="O410" t="s">
        <v>28</v>
      </c>
      <c r="P410" t="s">
        <v>513</v>
      </c>
      <c r="Q410" t="s">
        <v>956</v>
      </c>
      <c r="R410">
        <v>67501</v>
      </c>
      <c r="S410" s="1">
        <v>42039</v>
      </c>
      <c r="T410" s="1">
        <v>42040</v>
      </c>
      <c r="U410">
        <v>67.864000000000004</v>
      </c>
      <c r="V410">
        <v>12</v>
      </c>
      <c r="W410">
        <v>171.33</v>
      </c>
      <c r="X410">
        <v>86101</v>
      </c>
      <c r="Y410">
        <f>cleaneddata[[#This Row],[Unit Price]]-cleaneddata[[#This Row],[Discount]]</f>
        <v>14.41</v>
      </c>
      <c r="Z4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1" spans="1:26" x14ac:dyDescent="0.3">
      <c r="A411">
        <v>1776</v>
      </c>
      <c r="B411" t="s">
        <v>957</v>
      </c>
      <c r="C411" t="s">
        <v>46</v>
      </c>
      <c r="D411">
        <v>0.08</v>
      </c>
      <c r="E411">
        <v>5.78</v>
      </c>
      <c r="F411">
        <v>5.67</v>
      </c>
      <c r="G411" t="s">
        <v>14</v>
      </c>
      <c r="H411" t="s">
        <v>15</v>
      </c>
      <c r="I411" t="s">
        <v>24</v>
      </c>
      <c r="J411" t="s">
        <v>64</v>
      </c>
      <c r="K411" t="s">
        <v>49</v>
      </c>
      <c r="L411" t="s">
        <v>591</v>
      </c>
      <c r="M411">
        <v>0.36</v>
      </c>
      <c r="N411" t="s">
        <v>8</v>
      </c>
      <c r="O411" t="s">
        <v>28</v>
      </c>
      <c r="P411" t="s">
        <v>29</v>
      </c>
      <c r="Q411" t="s">
        <v>958</v>
      </c>
      <c r="R411">
        <v>47802</v>
      </c>
      <c r="S411" s="1">
        <v>42039</v>
      </c>
      <c r="T411" s="1">
        <v>42040</v>
      </c>
      <c r="U411">
        <v>-53.898000000000003</v>
      </c>
      <c r="V411">
        <v>19</v>
      </c>
      <c r="W411">
        <v>106.57</v>
      </c>
      <c r="X411">
        <v>89941</v>
      </c>
      <c r="Y411">
        <f>cleaneddata[[#This Row],[Unit Price]]-cleaneddata[[#This Row],[Discount]]</f>
        <v>5.7</v>
      </c>
      <c r="Z41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2" spans="1:26" x14ac:dyDescent="0.3">
      <c r="A412">
        <v>2947</v>
      </c>
      <c r="B412" t="s">
        <v>959</v>
      </c>
      <c r="C412" t="s">
        <v>46</v>
      </c>
      <c r="D412">
        <v>0.01</v>
      </c>
      <c r="E412">
        <v>7.64</v>
      </c>
      <c r="F412">
        <v>1.39</v>
      </c>
      <c r="G412" t="s">
        <v>14</v>
      </c>
      <c r="H412" t="s">
        <v>15</v>
      </c>
      <c r="I412" t="s">
        <v>24</v>
      </c>
      <c r="J412" t="s">
        <v>321</v>
      </c>
      <c r="K412" t="s">
        <v>49</v>
      </c>
      <c r="L412" t="s">
        <v>584</v>
      </c>
      <c r="M412">
        <v>0.36</v>
      </c>
      <c r="N412" t="s">
        <v>8</v>
      </c>
      <c r="O412" t="s">
        <v>87</v>
      </c>
      <c r="P412" t="s">
        <v>88</v>
      </c>
      <c r="Q412" t="s">
        <v>960</v>
      </c>
      <c r="R412">
        <v>14043</v>
      </c>
      <c r="S412" s="1">
        <v>42039</v>
      </c>
      <c r="T412" s="1">
        <v>42042</v>
      </c>
      <c r="U412">
        <v>112.1181</v>
      </c>
      <c r="V412">
        <v>20</v>
      </c>
      <c r="W412">
        <v>162.49</v>
      </c>
      <c r="X412">
        <v>87511</v>
      </c>
      <c r="Y412">
        <f>cleaneddata[[#This Row],[Unit Price]]-cleaneddata[[#This Row],[Discount]]</f>
        <v>7.63</v>
      </c>
      <c r="Z41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13" spans="1:26" x14ac:dyDescent="0.3">
      <c r="A413">
        <v>234</v>
      </c>
      <c r="B413" t="s">
        <v>961</v>
      </c>
      <c r="C413" t="s">
        <v>1</v>
      </c>
      <c r="D413">
        <v>0.06</v>
      </c>
      <c r="E413">
        <v>279.81</v>
      </c>
      <c r="F413">
        <v>23.19</v>
      </c>
      <c r="G413" t="s">
        <v>2</v>
      </c>
      <c r="H413" t="s">
        <v>3</v>
      </c>
      <c r="I413" t="s">
        <v>24</v>
      </c>
      <c r="J413" t="s">
        <v>71</v>
      </c>
      <c r="K413" t="s">
        <v>33</v>
      </c>
      <c r="L413" t="s">
        <v>962</v>
      </c>
      <c r="M413">
        <v>0.59</v>
      </c>
      <c r="N413" t="s">
        <v>8</v>
      </c>
      <c r="O413" t="s">
        <v>28</v>
      </c>
      <c r="P413" t="s">
        <v>189</v>
      </c>
      <c r="Q413" t="s">
        <v>713</v>
      </c>
      <c r="R413">
        <v>50208</v>
      </c>
      <c r="S413" s="1">
        <v>42040</v>
      </c>
      <c r="T413" s="1">
        <v>42041</v>
      </c>
      <c r="U413">
        <v>1103.9724000000001</v>
      </c>
      <c r="V413">
        <v>6</v>
      </c>
      <c r="W413">
        <v>1599.96</v>
      </c>
      <c r="X413">
        <v>90236</v>
      </c>
      <c r="Y413">
        <f>cleaneddata[[#This Row],[Unit Price]]-cleaneddata[[#This Row],[Discount]]</f>
        <v>279.75</v>
      </c>
      <c r="Z41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4" spans="1:26" x14ac:dyDescent="0.3">
      <c r="A414">
        <v>2359</v>
      </c>
      <c r="B414" t="s">
        <v>963</v>
      </c>
      <c r="C414" t="s">
        <v>1</v>
      </c>
      <c r="D414">
        <v>0</v>
      </c>
      <c r="E414">
        <v>7.28</v>
      </c>
      <c r="F414">
        <v>1.77</v>
      </c>
      <c r="G414" t="s">
        <v>14</v>
      </c>
      <c r="H414" t="s">
        <v>47</v>
      </c>
      <c r="I414" t="s">
        <v>24</v>
      </c>
      <c r="J414" t="s">
        <v>64</v>
      </c>
      <c r="K414" t="s">
        <v>26</v>
      </c>
      <c r="L414" t="s">
        <v>964</v>
      </c>
      <c r="M414">
        <v>0.37</v>
      </c>
      <c r="N414" t="s">
        <v>8</v>
      </c>
      <c r="O414" t="s">
        <v>9</v>
      </c>
      <c r="P414" t="s">
        <v>99</v>
      </c>
      <c r="Q414" t="s">
        <v>965</v>
      </c>
      <c r="R414">
        <v>33917</v>
      </c>
      <c r="S414" s="1">
        <v>42040</v>
      </c>
      <c r="T414" s="1">
        <v>42040</v>
      </c>
      <c r="U414">
        <v>167.16</v>
      </c>
      <c r="V414">
        <v>7</v>
      </c>
      <c r="W414">
        <v>53.42</v>
      </c>
      <c r="X414">
        <v>88265</v>
      </c>
      <c r="Y414">
        <f>cleaneddata[[#This Row],[Unit Price]]-cleaneddata[[#This Row],[Discount]]</f>
        <v>7.28</v>
      </c>
      <c r="Z41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15" spans="1:26" x14ac:dyDescent="0.3">
      <c r="A415">
        <v>672</v>
      </c>
      <c r="B415" t="s">
        <v>966</v>
      </c>
      <c r="C415" t="s">
        <v>23</v>
      </c>
      <c r="D415">
        <v>7.0000000000000007E-2</v>
      </c>
      <c r="E415">
        <v>2.88</v>
      </c>
      <c r="F415">
        <v>1.01</v>
      </c>
      <c r="G415" t="s">
        <v>14</v>
      </c>
      <c r="H415" t="s">
        <v>3</v>
      </c>
      <c r="I415" t="s">
        <v>24</v>
      </c>
      <c r="J415" t="s">
        <v>25</v>
      </c>
      <c r="K415" t="s">
        <v>26</v>
      </c>
      <c r="L415" t="s">
        <v>967</v>
      </c>
      <c r="M415">
        <v>0.55000000000000004</v>
      </c>
      <c r="N415" t="s">
        <v>8</v>
      </c>
      <c r="O415" t="s">
        <v>28</v>
      </c>
      <c r="P415" t="s">
        <v>189</v>
      </c>
      <c r="Q415" t="s">
        <v>713</v>
      </c>
      <c r="R415">
        <v>50208</v>
      </c>
      <c r="S415" s="1">
        <v>42040</v>
      </c>
      <c r="T415" s="1">
        <v>42044</v>
      </c>
      <c r="U415">
        <v>9.59</v>
      </c>
      <c r="V415">
        <v>12</v>
      </c>
      <c r="W415">
        <v>34.97</v>
      </c>
      <c r="X415">
        <v>88173</v>
      </c>
      <c r="Y415">
        <f>cleaneddata[[#This Row],[Unit Price]]-cleaneddata[[#This Row],[Discount]]</f>
        <v>2.81</v>
      </c>
      <c r="Z4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6" spans="1:26" x14ac:dyDescent="0.3">
      <c r="A416">
        <v>672</v>
      </c>
      <c r="B416" t="s">
        <v>966</v>
      </c>
      <c r="C416" t="s">
        <v>23</v>
      </c>
      <c r="D416">
        <v>0.1</v>
      </c>
      <c r="E416">
        <v>195.99</v>
      </c>
      <c r="F416">
        <v>3.99</v>
      </c>
      <c r="G416" t="s">
        <v>14</v>
      </c>
      <c r="H416" t="s">
        <v>3</v>
      </c>
      <c r="I416" t="s">
        <v>16</v>
      </c>
      <c r="J416" t="s">
        <v>111</v>
      </c>
      <c r="K416" t="s">
        <v>49</v>
      </c>
      <c r="L416" t="s">
        <v>968</v>
      </c>
      <c r="M416">
        <v>0.57999999999999996</v>
      </c>
      <c r="N416" t="s">
        <v>8</v>
      </c>
      <c r="O416" t="s">
        <v>28</v>
      </c>
      <c r="P416" t="s">
        <v>189</v>
      </c>
      <c r="Q416" t="s">
        <v>713</v>
      </c>
      <c r="R416">
        <v>50208</v>
      </c>
      <c r="S416" s="1">
        <v>42040</v>
      </c>
      <c r="T416" s="1">
        <v>42047</v>
      </c>
      <c r="U416">
        <v>-655.42399999999998</v>
      </c>
      <c r="V416">
        <v>2</v>
      </c>
      <c r="W416">
        <v>308.86</v>
      </c>
      <c r="X416">
        <v>88173</v>
      </c>
      <c r="Y416">
        <f>cleaneddata[[#This Row],[Unit Price]]-cleaneddata[[#This Row],[Discount]]</f>
        <v>195.89000000000001</v>
      </c>
      <c r="Z41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7" spans="1:26" x14ac:dyDescent="0.3">
      <c r="A417">
        <v>1427</v>
      </c>
      <c r="B417" t="s">
        <v>969</v>
      </c>
      <c r="C417" t="s">
        <v>23</v>
      </c>
      <c r="D417">
        <v>0.09</v>
      </c>
      <c r="E417">
        <v>125.99</v>
      </c>
      <c r="F417">
        <v>2.5</v>
      </c>
      <c r="G417" t="s">
        <v>14</v>
      </c>
      <c r="H417" t="s">
        <v>47</v>
      </c>
      <c r="I417" t="s">
        <v>16</v>
      </c>
      <c r="J417" t="s">
        <v>111</v>
      </c>
      <c r="K417" t="s">
        <v>49</v>
      </c>
      <c r="L417" t="s">
        <v>924</v>
      </c>
      <c r="M417">
        <v>0.6</v>
      </c>
      <c r="N417" t="s">
        <v>8</v>
      </c>
      <c r="O417" t="s">
        <v>28</v>
      </c>
      <c r="P417" t="s">
        <v>265</v>
      </c>
      <c r="Q417" t="s">
        <v>970</v>
      </c>
      <c r="R417">
        <v>48708</v>
      </c>
      <c r="S417" s="1">
        <v>42040</v>
      </c>
      <c r="T417" s="1">
        <v>42044</v>
      </c>
      <c r="U417">
        <v>1258.7877000000001</v>
      </c>
      <c r="V417">
        <v>18</v>
      </c>
      <c r="W417">
        <v>1824.33</v>
      </c>
      <c r="X417">
        <v>90905</v>
      </c>
      <c r="Y417">
        <f>cleaneddata[[#This Row],[Unit Price]]-cleaneddata[[#This Row],[Discount]]</f>
        <v>125.89999999999999</v>
      </c>
      <c r="Z41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8" spans="1:26" x14ac:dyDescent="0.3">
      <c r="A418">
        <v>1816</v>
      </c>
      <c r="B418" t="s">
        <v>971</v>
      </c>
      <c r="C418" t="s">
        <v>23</v>
      </c>
      <c r="D418">
        <v>0.01</v>
      </c>
      <c r="E418">
        <v>10.48</v>
      </c>
      <c r="F418">
        <v>2.89</v>
      </c>
      <c r="G418" t="s">
        <v>14</v>
      </c>
      <c r="H418" t="s">
        <v>15</v>
      </c>
      <c r="I418" t="s">
        <v>24</v>
      </c>
      <c r="J418" t="s">
        <v>25</v>
      </c>
      <c r="K418" t="s">
        <v>18</v>
      </c>
      <c r="L418" t="s">
        <v>972</v>
      </c>
      <c r="M418">
        <v>0.6</v>
      </c>
      <c r="N418" t="s">
        <v>8</v>
      </c>
      <c r="O418" t="s">
        <v>28</v>
      </c>
      <c r="P418" t="s">
        <v>265</v>
      </c>
      <c r="Q418" t="s">
        <v>973</v>
      </c>
      <c r="R418">
        <v>48187</v>
      </c>
      <c r="S418" s="1">
        <v>42040</v>
      </c>
      <c r="T418" s="1">
        <v>42042</v>
      </c>
      <c r="U418">
        <v>60.561599999999999</v>
      </c>
      <c r="V418">
        <v>19</v>
      </c>
      <c r="W418">
        <v>202.38</v>
      </c>
      <c r="X418">
        <v>85990</v>
      </c>
      <c r="Y418">
        <f>cleaneddata[[#This Row],[Unit Price]]-cleaneddata[[#This Row],[Discount]]</f>
        <v>10.47</v>
      </c>
      <c r="Z41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19" spans="1:26" x14ac:dyDescent="0.3">
      <c r="A419">
        <v>1821</v>
      </c>
      <c r="B419" t="s">
        <v>974</v>
      </c>
      <c r="C419" t="s">
        <v>23</v>
      </c>
      <c r="D419">
        <v>0.01</v>
      </c>
      <c r="E419">
        <v>10.48</v>
      </c>
      <c r="F419">
        <v>2.89</v>
      </c>
      <c r="G419" t="s">
        <v>14</v>
      </c>
      <c r="H419" t="s">
        <v>15</v>
      </c>
      <c r="I419" t="s">
        <v>24</v>
      </c>
      <c r="J419" t="s">
        <v>25</v>
      </c>
      <c r="K419" t="s">
        <v>18</v>
      </c>
      <c r="L419" t="s">
        <v>972</v>
      </c>
      <c r="M419">
        <v>0.6</v>
      </c>
      <c r="N419" t="s">
        <v>8</v>
      </c>
      <c r="O419" t="s">
        <v>87</v>
      </c>
      <c r="P419" t="s">
        <v>88</v>
      </c>
      <c r="Q419" t="s">
        <v>89</v>
      </c>
      <c r="R419">
        <v>10177</v>
      </c>
      <c r="S419" s="1">
        <v>42040</v>
      </c>
      <c r="T419" s="1">
        <v>42042</v>
      </c>
      <c r="U419">
        <v>40.92</v>
      </c>
      <c r="V419">
        <v>76</v>
      </c>
      <c r="W419">
        <v>809.51</v>
      </c>
      <c r="X419">
        <v>34435</v>
      </c>
      <c r="Y419">
        <f>cleaneddata[[#This Row],[Unit Price]]-cleaneddata[[#This Row],[Discount]]</f>
        <v>10.47</v>
      </c>
      <c r="Z4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20" spans="1:26" x14ac:dyDescent="0.3">
      <c r="A420">
        <v>980</v>
      </c>
      <c r="B420" t="s">
        <v>975</v>
      </c>
      <c r="C420" t="s">
        <v>92</v>
      </c>
      <c r="D420">
        <v>0</v>
      </c>
      <c r="E420">
        <v>37.76</v>
      </c>
      <c r="F420">
        <v>12.9</v>
      </c>
      <c r="G420" t="s">
        <v>14</v>
      </c>
      <c r="H420" t="s">
        <v>70</v>
      </c>
      <c r="I420" t="s">
        <v>24</v>
      </c>
      <c r="J420" t="s">
        <v>54</v>
      </c>
      <c r="K420" t="s">
        <v>49</v>
      </c>
      <c r="L420" t="s">
        <v>976</v>
      </c>
      <c r="M420">
        <v>0.56999999999999995</v>
      </c>
      <c r="N420" t="s">
        <v>8</v>
      </c>
      <c r="O420" t="s">
        <v>87</v>
      </c>
      <c r="P420" t="s">
        <v>609</v>
      </c>
      <c r="Q420" t="s">
        <v>610</v>
      </c>
      <c r="R420">
        <v>5403</v>
      </c>
      <c r="S420" s="1">
        <v>42040</v>
      </c>
      <c r="T420" s="1">
        <v>42041</v>
      </c>
      <c r="U420">
        <v>93.846800000000002</v>
      </c>
      <c r="V420">
        <v>12</v>
      </c>
      <c r="W420">
        <v>477.2</v>
      </c>
      <c r="X420">
        <v>87258</v>
      </c>
      <c r="Y420">
        <f>cleaneddata[[#This Row],[Unit Price]]-cleaneddata[[#This Row],[Discount]]</f>
        <v>37.76</v>
      </c>
      <c r="Z4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21" spans="1:26" x14ac:dyDescent="0.3">
      <c r="A421">
        <v>2094</v>
      </c>
      <c r="B421" t="s">
        <v>977</v>
      </c>
      <c r="C421" t="s">
        <v>92</v>
      </c>
      <c r="D421">
        <v>0.08</v>
      </c>
      <c r="E421">
        <v>400.98</v>
      </c>
      <c r="F421">
        <v>42.52</v>
      </c>
      <c r="G421" t="s">
        <v>2</v>
      </c>
      <c r="H421" t="s">
        <v>70</v>
      </c>
      <c r="I421" t="s">
        <v>4</v>
      </c>
      <c r="J421" t="s">
        <v>5</v>
      </c>
      <c r="K421" t="s">
        <v>6</v>
      </c>
      <c r="L421" t="s">
        <v>978</v>
      </c>
      <c r="M421">
        <v>0.71</v>
      </c>
      <c r="N421" t="s">
        <v>8</v>
      </c>
      <c r="O421" t="s">
        <v>35</v>
      </c>
      <c r="P421" t="s">
        <v>66</v>
      </c>
      <c r="Q421" t="s">
        <v>979</v>
      </c>
      <c r="R421">
        <v>95928</v>
      </c>
      <c r="S421" s="1">
        <v>42040</v>
      </c>
      <c r="T421" s="1">
        <v>42041</v>
      </c>
      <c r="U421">
        <v>3031.9724000000001</v>
      </c>
      <c r="V421">
        <v>20</v>
      </c>
      <c r="W421">
        <v>7840.04</v>
      </c>
      <c r="X421">
        <v>86629</v>
      </c>
      <c r="Y421">
        <f>cleaneddata[[#This Row],[Unit Price]]-cleaneddata[[#This Row],[Discount]]</f>
        <v>400.90000000000003</v>
      </c>
      <c r="Z42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22" spans="1:26" x14ac:dyDescent="0.3">
      <c r="A422">
        <v>2282</v>
      </c>
      <c r="B422" t="s">
        <v>980</v>
      </c>
      <c r="C422" t="s">
        <v>92</v>
      </c>
      <c r="D422">
        <v>0.04</v>
      </c>
      <c r="E422">
        <v>5.98</v>
      </c>
      <c r="F422">
        <v>5.79</v>
      </c>
      <c r="G422" t="s">
        <v>14</v>
      </c>
      <c r="H422" t="s">
        <v>47</v>
      </c>
      <c r="I422" t="s">
        <v>24</v>
      </c>
      <c r="J422" t="s">
        <v>64</v>
      </c>
      <c r="K422" t="s">
        <v>49</v>
      </c>
      <c r="L422" t="s">
        <v>447</v>
      </c>
      <c r="M422">
        <v>0.36</v>
      </c>
      <c r="N422" t="s">
        <v>8</v>
      </c>
      <c r="O422" t="s">
        <v>28</v>
      </c>
      <c r="P422" t="s">
        <v>333</v>
      </c>
      <c r="Q422" t="s">
        <v>981</v>
      </c>
      <c r="R422">
        <v>53713</v>
      </c>
      <c r="S422" s="1">
        <v>42040</v>
      </c>
      <c r="T422" s="1">
        <v>42042</v>
      </c>
      <c r="U422">
        <v>-36.030799999999999</v>
      </c>
      <c r="V422">
        <v>14</v>
      </c>
      <c r="W422">
        <v>86.12</v>
      </c>
      <c r="X422">
        <v>85950</v>
      </c>
      <c r="Y422">
        <f>cleaneddata[[#This Row],[Unit Price]]-cleaneddata[[#This Row],[Discount]]</f>
        <v>5.94</v>
      </c>
      <c r="Z42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23" spans="1:26" x14ac:dyDescent="0.3">
      <c r="A423">
        <v>2747</v>
      </c>
      <c r="B423" t="s">
        <v>982</v>
      </c>
      <c r="C423" t="s">
        <v>92</v>
      </c>
      <c r="D423">
        <v>0.08</v>
      </c>
      <c r="E423">
        <v>9.98</v>
      </c>
      <c r="F423">
        <v>12.52</v>
      </c>
      <c r="G423" t="s">
        <v>14</v>
      </c>
      <c r="H423" t="s">
        <v>70</v>
      </c>
      <c r="I423" t="s">
        <v>4</v>
      </c>
      <c r="J423" t="s">
        <v>102</v>
      </c>
      <c r="K423" t="s">
        <v>49</v>
      </c>
      <c r="L423" t="s">
        <v>983</v>
      </c>
      <c r="M423">
        <v>0.56999999999999995</v>
      </c>
      <c r="N423" t="s">
        <v>8</v>
      </c>
      <c r="O423" t="s">
        <v>87</v>
      </c>
      <c r="P423" t="s">
        <v>88</v>
      </c>
      <c r="Q423" t="s">
        <v>89</v>
      </c>
      <c r="R423">
        <v>10115</v>
      </c>
      <c r="S423" s="1">
        <v>42040</v>
      </c>
      <c r="T423" s="1">
        <v>42042</v>
      </c>
      <c r="U423">
        <v>-102.93</v>
      </c>
      <c r="V423">
        <v>15</v>
      </c>
      <c r="W423">
        <v>150.24</v>
      </c>
      <c r="X423">
        <v>35200</v>
      </c>
      <c r="Y423">
        <f>cleaneddata[[#This Row],[Unit Price]]-cleaneddata[[#This Row],[Discount]]</f>
        <v>9.9</v>
      </c>
      <c r="Z42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24" spans="1:26" x14ac:dyDescent="0.3">
      <c r="A424">
        <v>2803</v>
      </c>
      <c r="B424" t="s">
        <v>984</v>
      </c>
      <c r="C424" t="s">
        <v>92</v>
      </c>
      <c r="D424">
        <v>7.0000000000000007E-2</v>
      </c>
      <c r="E424">
        <v>500.98</v>
      </c>
      <c r="F424">
        <v>28.14</v>
      </c>
      <c r="G424" t="s">
        <v>2</v>
      </c>
      <c r="H424" t="s">
        <v>3</v>
      </c>
      <c r="I424" t="s">
        <v>16</v>
      </c>
      <c r="J424" t="s">
        <v>32</v>
      </c>
      <c r="K424" t="s">
        <v>33</v>
      </c>
      <c r="L424" t="s">
        <v>985</v>
      </c>
      <c r="M424">
        <v>0.38</v>
      </c>
      <c r="N424" t="s">
        <v>8</v>
      </c>
      <c r="O424" t="s">
        <v>35</v>
      </c>
      <c r="P424" t="s">
        <v>66</v>
      </c>
      <c r="Q424" t="s">
        <v>986</v>
      </c>
      <c r="R424">
        <v>90022</v>
      </c>
      <c r="S424" s="1">
        <v>42040</v>
      </c>
      <c r="T424" s="1">
        <v>42041</v>
      </c>
      <c r="U424">
        <v>2699.9838</v>
      </c>
      <c r="V424">
        <v>10</v>
      </c>
      <c r="W424">
        <v>3913.02</v>
      </c>
      <c r="X424">
        <v>86227</v>
      </c>
      <c r="Y424">
        <f>cleaneddata[[#This Row],[Unit Price]]-cleaneddata[[#This Row],[Discount]]</f>
        <v>500.91</v>
      </c>
      <c r="Z42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25" spans="1:26" x14ac:dyDescent="0.3">
      <c r="A425">
        <v>2803</v>
      </c>
      <c r="B425" t="s">
        <v>984</v>
      </c>
      <c r="C425" t="s">
        <v>92</v>
      </c>
      <c r="D425">
        <v>0.1</v>
      </c>
      <c r="E425">
        <v>178.47</v>
      </c>
      <c r="F425">
        <v>19.989999999999998</v>
      </c>
      <c r="G425" t="s">
        <v>14</v>
      </c>
      <c r="H425" t="s">
        <v>3</v>
      </c>
      <c r="I425" t="s">
        <v>24</v>
      </c>
      <c r="J425" t="s">
        <v>54</v>
      </c>
      <c r="K425" t="s">
        <v>49</v>
      </c>
      <c r="L425" t="s">
        <v>987</v>
      </c>
      <c r="M425">
        <v>0.55000000000000004</v>
      </c>
      <c r="N425" t="s">
        <v>8</v>
      </c>
      <c r="O425" t="s">
        <v>35</v>
      </c>
      <c r="P425" t="s">
        <v>66</v>
      </c>
      <c r="Q425" t="s">
        <v>986</v>
      </c>
      <c r="R425">
        <v>90022</v>
      </c>
      <c r="S425" s="1">
        <v>42040</v>
      </c>
      <c r="T425" s="1">
        <v>42042</v>
      </c>
      <c r="U425">
        <v>-170.98</v>
      </c>
      <c r="V425">
        <v>1</v>
      </c>
      <c r="W425">
        <v>180.14</v>
      </c>
      <c r="X425">
        <v>86227</v>
      </c>
      <c r="Y425">
        <f>cleaneddata[[#This Row],[Unit Price]]-cleaneddata[[#This Row],[Discount]]</f>
        <v>178.37</v>
      </c>
      <c r="Z42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26" spans="1:26" x14ac:dyDescent="0.3">
      <c r="A426">
        <v>1117</v>
      </c>
      <c r="B426" t="s">
        <v>988</v>
      </c>
      <c r="C426" t="s">
        <v>46</v>
      </c>
      <c r="D426">
        <v>0.06</v>
      </c>
      <c r="E426">
        <v>64.650000000000006</v>
      </c>
      <c r="F426">
        <v>35</v>
      </c>
      <c r="G426" t="s">
        <v>14</v>
      </c>
      <c r="H426" t="s">
        <v>47</v>
      </c>
      <c r="I426" t="s">
        <v>24</v>
      </c>
      <c r="J426" t="s">
        <v>54</v>
      </c>
      <c r="K426" t="s">
        <v>40</v>
      </c>
      <c r="L426" t="s">
        <v>989</v>
      </c>
      <c r="M426">
        <v>0.8</v>
      </c>
      <c r="N426" t="s">
        <v>8</v>
      </c>
      <c r="O426" t="s">
        <v>35</v>
      </c>
      <c r="P426" t="s">
        <v>564</v>
      </c>
      <c r="Q426" t="s">
        <v>990</v>
      </c>
      <c r="R426">
        <v>85705</v>
      </c>
      <c r="S426" s="1">
        <v>42040</v>
      </c>
      <c r="T426" s="1">
        <v>42041</v>
      </c>
      <c r="U426">
        <v>-139.28720000000001</v>
      </c>
      <c r="V426">
        <v>4</v>
      </c>
      <c r="W426">
        <v>277.60000000000002</v>
      </c>
      <c r="X426">
        <v>86768</v>
      </c>
      <c r="Y426">
        <f>cleaneddata[[#This Row],[Unit Price]]-cleaneddata[[#This Row],[Discount]]</f>
        <v>64.59</v>
      </c>
      <c r="Z42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27" spans="1:26" x14ac:dyDescent="0.3">
      <c r="A427">
        <v>2498</v>
      </c>
      <c r="B427" t="s">
        <v>905</v>
      </c>
      <c r="C427" t="s">
        <v>46</v>
      </c>
      <c r="D427">
        <v>0.08</v>
      </c>
      <c r="E427">
        <v>1.68</v>
      </c>
      <c r="F427">
        <v>1.57</v>
      </c>
      <c r="G427" t="s">
        <v>14</v>
      </c>
      <c r="H427" t="s">
        <v>3</v>
      </c>
      <c r="I427" t="s">
        <v>24</v>
      </c>
      <c r="J427" t="s">
        <v>25</v>
      </c>
      <c r="K427" t="s">
        <v>26</v>
      </c>
      <c r="L427" t="s">
        <v>550</v>
      </c>
      <c r="M427">
        <v>0.59</v>
      </c>
      <c r="N427" t="s">
        <v>8</v>
      </c>
      <c r="O427" t="s">
        <v>35</v>
      </c>
      <c r="P427" t="s">
        <v>66</v>
      </c>
      <c r="Q427" t="s">
        <v>866</v>
      </c>
      <c r="R427">
        <v>92024</v>
      </c>
      <c r="S427" s="1">
        <v>42040</v>
      </c>
      <c r="T427" s="1">
        <v>42041</v>
      </c>
      <c r="U427">
        <v>-46.25</v>
      </c>
      <c r="V427">
        <v>88</v>
      </c>
      <c r="W427">
        <v>148.36000000000001</v>
      </c>
      <c r="X427">
        <v>20007</v>
      </c>
      <c r="Y427">
        <f>cleaneddata[[#This Row],[Unit Price]]-cleaneddata[[#This Row],[Discount]]</f>
        <v>1.5999999999999999</v>
      </c>
      <c r="Z4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28" spans="1:26" x14ac:dyDescent="0.3">
      <c r="A428">
        <v>421</v>
      </c>
      <c r="B428" t="s">
        <v>991</v>
      </c>
      <c r="C428" t="s">
        <v>1</v>
      </c>
      <c r="D428">
        <v>0.09</v>
      </c>
      <c r="E428">
        <v>999.99</v>
      </c>
      <c r="F428">
        <v>13.99</v>
      </c>
      <c r="G428" t="s">
        <v>14</v>
      </c>
      <c r="H428" t="s">
        <v>3</v>
      </c>
      <c r="I428" t="s">
        <v>16</v>
      </c>
      <c r="J428" t="s">
        <v>32</v>
      </c>
      <c r="K428" t="s">
        <v>120</v>
      </c>
      <c r="L428" t="s">
        <v>992</v>
      </c>
      <c r="M428">
        <v>0.36</v>
      </c>
      <c r="N428" t="s">
        <v>8</v>
      </c>
      <c r="O428" t="s">
        <v>87</v>
      </c>
      <c r="P428" t="s">
        <v>373</v>
      </c>
      <c r="Q428" t="s">
        <v>993</v>
      </c>
      <c r="R428">
        <v>7201</v>
      </c>
      <c r="S428" s="1">
        <v>42041</v>
      </c>
      <c r="T428" s="1">
        <v>42043</v>
      </c>
      <c r="U428">
        <v>-2531.4825000000001</v>
      </c>
      <c r="V428">
        <v>1</v>
      </c>
      <c r="W428">
        <v>919.09</v>
      </c>
      <c r="X428">
        <v>87700</v>
      </c>
      <c r="Y428">
        <f>cleaneddata[[#This Row],[Unit Price]]-cleaneddata[[#This Row],[Discount]]</f>
        <v>999.9</v>
      </c>
      <c r="Z42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29" spans="1:26" x14ac:dyDescent="0.3">
      <c r="A429">
        <v>1020</v>
      </c>
      <c r="B429" t="s">
        <v>994</v>
      </c>
      <c r="C429" t="s">
        <v>1</v>
      </c>
      <c r="D429">
        <v>7.0000000000000007E-2</v>
      </c>
      <c r="E429">
        <v>4.13</v>
      </c>
      <c r="F429">
        <v>5.04</v>
      </c>
      <c r="G429" t="s">
        <v>14</v>
      </c>
      <c r="H429" t="s">
        <v>3</v>
      </c>
      <c r="I429" t="s">
        <v>24</v>
      </c>
      <c r="J429" t="s">
        <v>48</v>
      </c>
      <c r="K429" t="s">
        <v>49</v>
      </c>
      <c r="L429" t="s">
        <v>995</v>
      </c>
      <c r="M429">
        <v>0.38</v>
      </c>
      <c r="N429" t="s">
        <v>8</v>
      </c>
      <c r="O429" t="s">
        <v>28</v>
      </c>
      <c r="P429" t="s">
        <v>513</v>
      </c>
      <c r="Q429" t="s">
        <v>996</v>
      </c>
      <c r="R429">
        <v>66762</v>
      </c>
      <c r="S429" s="1">
        <v>42041</v>
      </c>
      <c r="T429" s="1">
        <v>42042</v>
      </c>
      <c r="U429">
        <v>-76.424400000000006</v>
      </c>
      <c r="V429">
        <v>20</v>
      </c>
      <c r="W429">
        <v>79.06</v>
      </c>
      <c r="X429">
        <v>88634</v>
      </c>
      <c r="Y429">
        <f>cleaneddata[[#This Row],[Unit Price]]-cleaneddata[[#This Row],[Discount]]</f>
        <v>4.0599999999999996</v>
      </c>
      <c r="Z4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30" spans="1:26" x14ac:dyDescent="0.3">
      <c r="A430">
        <v>1020</v>
      </c>
      <c r="B430" t="s">
        <v>994</v>
      </c>
      <c r="C430" t="s">
        <v>1</v>
      </c>
      <c r="D430">
        <v>0</v>
      </c>
      <c r="E430">
        <v>4.4800000000000004</v>
      </c>
      <c r="F430">
        <v>2.5</v>
      </c>
      <c r="G430" t="s">
        <v>14</v>
      </c>
      <c r="H430" t="s">
        <v>3</v>
      </c>
      <c r="I430" t="s">
        <v>24</v>
      </c>
      <c r="J430" t="s">
        <v>321</v>
      </c>
      <c r="K430" t="s">
        <v>49</v>
      </c>
      <c r="L430" t="s">
        <v>997</v>
      </c>
      <c r="M430">
        <v>0.37</v>
      </c>
      <c r="N430" t="s">
        <v>8</v>
      </c>
      <c r="O430" t="s">
        <v>28</v>
      </c>
      <c r="P430" t="s">
        <v>513</v>
      </c>
      <c r="Q430" t="s">
        <v>996</v>
      </c>
      <c r="R430">
        <v>66762</v>
      </c>
      <c r="S430" s="1">
        <v>42041</v>
      </c>
      <c r="T430" s="1">
        <v>42043</v>
      </c>
      <c r="U430">
        <v>8.7319999999999993</v>
      </c>
      <c r="V430">
        <v>14</v>
      </c>
      <c r="W430">
        <v>65.14</v>
      </c>
      <c r="X430">
        <v>88634</v>
      </c>
      <c r="Y430">
        <f>cleaneddata[[#This Row],[Unit Price]]-cleaneddata[[#This Row],[Discount]]</f>
        <v>4.4800000000000004</v>
      </c>
      <c r="Z4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31" spans="1:26" x14ac:dyDescent="0.3">
      <c r="A431">
        <v>1533</v>
      </c>
      <c r="B431" t="s">
        <v>998</v>
      </c>
      <c r="C431" t="s">
        <v>13</v>
      </c>
      <c r="D431">
        <v>0.02</v>
      </c>
      <c r="E431">
        <v>4.8899999999999997</v>
      </c>
      <c r="F431">
        <v>4.93</v>
      </c>
      <c r="G431" t="s">
        <v>14</v>
      </c>
      <c r="H431" t="s">
        <v>70</v>
      </c>
      <c r="I431" t="s">
        <v>16</v>
      </c>
      <c r="J431" t="s">
        <v>17</v>
      </c>
      <c r="K431" t="s">
        <v>18</v>
      </c>
      <c r="L431" t="s">
        <v>999</v>
      </c>
      <c r="M431">
        <v>0.66</v>
      </c>
      <c r="N431" t="s">
        <v>8</v>
      </c>
      <c r="O431" t="s">
        <v>28</v>
      </c>
      <c r="P431" t="s">
        <v>56</v>
      </c>
      <c r="Q431" t="s">
        <v>1000</v>
      </c>
      <c r="R431">
        <v>63130</v>
      </c>
      <c r="S431" s="1">
        <v>42041</v>
      </c>
      <c r="T431" s="1">
        <v>42042</v>
      </c>
      <c r="U431">
        <v>-56.445999999999998</v>
      </c>
      <c r="V431">
        <v>14</v>
      </c>
      <c r="W431">
        <v>74.010000000000005</v>
      </c>
      <c r="X431">
        <v>91328</v>
      </c>
      <c r="Y431">
        <f>cleaneddata[[#This Row],[Unit Price]]-cleaneddata[[#This Row],[Discount]]</f>
        <v>4.87</v>
      </c>
      <c r="Z4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32" spans="1:26" x14ac:dyDescent="0.3">
      <c r="A432">
        <v>1533</v>
      </c>
      <c r="B432" t="s">
        <v>998</v>
      </c>
      <c r="C432" t="s">
        <v>13</v>
      </c>
      <c r="D432">
        <v>7.0000000000000007E-2</v>
      </c>
      <c r="E432">
        <v>10.06</v>
      </c>
      <c r="F432">
        <v>2.06</v>
      </c>
      <c r="G432" t="s">
        <v>14</v>
      </c>
      <c r="H432" t="s">
        <v>70</v>
      </c>
      <c r="I432" t="s">
        <v>24</v>
      </c>
      <c r="J432" t="s">
        <v>64</v>
      </c>
      <c r="K432" t="s">
        <v>26</v>
      </c>
      <c r="L432" t="s">
        <v>149</v>
      </c>
      <c r="M432">
        <v>0.39</v>
      </c>
      <c r="N432" t="s">
        <v>8</v>
      </c>
      <c r="O432" t="s">
        <v>28</v>
      </c>
      <c r="P432" t="s">
        <v>56</v>
      </c>
      <c r="Q432" t="s">
        <v>1000</v>
      </c>
      <c r="R432">
        <v>63130</v>
      </c>
      <c r="S432" s="1">
        <v>42041</v>
      </c>
      <c r="T432" s="1">
        <v>42042</v>
      </c>
      <c r="U432">
        <v>33.189</v>
      </c>
      <c r="V432">
        <v>5</v>
      </c>
      <c r="W432">
        <v>48.1</v>
      </c>
      <c r="X432">
        <v>91328</v>
      </c>
      <c r="Y432">
        <f>cleaneddata[[#This Row],[Unit Price]]-cleaneddata[[#This Row],[Discount]]</f>
        <v>9.99</v>
      </c>
      <c r="Z43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33" spans="1:26" x14ac:dyDescent="0.3">
      <c r="A433">
        <v>1927</v>
      </c>
      <c r="B433" t="s">
        <v>1001</v>
      </c>
      <c r="C433" t="s">
        <v>13</v>
      </c>
      <c r="D433">
        <v>0.02</v>
      </c>
      <c r="E433">
        <v>259.70999999999998</v>
      </c>
      <c r="F433">
        <v>66.67</v>
      </c>
      <c r="G433" t="s">
        <v>2</v>
      </c>
      <c r="H433" t="s">
        <v>47</v>
      </c>
      <c r="I433" t="s">
        <v>4</v>
      </c>
      <c r="J433" t="s">
        <v>5</v>
      </c>
      <c r="K433" t="s">
        <v>6</v>
      </c>
      <c r="L433" t="s">
        <v>1002</v>
      </c>
      <c r="M433">
        <v>0.65</v>
      </c>
      <c r="N433" t="s">
        <v>8</v>
      </c>
      <c r="O433" t="s">
        <v>9</v>
      </c>
      <c r="P433" t="s">
        <v>247</v>
      </c>
      <c r="Q433" t="s">
        <v>1003</v>
      </c>
      <c r="R433">
        <v>29611</v>
      </c>
      <c r="S433" s="1">
        <v>42041</v>
      </c>
      <c r="T433" s="1">
        <v>42041</v>
      </c>
      <c r="U433">
        <v>-14.448</v>
      </c>
      <c r="V433">
        <v>8</v>
      </c>
      <c r="W433">
        <v>1757.15</v>
      </c>
      <c r="X433">
        <v>88579</v>
      </c>
      <c r="Y433">
        <f>cleaneddata[[#This Row],[Unit Price]]-cleaneddata[[#This Row],[Discount]]</f>
        <v>259.69</v>
      </c>
      <c r="Z4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34" spans="1:26" x14ac:dyDescent="0.3">
      <c r="A434">
        <v>2135</v>
      </c>
      <c r="B434" t="s">
        <v>1004</v>
      </c>
      <c r="C434" t="s">
        <v>13</v>
      </c>
      <c r="D434">
        <v>0.01</v>
      </c>
      <c r="E434">
        <v>28.99</v>
      </c>
      <c r="F434">
        <v>8.59</v>
      </c>
      <c r="G434" t="s">
        <v>14</v>
      </c>
      <c r="H434" t="s">
        <v>47</v>
      </c>
      <c r="I434" t="s">
        <v>16</v>
      </c>
      <c r="J434" t="s">
        <v>111</v>
      </c>
      <c r="K434" t="s">
        <v>120</v>
      </c>
      <c r="L434" t="s">
        <v>1005</v>
      </c>
      <c r="M434">
        <v>0.56000000000000005</v>
      </c>
      <c r="N434" t="s">
        <v>8</v>
      </c>
      <c r="O434" t="s">
        <v>35</v>
      </c>
      <c r="P434" t="s">
        <v>616</v>
      </c>
      <c r="Q434" t="s">
        <v>1006</v>
      </c>
      <c r="R434">
        <v>88101</v>
      </c>
      <c r="S434" s="1">
        <v>42041</v>
      </c>
      <c r="T434" s="1">
        <v>42042</v>
      </c>
      <c r="U434">
        <v>196.52328</v>
      </c>
      <c r="V434">
        <v>21</v>
      </c>
      <c r="W434">
        <v>556.61</v>
      </c>
      <c r="X434">
        <v>91583</v>
      </c>
      <c r="Y434">
        <f>cleaneddata[[#This Row],[Unit Price]]-cleaneddata[[#This Row],[Discount]]</f>
        <v>28.979999999999997</v>
      </c>
      <c r="Z43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35" spans="1:26" x14ac:dyDescent="0.3">
      <c r="A435">
        <v>2486</v>
      </c>
      <c r="B435" t="s">
        <v>920</v>
      </c>
      <c r="C435" t="s">
        <v>13</v>
      </c>
      <c r="D435">
        <v>0.02</v>
      </c>
      <c r="E435">
        <v>71.37</v>
      </c>
      <c r="F435">
        <v>69</v>
      </c>
      <c r="G435" t="s">
        <v>14</v>
      </c>
      <c r="H435" t="s">
        <v>3</v>
      </c>
      <c r="I435" t="s">
        <v>4</v>
      </c>
      <c r="J435" t="s">
        <v>5</v>
      </c>
      <c r="K435" t="s">
        <v>40</v>
      </c>
      <c r="L435" t="s">
        <v>1007</v>
      </c>
      <c r="M435">
        <v>0.68</v>
      </c>
      <c r="N435" t="s">
        <v>8</v>
      </c>
      <c r="O435" t="s">
        <v>9</v>
      </c>
      <c r="P435" t="s">
        <v>51</v>
      </c>
      <c r="Q435" t="s">
        <v>922</v>
      </c>
      <c r="R435">
        <v>30458</v>
      </c>
      <c r="S435" s="1">
        <v>42041</v>
      </c>
      <c r="T435" s="1">
        <v>42042</v>
      </c>
      <c r="U435">
        <v>-439.90800000000002</v>
      </c>
      <c r="V435">
        <v>4</v>
      </c>
      <c r="W435">
        <v>237.62</v>
      </c>
      <c r="X435">
        <v>91414</v>
      </c>
      <c r="Y435">
        <f>cleaneddata[[#This Row],[Unit Price]]-cleaneddata[[#This Row],[Discount]]</f>
        <v>71.350000000000009</v>
      </c>
      <c r="Z43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36" spans="1:26" x14ac:dyDescent="0.3">
      <c r="A436">
        <v>2486</v>
      </c>
      <c r="B436" t="s">
        <v>920</v>
      </c>
      <c r="C436" t="s">
        <v>13</v>
      </c>
      <c r="D436">
        <v>0.03</v>
      </c>
      <c r="E436">
        <v>205.99</v>
      </c>
      <c r="F436">
        <v>8.99</v>
      </c>
      <c r="G436" t="s">
        <v>63</v>
      </c>
      <c r="H436" t="s">
        <v>3</v>
      </c>
      <c r="I436" t="s">
        <v>16</v>
      </c>
      <c r="J436" t="s">
        <v>111</v>
      </c>
      <c r="K436" t="s">
        <v>49</v>
      </c>
      <c r="L436" t="s">
        <v>1008</v>
      </c>
      <c r="M436">
        <v>0.6</v>
      </c>
      <c r="N436" t="s">
        <v>8</v>
      </c>
      <c r="O436" t="s">
        <v>9</v>
      </c>
      <c r="P436" t="s">
        <v>51</v>
      </c>
      <c r="Q436" t="s">
        <v>922</v>
      </c>
      <c r="R436">
        <v>30458</v>
      </c>
      <c r="S436" s="1">
        <v>42041</v>
      </c>
      <c r="T436" s="1">
        <v>42043</v>
      </c>
      <c r="U436">
        <v>1087.7159999999999</v>
      </c>
      <c r="V436">
        <v>1</v>
      </c>
      <c r="W436">
        <v>176.42</v>
      </c>
      <c r="X436">
        <v>91414</v>
      </c>
      <c r="Y436">
        <f>cleaneddata[[#This Row],[Unit Price]]-cleaneddata[[#This Row],[Discount]]</f>
        <v>205.96</v>
      </c>
      <c r="Z43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37" spans="1:26" x14ac:dyDescent="0.3">
      <c r="A437">
        <v>389</v>
      </c>
      <c r="B437" t="s">
        <v>1009</v>
      </c>
      <c r="C437" t="s">
        <v>23</v>
      </c>
      <c r="D437">
        <v>0.03</v>
      </c>
      <c r="E437">
        <v>160.97999999999999</v>
      </c>
      <c r="F437">
        <v>30</v>
      </c>
      <c r="G437" t="s">
        <v>2</v>
      </c>
      <c r="H437" t="s">
        <v>70</v>
      </c>
      <c r="I437" t="s">
        <v>4</v>
      </c>
      <c r="J437" t="s">
        <v>85</v>
      </c>
      <c r="K437" t="s">
        <v>33</v>
      </c>
      <c r="L437" t="s">
        <v>868</v>
      </c>
      <c r="M437">
        <v>0.62</v>
      </c>
      <c r="N437" t="s">
        <v>8</v>
      </c>
      <c r="O437" t="s">
        <v>28</v>
      </c>
      <c r="P437" t="s">
        <v>109</v>
      </c>
      <c r="Q437" t="s">
        <v>1010</v>
      </c>
      <c r="R437">
        <v>68502</v>
      </c>
      <c r="S437" s="1">
        <v>42041</v>
      </c>
      <c r="T437" s="1">
        <v>42045</v>
      </c>
      <c r="U437">
        <v>1273.2086999999999</v>
      </c>
      <c r="V437">
        <v>11</v>
      </c>
      <c r="W437">
        <v>1845.23</v>
      </c>
      <c r="X437">
        <v>90338</v>
      </c>
      <c r="Y437">
        <f>cleaneddata[[#This Row],[Unit Price]]-cleaneddata[[#This Row],[Discount]]</f>
        <v>160.94999999999999</v>
      </c>
      <c r="Z4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38" spans="1:26" x14ac:dyDescent="0.3">
      <c r="A438">
        <v>1607</v>
      </c>
      <c r="B438" t="s">
        <v>1011</v>
      </c>
      <c r="C438" t="s">
        <v>23</v>
      </c>
      <c r="D438">
        <v>0.1</v>
      </c>
      <c r="E438">
        <v>5.68</v>
      </c>
      <c r="F438">
        <v>3.6</v>
      </c>
      <c r="G438" t="s">
        <v>63</v>
      </c>
      <c r="H438" t="s">
        <v>47</v>
      </c>
      <c r="I438" t="s">
        <v>24</v>
      </c>
      <c r="J438" t="s">
        <v>544</v>
      </c>
      <c r="K438" t="s">
        <v>18</v>
      </c>
      <c r="L438" t="s">
        <v>1012</v>
      </c>
      <c r="M438">
        <v>0.56000000000000005</v>
      </c>
      <c r="N438" t="s">
        <v>8</v>
      </c>
      <c r="O438" t="s">
        <v>87</v>
      </c>
      <c r="P438" t="s">
        <v>88</v>
      </c>
      <c r="Q438" t="s">
        <v>1013</v>
      </c>
      <c r="R438">
        <v>11520</v>
      </c>
      <c r="S438" s="1">
        <v>42041</v>
      </c>
      <c r="T438" s="1">
        <v>42045</v>
      </c>
      <c r="U438">
        <v>-33.2956</v>
      </c>
      <c r="V438">
        <v>21</v>
      </c>
      <c r="W438">
        <v>118.35</v>
      </c>
      <c r="X438">
        <v>87995</v>
      </c>
      <c r="Y438">
        <f>cleaneddata[[#This Row],[Unit Price]]-cleaneddata[[#This Row],[Discount]]</f>
        <v>5.58</v>
      </c>
      <c r="Z43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39" spans="1:26" x14ac:dyDescent="0.3">
      <c r="A439">
        <v>2270</v>
      </c>
      <c r="B439" t="s">
        <v>1014</v>
      </c>
      <c r="C439" t="s">
        <v>23</v>
      </c>
      <c r="D439">
        <v>0.01</v>
      </c>
      <c r="E439">
        <v>20.48</v>
      </c>
      <c r="F439">
        <v>6.32</v>
      </c>
      <c r="G439" t="s">
        <v>14</v>
      </c>
      <c r="H439" t="s">
        <v>3</v>
      </c>
      <c r="I439" t="s">
        <v>24</v>
      </c>
      <c r="J439" t="s">
        <v>71</v>
      </c>
      <c r="K439" t="s">
        <v>49</v>
      </c>
      <c r="L439" t="s">
        <v>1015</v>
      </c>
      <c r="M439">
        <v>0.57999999999999996</v>
      </c>
      <c r="N439" t="s">
        <v>8</v>
      </c>
      <c r="O439" t="s">
        <v>9</v>
      </c>
      <c r="P439" t="s">
        <v>247</v>
      </c>
      <c r="Q439" t="s">
        <v>1016</v>
      </c>
      <c r="R439">
        <v>29662</v>
      </c>
      <c r="S439" s="1">
        <v>42041</v>
      </c>
      <c r="T439" s="1">
        <v>42043</v>
      </c>
      <c r="U439">
        <v>711.24480000000005</v>
      </c>
      <c r="V439">
        <v>18</v>
      </c>
      <c r="W439">
        <v>375.03</v>
      </c>
      <c r="X439">
        <v>89572</v>
      </c>
      <c r="Y439">
        <f>cleaneddata[[#This Row],[Unit Price]]-cleaneddata[[#This Row],[Discount]]</f>
        <v>20.47</v>
      </c>
      <c r="Z4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40" spans="1:26" x14ac:dyDescent="0.3">
      <c r="A440">
        <v>2270</v>
      </c>
      <c r="B440" t="s">
        <v>1014</v>
      </c>
      <c r="C440" t="s">
        <v>23</v>
      </c>
      <c r="D440">
        <v>0.09</v>
      </c>
      <c r="E440">
        <v>1.86</v>
      </c>
      <c r="F440">
        <v>2.58</v>
      </c>
      <c r="G440" t="s">
        <v>14</v>
      </c>
      <c r="H440" t="s">
        <v>3</v>
      </c>
      <c r="I440" t="s">
        <v>24</v>
      </c>
      <c r="J440" t="s">
        <v>152</v>
      </c>
      <c r="K440" t="s">
        <v>26</v>
      </c>
      <c r="L440" t="s">
        <v>556</v>
      </c>
      <c r="M440">
        <v>0.82</v>
      </c>
      <c r="N440" t="s">
        <v>8</v>
      </c>
      <c r="O440" t="s">
        <v>9</v>
      </c>
      <c r="P440" t="s">
        <v>247</v>
      </c>
      <c r="Q440" t="s">
        <v>1016</v>
      </c>
      <c r="R440">
        <v>29662</v>
      </c>
      <c r="S440" s="1">
        <v>42041</v>
      </c>
      <c r="T440" s="1">
        <v>42046</v>
      </c>
      <c r="U440">
        <v>-1084.8469631999999</v>
      </c>
      <c r="V440">
        <v>12</v>
      </c>
      <c r="W440">
        <v>22.11</v>
      </c>
      <c r="X440">
        <v>89572</v>
      </c>
      <c r="Y440">
        <f>cleaneddata[[#This Row],[Unit Price]]-cleaneddata[[#This Row],[Discount]]</f>
        <v>1.77</v>
      </c>
      <c r="Z44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41" spans="1:26" x14ac:dyDescent="0.3">
      <c r="A441">
        <v>2270</v>
      </c>
      <c r="B441" t="s">
        <v>1014</v>
      </c>
      <c r="C441" t="s">
        <v>23</v>
      </c>
      <c r="D441">
        <v>0.08</v>
      </c>
      <c r="E441">
        <v>205.99</v>
      </c>
      <c r="F441">
        <v>2.5</v>
      </c>
      <c r="G441" t="s">
        <v>14</v>
      </c>
      <c r="H441" t="s">
        <v>3</v>
      </c>
      <c r="I441" t="s">
        <v>16</v>
      </c>
      <c r="J441" t="s">
        <v>111</v>
      </c>
      <c r="K441" t="s">
        <v>49</v>
      </c>
      <c r="L441" t="s">
        <v>814</v>
      </c>
      <c r="M441">
        <v>0.59</v>
      </c>
      <c r="N441" t="s">
        <v>8</v>
      </c>
      <c r="O441" t="s">
        <v>9</v>
      </c>
      <c r="P441" t="s">
        <v>247</v>
      </c>
      <c r="Q441" t="s">
        <v>1016</v>
      </c>
      <c r="R441">
        <v>29662</v>
      </c>
      <c r="S441" s="1">
        <v>42041</v>
      </c>
      <c r="T441" s="1">
        <v>42046</v>
      </c>
      <c r="U441">
        <v>-156.77199999999999</v>
      </c>
      <c r="V441">
        <v>17</v>
      </c>
      <c r="W441">
        <v>2875.35</v>
      </c>
      <c r="X441">
        <v>89572</v>
      </c>
      <c r="Y441">
        <f>cleaneddata[[#This Row],[Unit Price]]-cleaneddata[[#This Row],[Discount]]</f>
        <v>205.91</v>
      </c>
      <c r="Z4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42" spans="1:26" x14ac:dyDescent="0.3">
      <c r="A442">
        <v>697</v>
      </c>
      <c r="B442" t="s">
        <v>1017</v>
      </c>
      <c r="C442" t="s">
        <v>1</v>
      </c>
      <c r="D442">
        <v>0.08</v>
      </c>
      <c r="E442">
        <v>14.81</v>
      </c>
      <c r="F442">
        <v>13.32</v>
      </c>
      <c r="G442" t="s">
        <v>14</v>
      </c>
      <c r="H442" t="s">
        <v>70</v>
      </c>
      <c r="I442" t="s">
        <v>24</v>
      </c>
      <c r="J442" t="s">
        <v>71</v>
      </c>
      <c r="K442" t="s">
        <v>49</v>
      </c>
      <c r="L442" t="s">
        <v>570</v>
      </c>
      <c r="M442">
        <v>0.43</v>
      </c>
      <c r="N442" t="s">
        <v>8</v>
      </c>
      <c r="O442" t="s">
        <v>28</v>
      </c>
      <c r="P442" t="s">
        <v>29</v>
      </c>
      <c r="Q442" t="s">
        <v>1018</v>
      </c>
      <c r="R442">
        <v>46312</v>
      </c>
      <c r="S442" s="1">
        <v>42042</v>
      </c>
      <c r="T442" s="1">
        <v>42044</v>
      </c>
      <c r="U442">
        <v>-131.6172</v>
      </c>
      <c r="V442">
        <v>20</v>
      </c>
      <c r="W442">
        <v>292.18</v>
      </c>
      <c r="X442">
        <v>89849</v>
      </c>
      <c r="Y442">
        <f>cleaneddata[[#This Row],[Unit Price]]-cleaneddata[[#This Row],[Discount]]</f>
        <v>14.73</v>
      </c>
      <c r="Z44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43" spans="1:26" x14ac:dyDescent="0.3">
      <c r="A443">
        <v>698</v>
      </c>
      <c r="B443" t="s">
        <v>1019</v>
      </c>
      <c r="C443" t="s">
        <v>1</v>
      </c>
      <c r="D443">
        <v>0.08</v>
      </c>
      <c r="E443">
        <v>14.81</v>
      </c>
      <c r="F443">
        <v>13.32</v>
      </c>
      <c r="G443" t="s">
        <v>14</v>
      </c>
      <c r="H443" t="s">
        <v>70</v>
      </c>
      <c r="I443" t="s">
        <v>24</v>
      </c>
      <c r="J443" t="s">
        <v>71</v>
      </c>
      <c r="K443" t="s">
        <v>49</v>
      </c>
      <c r="L443" t="s">
        <v>570</v>
      </c>
      <c r="M443">
        <v>0.43</v>
      </c>
      <c r="N443" t="s">
        <v>8</v>
      </c>
      <c r="O443" t="s">
        <v>35</v>
      </c>
      <c r="P443" t="s">
        <v>42</v>
      </c>
      <c r="Q443" t="s">
        <v>118</v>
      </c>
      <c r="R443">
        <v>98105</v>
      </c>
      <c r="S443" s="1">
        <v>42042</v>
      </c>
      <c r="T443" s="1">
        <v>42044</v>
      </c>
      <c r="U443">
        <v>-253.11</v>
      </c>
      <c r="V443">
        <v>79</v>
      </c>
      <c r="W443">
        <v>1154.1199999999999</v>
      </c>
      <c r="X443">
        <v>53410</v>
      </c>
      <c r="Y443">
        <f>cleaneddata[[#This Row],[Unit Price]]-cleaneddata[[#This Row],[Discount]]</f>
        <v>14.73</v>
      </c>
      <c r="Z4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4" spans="1:26" x14ac:dyDescent="0.3">
      <c r="A444">
        <v>2626</v>
      </c>
      <c r="B444" t="s">
        <v>1020</v>
      </c>
      <c r="C444" t="s">
        <v>13</v>
      </c>
      <c r="D444">
        <v>0.1</v>
      </c>
      <c r="E444">
        <v>41.94</v>
      </c>
      <c r="F444">
        <v>2.99</v>
      </c>
      <c r="G444" t="s">
        <v>14</v>
      </c>
      <c r="H444" t="s">
        <v>15</v>
      </c>
      <c r="I444" t="s">
        <v>24</v>
      </c>
      <c r="J444" t="s">
        <v>48</v>
      </c>
      <c r="K444" t="s">
        <v>49</v>
      </c>
      <c r="L444" t="s">
        <v>1021</v>
      </c>
      <c r="M444">
        <v>0.35</v>
      </c>
      <c r="N444" t="s">
        <v>8</v>
      </c>
      <c r="O444" t="s">
        <v>35</v>
      </c>
      <c r="P444" t="s">
        <v>66</v>
      </c>
      <c r="Q444" t="s">
        <v>747</v>
      </c>
      <c r="R444">
        <v>94025</v>
      </c>
      <c r="S444" s="1">
        <v>42042</v>
      </c>
      <c r="T444" s="1">
        <v>42043</v>
      </c>
      <c r="U444">
        <v>164.08199999999999</v>
      </c>
      <c r="V444">
        <v>6</v>
      </c>
      <c r="W444">
        <v>237.8</v>
      </c>
      <c r="X444">
        <v>90927</v>
      </c>
      <c r="Y444">
        <f>cleaneddata[[#This Row],[Unit Price]]-cleaneddata[[#This Row],[Discount]]</f>
        <v>41.839999999999996</v>
      </c>
      <c r="Z4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5" spans="1:26" x14ac:dyDescent="0.3">
      <c r="A445">
        <v>3351</v>
      </c>
      <c r="B445" t="s">
        <v>932</v>
      </c>
      <c r="C445" t="s">
        <v>13</v>
      </c>
      <c r="D445">
        <v>0.06</v>
      </c>
      <c r="E445">
        <v>6.7</v>
      </c>
      <c r="F445">
        <v>1.56</v>
      </c>
      <c r="G445" t="s">
        <v>63</v>
      </c>
      <c r="H445" t="s">
        <v>3</v>
      </c>
      <c r="I445" t="s">
        <v>24</v>
      </c>
      <c r="J445" t="s">
        <v>25</v>
      </c>
      <c r="K445" t="s">
        <v>26</v>
      </c>
      <c r="L445" t="s">
        <v>1022</v>
      </c>
      <c r="M445">
        <v>0.52</v>
      </c>
      <c r="N445" t="s">
        <v>8</v>
      </c>
      <c r="O445" t="s">
        <v>35</v>
      </c>
      <c r="P445" t="s">
        <v>42</v>
      </c>
      <c r="Q445" t="s">
        <v>933</v>
      </c>
      <c r="R445">
        <v>99301</v>
      </c>
      <c r="S445" s="1">
        <v>42042</v>
      </c>
      <c r="T445" s="1">
        <v>42044</v>
      </c>
      <c r="U445">
        <v>40.6556</v>
      </c>
      <c r="V445">
        <v>12</v>
      </c>
      <c r="W445">
        <v>79.39</v>
      </c>
      <c r="X445">
        <v>91298</v>
      </c>
      <c r="Y445">
        <f>cleaneddata[[#This Row],[Unit Price]]-cleaneddata[[#This Row],[Discount]]</f>
        <v>6.6400000000000006</v>
      </c>
      <c r="Z44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6" spans="1:26" x14ac:dyDescent="0.3">
      <c r="A446">
        <v>1121</v>
      </c>
      <c r="B446" t="s">
        <v>1023</v>
      </c>
      <c r="C446" t="s">
        <v>23</v>
      </c>
      <c r="D446">
        <v>0.04</v>
      </c>
      <c r="E446">
        <v>19.98</v>
      </c>
      <c r="F446">
        <v>8.68</v>
      </c>
      <c r="G446" t="s">
        <v>14</v>
      </c>
      <c r="H446" t="s">
        <v>15</v>
      </c>
      <c r="I446" t="s">
        <v>24</v>
      </c>
      <c r="J446" t="s">
        <v>64</v>
      </c>
      <c r="K446" t="s">
        <v>49</v>
      </c>
      <c r="L446" t="s">
        <v>672</v>
      </c>
      <c r="M446">
        <v>0.37</v>
      </c>
      <c r="N446" t="s">
        <v>8</v>
      </c>
      <c r="O446" t="s">
        <v>35</v>
      </c>
      <c r="P446" t="s">
        <v>66</v>
      </c>
      <c r="Q446" t="s">
        <v>1024</v>
      </c>
      <c r="R446">
        <v>92592</v>
      </c>
      <c r="S446" s="1">
        <v>42042</v>
      </c>
      <c r="T446" s="1">
        <v>42049</v>
      </c>
      <c r="U446">
        <v>108</v>
      </c>
      <c r="V446">
        <v>8</v>
      </c>
      <c r="W446">
        <v>168.04</v>
      </c>
      <c r="X446">
        <v>86767</v>
      </c>
      <c r="Y446">
        <f>cleaneddata[[#This Row],[Unit Price]]-cleaneddata[[#This Row],[Discount]]</f>
        <v>19.940000000000001</v>
      </c>
      <c r="Z44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7" spans="1:26" x14ac:dyDescent="0.3">
      <c r="A447">
        <v>1121</v>
      </c>
      <c r="B447" t="s">
        <v>1023</v>
      </c>
      <c r="C447" t="s">
        <v>23</v>
      </c>
      <c r="D447">
        <v>0.08</v>
      </c>
      <c r="E447">
        <v>125.99</v>
      </c>
      <c r="F447">
        <v>7.69</v>
      </c>
      <c r="G447" t="s">
        <v>14</v>
      </c>
      <c r="H447" t="s">
        <v>15</v>
      </c>
      <c r="I447" t="s">
        <v>16</v>
      </c>
      <c r="J447" t="s">
        <v>111</v>
      </c>
      <c r="K447" t="s">
        <v>49</v>
      </c>
      <c r="L447" t="s">
        <v>1025</v>
      </c>
      <c r="M447">
        <v>0.57999999999999996</v>
      </c>
      <c r="N447" t="s">
        <v>8</v>
      </c>
      <c r="O447" t="s">
        <v>35</v>
      </c>
      <c r="P447" t="s">
        <v>66</v>
      </c>
      <c r="Q447" t="s">
        <v>1024</v>
      </c>
      <c r="R447">
        <v>92592</v>
      </c>
      <c r="S447" s="1">
        <v>42042</v>
      </c>
      <c r="T447" s="1">
        <v>42044</v>
      </c>
      <c r="U447">
        <v>377.154</v>
      </c>
      <c r="V447">
        <v>7</v>
      </c>
      <c r="W447">
        <v>703.46</v>
      </c>
      <c r="X447">
        <v>86767</v>
      </c>
      <c r="Y447">
        <f>cleaneddata[[#This Row],[Unit Price]]-cleaneddata[[#This Row],[Discount]]</f>
        <v>125.91</v>
      </c>
      <c r="Z44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8" spans="1:26" x14ac:dyDescent="0.3">
      <c r="A448">
        <v>1723</v>
      </c>
      <c r="B448" t="s">
        <v>864</v>
      </c>
      <c r="C448" t="s">
        <v>92</v>
      </c>
      <c r="D448">
        <v>0.05</v>
      </c>
      <c r="E448">
        <v>6.68</v>
      </c>
      <c r="F448">
        <v>5.66</v>
      </c>
      <c r="G448" t="s">
        <v>14</v>
      </c>
      <c r="H448" t="s">
        <v>70</v>
      </c>
      <c r="I448" t="s">
        <v>24</v>
      </c>
      <c r="J448" t="s">
        <v>64</v>
      </c>
      <c r="K448" t="s">
        <v>49</v>
      </c>
      <c r="L448" t="s">
        <v>1026</v>
      </c>
      <c r="M448">
        <v>0.37</v>
      </c>
      <c r="N448" t="s">
        <v>8</v>
      </c>
      <c r="O448" t="s">
        <v>35</v>
      </c>
      <c r="P448" t="s">
        <v>66</v>
      </c>
      <c r="Q448" t="s">
        <v>866</v>
      </c>
      <c r="R448">
        <v>92037</v>
      </c>
      <c r="S448" s="1">
        <v>42042</v>
      </c>
      <c r="T448" s="1">
        <v>42044</v>
      </c>
      <c r="U448">
        <v>-66.48</v>
      </c>
      <c r="V448">
        <v>46</v>
      </c>
      <c r="W448">
        <v>320.93</v>
      </c>
      <c r="X448">
        <v>44002</v>
      </c>
      <c r="Y448">
        <f>cleaneddata[[#This Row],[Unit Price]]-cleaneddata[[#This Row],[Discount]]</f>
        <v>6.63</v>
      </c>
      <c r="Z44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49" spans="1:26" x14ac:dyDescent="0.3">
      <c r="A449">
        <v>1723</v>
      </c>
      <c r="B449" t="s">
        <v>864</v>
      </c>
      <c r="C449" t="s">
        <v>92</v>
      </c>
      <c r="D449">
        <v>0.03</v>
      </c>
      <c r="E449">
        <v>17.7</v>
      </c>
      <c r="F449">
        <v>9.4700000000000006</v>
      </c>
      <c r="G449" t="s">
        <v>14</v>
      </c>
      <c r="H449" t="s">
        <v>70</v>
      </c>
      <c r="I449" t="s">
        <v>24</v>
      </c>
      <c r="J449" t="s">
        <v>54</v>
      </c>
      <c r="K449" t="s">
        <v>49</v>
      </c>
      <c r="L449" t="s">
        <v>1027</v>
      </c>
      <c r="M449">
        <v>0.59</v>
      </c>
      <c r="N449" t="s">
        <v>8</v>
      </c>
      <c r="O449" t="s">
        <v>35</v>
      </c>
      <c r="P449" t="s">
        <v>66</v>
      </c>
      <c r="Q449" t="s">
        <v>866</v>
      </c>
      <c r="R449">
        <v>92037</v>
      </c>
      <c r="S449" s="1">
        <v>42042</v>
      </c>
      <c r="T449" s="1">
        <v>42042</v>
      </c>
      <c r="U449">
        <v>-52.33</v>
      </c>
      <c r="V449">
        <v>14</v>
      </c>
      <c r="W449">
        <v>261.85000000000002</v>
      </c>
      <c r="X449">
        <v>44002</v>
      </c>
      <c r="Y449">
        <f>cleaneddata[[#This Row],[Unit Price]]-cleaneddata[[#This Row],[Discount]]</f>
        <v>17.669999999999998</v>
      </c>
      <c r="Z44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50" spans="1:26" x14ac:dyDescent="0.3">
      <c r="A450">
        <v>2813</v>
      </c>
      <c r="B450" t="s">
        <v>1028</v>
      </c>
      <c r="C450" t="s">
        <v>92</v>
      </c>
      <c r="D450">
        <v>7.0000000000000007E-2</v>
      </c>
      <c r="E450">
        <v>30.56</v>
      </c>
      <c r="F450">
        <v>2.99</v>
      </c>
      <c r="G450" t="s">
        <v>14</v>
      </c>
      <c r="H450" t="s">
        <v>70</v>
      </c>
      <c r="I450" t="s">
        <v>24</v>
      </c>
      <c r="J450" t="s">
        <v>48</v>
      </c>
      <c r="K450" t="s">
        <v>49</v>
      </c>
      <c r="L450" t="s">
        <v>1029</v>
      </c>
      <c r="M450">
        <v>0.35</v>
      </c>
      <c r="N450" t="s">
        <v>8</v>
      </c>
      <c r="O450" t="s">
        <v>9</v>
      </c>
      <c r="P450" t="s">
        <v>376</v>
      </c>
      <c r="Q450" t="s">
        <v>1030</v>
      </c>
      <c r="R450">
        <v>37311</v>
      </c>
      <c r="S450" s="1">
        <v>42042</v>
      </c>
      <c r="T450" s="1">
        <v>42042</v>
      </c>
      <c r="U450">
        <v>-95.618600000000001</v>
      </c>
      <c r="V450">
        <v>12</v>
      </c>
      <c r="W450">
        <v>364.92</v>
      </c>
      <c r="X450">
        <v>88819</v>
      </c>
      <c r="Y450">
        <f>cleaneddata[[#This Row],[Unit Price]]-cleaneddata[[#This Row],[Discount]]</f>
        <v>30.49</v>
      </c>
      <c r="Z45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51" spans="1:26" x14ac:dyDescent="0.3">
      <c r="A451">
        <v>1026</v>
      </c>
      <c r="B451" t="s">
        <v>1031</v>
      </c>
      <c r="C451" t="s">
        <v>46</v>
      </c>
      <c r="D451">
        <v>0.08</v>
      </c>
      <c r="E451">
        <v>65.989999999999995</v>
      </c>
      <c r="F451">
        <v>5.92</v>
      </c>
      <c r="G451" t="s">
        <v>14</v>
      </c>
      <c r="H451" t="s">
        <v>3</v>
      </c>
      <c r="I451" t="s">
        <v>16</v>
      </c>
      <c r="J451" t="s">
        <v>111</v>
      </c>
      <c r="K451" t="s">
        <v>49</v>
      </c>
      <c r="L451" t="s">
        <v>1032</v>
      </c>
      <c r="M451">
        <v>0.57999999999999996</v>
      </c>
      <c r="N451" t="s">
        <v>8</v>
      </c>
      <c r="O451" t="s">
        <v>87</v>
      </c>
      <c r="P451" t="s">
        <v>88</v>
      </c>
      <c r="Q451" t="s">
        <v>1033</v>
      </c>
      <c r="R451">
        <v>11722</v>
      </c>
      <c r="S451" s="1">
        <v>42042</v>
      </c>
      <c r="T451" s="1">
        <v>42042</v>
      </c>
      <c r="U451">
        <v>624.40164000000004</v>
      </c>
      <c r="V451">
        <v>22</v>
      </c>
      <c r="W451">
        <v>1137.5999999999999</v>
      </c>
      <c r="X451">
        <v>89005</v>
      </c>
      <c r="Y451">
        <f>cleaneddata[[#This Row],[Unit Price]]-cleaneddata[[#This Row],[Discount]]</f>
        <v>65.91</v>
      </c>
      <c r="Z45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52" spans="1:26" x14ac:dyDescent="0.3">
      <c r="A452">
        <v>3403</v>
      </c>
      <c r="B452" t="s">
        <v>1034</v>
      </c>
      <c r="C452" t="s">
        <v>13</v>
      </c>
      <c r="D452">
        <v>0.1</v>
      </c>
      <c r="E452">
        <v>105.98</v>
      </c>
      <c r="F452">
        <v>13.99</v>
      </c>
      <c r="G452" t="s">
        <v>63</v>
      </c>
      <c r="H452" t="s">
        <v>15</v>
      </c>
      <c r="I452" t="s">
        <v>4</v>
      </c>
      <c r="J452" t="s">
        <v>102</v>
      </c>
      <c r="K452" t="s">
        <v>120</v>
      </c>
      <c r="L452" t="s">
        <v>1035</v>
      </c>
      <c r="M452">
        <v>0.65</v>
      </c>
      <c r="N452" t="s">
        <v>8</v>
      </c>
      <c r="O452" t="s">
        <v>35</v>
      </c>
      <c r="P452" t="s">
        <v>1036</v>
      </c>
      <c r="Q452" t="s">
        <v>1037</v>
      </c>
      <c r="R452">
        <v>82001</v>
      </c>
      <c r="S452" s="1">
        <v>42043</v>
      </c>
      <c r="T452" s="1">
        <v>42046</v>
      </c>
      <c r="U452">
        <v>349.48500000000001</v>
      </c>
      <c r="V452">
        <v>5</v>
      </c>
      <c r="W452">
        <v>506.5</v>
      </c>
      <c r="X452">
        <v>87530</v>
      </c>
      <c r="Y452">
        <f>cleaneddata[[#This Row],[Unit Price]]-cleaneddata[[#This Row],[Discount]]</f>
        <v>105.88000000000001</v>
      </c>
      <c r="Z45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53" spans="1:26" x14ac:dyDescent="0.3">
      <c r="A453">
        <v>471</v>
      </c>
      <c r="B453" t="s">
        <v>1038</v>
      </c>
      <c r="C453" t="s">
        <v>46</v>
      </c>
      <c r="D453">
        <v>7.0000000000000007E-2</v>
      </c>
      <c r="E453">
        <v>179.99</v>
      </c>
      <c r="F453">
        <v>19.989999999999998</v>
      </c>
      <c r="G453" t="s">
        <v>63</v>
      </c>
      <c r="H453" t="s">
        <v>15</v>
      </c>
      <c r="I453" t="s">
        <v>16</v>
      </c>
      <c r="J453" t="s">
        <v>17</v>
      </c>
      <c r="K453" t="s">
        <v>49</v>
      </c>
      <c r="L453" t="s">
        <v>691</v>
      </c>
      <c r="M453">
        <v>0.48</v>
      </c>
      <c r="N453" t="s">
        <v>8</v>
      </c>
      <c r="O453" t="s">
        <v>9</v>
      </c>
      <c r="P453" t="s">
        <v>51</v>
      </c>
      <c r="Q453" t="s">
        <v>337</v>
      </c>
      <c r="R453">
        <v>30318</v>
      </c>
      <c r="S453" s="1">
        <v>42043</v>
      </c>
      <c r="T453" s="1">
        <v>42043</v>
      </c>
      <c r="U453">
        <v>-568.53510000000006</v>
      </c>
      <c r="V453">
        <v>4</v>
      </c>
      <c r="W453">
        <v>718.03</v>
      </c>
      <c r="X453">
        <v>3138</v>
      </c>
      <c r="Y453">
        <f>cleaneddata[[#This Row],[Unit Price]]-cleaneddata[[#This Row],[Discount]]</f>
        <v>179.92000000000002</v>
      </c>
      <c r="Z45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54" spans="1:26" x14ac:dyDescent="0.3">
      <c r="A454">
        <v>472</v>
      </c>
      <c r="B454" t="s">
        <v>1039</v>
      </c>
      <c r="C454" t="s">
        <v>46</v>
      </c>
      <c r="D454">
        <v>7.0000000000000007E-2</v>
      </c>
      <c r="E454">
        <v>179.99</v>
      </c>
      <c r="F454">
        <v>19.989999999999998</v>
      </c>
      <c r="G454" t="s">
        <v>63</v>
      </c>
      <c r="H454" t="s">
        <v>15</v>
      </c>
      <c r="I454" t="s">
        <v>16</v>
      </c>
      <c r="J454" t="s">
        <v>17</v>
      </c>
      <c r="K454" t="s">
        <v>49</v>
      </c>
      <c r="L454" t="s">
        <v>691</v>
      </c>
      <c r="M454">
        <v>0.48</v>
      </c>
      <c r="N454" t="s">
        <v>8</v>
      </c>
      <c r="O454" t="s">
        <v>87</v>
      </c>
      <c r="P454" t="s">
        <v>394</v>
      </c>
      <c r="Q454" t="s">
        <v>1040</v>
      </c>
      <c r="R454">
        <v>21133</v>
      </c>
      <c r="S454" s="1">
        <v>42043</v>
      </c>
      <c r="T454" s="1">
        <v>42043</v>
      </c>
      <c r="U454">
        <v>-427.47</v>
      </c>
      <c r="V454">
        <v>1</v>
      </c>
      <c r="W454">
        <v>179.51</v>
      </c>
      <c r="X454">
        <v>88023</v>
      </c>
      <c r="Y454">
        <f>cleaneddata[[#This Row],[Unit Price]]-cleaneddata[[#This Row],[Discount]]</f>
        <v>179.92000000000002</v>
      </c>
      <c r="Z45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55" spans="1:26" x14ac:dyDescent="0.3">
      <c r="A455">
        <v>2151</v>
      </c>
      <c r="B455" t="s">
        <v>210</v>
      </c>
      <c r="C455" t="s">
        <v>13</v>
      </c>
      <c r="D455">
        <v>0.08</v>
      </c>
      <c r="E455">
        <v>5.74</v>
      </c>
      <c r="F455">
        <v>5.01</v>
      </c>
      <c r="G455" t="s">
        <v>14</v>
      </c>
      <c r="H455" t="s">
        <v>70</v>
      </c>
      <c r="I455" t="s">
        <v>24</v>
      </c>
      <c r="J455" t="s">
        <v>48</v>
      </c>
      <c r="K455" t="s">
        <v>49</v>
      </c>
      <c r="L455" t="s">
        <v>1041</v>
      </c>
      <c r="M455">
        <v>0.39</v>
      </c>
      <c r="N455" t="s">
        <v>8</v>
      </c>
      <c r="O455" t="s">
        <v>28</v>
      </c>
      <c r="P455" t="s">
        <v>189</v>
      </c>
      <c r="Q455" t="s">
        <v>212</v>
      </c>
      <c r="R455">
        <v>52001</v>
      </c>
      <c r="S455" s="1">
        <v>42044</v>
      </c>
      <c r="T455" s="1">
        <v>42046</v>
      </c>
      <c r="U455">
        <v>-6.9308199999999998</v>
      </c>
      <c r="V455">
        <v>1</v>
      </c>
      <c r="W455">
        <v>7.21</v>
      </c>
      <c r="X455">
        <v>90405</v>
      </c>
      <c r="Y455">
        <f>cleaneddata[[#This Row],[Unit Price]]-cleaneddata[[#This Row],[Discount]]</f>
        <v>5.66</v>
      </c>
      <c r="Z4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56" spans="1:26" x14ac:dyDescent="0.3">
      <c r="A456">
        <v>1671</v>
      </c>
      <c r="B456" t="s">
        <v>1042</v>
      </c>
      <c r="C456" t="s">
        <v>23</v>
      </c>
      <c r="D456">
        <v>0.1</v>
      </c>
      <c r="E456">
        <v>4.13</v>
      </c>
      <c r="F456">
        <v>0.99</v>
      </c>
      <c r="G456" t="s">
        <v>14</v>
      </c>
      <c r="H456" t="s">
        <v>3</v>
      </c>
      <c r="I456" t="s">
        <v>24</v>
      </c>
      <c r="J456" t="s">
        <v>128</v>
      </c>
      <c r="K456" t="s">
        <v>49</v>
      </c>
      <c r="L456" t="s">
        <v>302</v>
      </c>
      <c r="M456">
        <v>0.39</v>
      </c>
      <c r="N456" t="s">
        <v>8</v>
      </c>
      <c r="O456" t="s">
        <v>9</v>
      </c>
      <c r="P456" t="s">
        <v>218</v>
      </c>
      <c r="Q456" t="s">
        <v>1043</v>
      </c>
      <c r="R456">
        <v>22015</v>
      </c>
      <c r="S456" s="1">
        <v>42044</v>
      </c>
      <c r="T456" s="1">
        <v>42048</v>
      </c>
      <c r="U456">
        <v>-40.53</v>
      </c>
      <c r="V456">
        <v>13</v>
      </c>
      <c r="W456">
        <v>52.16</v>
      </c>
      <c r="X456">
        <v>86724</v>
      </c>
      <c r="Y456">
        <f>cleaneddata[[#This Row],[Unit Price]]-cleaneddata[[#This Row],[Discount]]</f>
        <v>4.03</v>
      </c>
      <c r="Z45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57" spans="1:26" x14ac:dyDescent="0.3">
      <c r="A457">
        <v>1574</v>
      </c>
      <c r="B457" t="s">
        <v>1044</v>
      </c>
      <c r="C457" t="s">
        <v>92</v>
      </c>
      <c r="D457">
        <v>7.0000000000000007E-2</v>
      </c>
      <c r="E457">
        <v>20.95</v>
      </c>
      <c r="F457">
        <v>5.99</v>
      </c>
      <c r="G457" t="s">
        <v>14</v>
      </c>
      <c r="H457" t="s">
        <v>15</v>
      </c>
      <c r="I457" t="s">
        <v>16</v>
      </c>
      <c r="J457" t="s">
        <v>17</v>
      </c>
      <c r="K457" t="s">
        <v>49</v>
      </c>
      <c r="L457" t="s">
        <v>229</v>
      </c>
      <c r="M457">
        <v>0.65</v>
      </c>
      <c r="N457" t="s">
        <v>8</v>
      </c>
      <c r="O457" t="s">
        <v>9</v>
      </c>
      <c r="P457" t="s">
        <v>73</v>
      </c>
      <c r="Q457" t="s">
        <v>1045</v>
      </c>
      <c r="R457">
        <v>28314</v>
      </c>
      <c r="S457" s="1">
        <v>42044</v>
      </c>
      <c r="T457" s="1">
        <v>42045</v>
      </c>
      <c r="U457">
        <v>27.234000000000002</v>
      </c>
      <c r="V457">
        <v>19</v>
      </c>
      <c r="W457">
        <v>391.4</v>
      </c>
      <c r="X457">
        <v>86966</v>
      </c>
      <c r="Y457">
        <f>cleaneddata[[#This Row],[Unit Price]]-cleaneddata[[#This Row],[Discount]]</f>
        <v>20.88</v>
      </c>
      <c r="Z45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58" spans="1:26" x14ac:dyDescent="0.3">
      <c r="A458">
        <v>2619</v>
      </c>
      <c r="B458" t="s">
        <v>1046</v>
      </c>
      <c r="C458" t="s">
        <v>46</v>
      </c>
      <c r="D458">
        <v>0.1</v>
      </c>
      <c r="E458">
        <v>30.98</v>
      </c>
      <c r="F458">
        <v>8.99</v>
      </c>
      <c r="G458" t="s">
        <v>14</v>
      </c>
      <c r="H458" t="s">
        <v>70</v>
      </c>
      <c r="I458" t="s">
        <v>24</v>
      </c>
      <c r="J458" t="s">
        <v>25</v>
      </c>
      <c r="K458" t="s">
        <v>18</v>
      </c>
      <c r="L458" t="s">
        <v>315</v>
      </c>
      <c r="M458">
        <v>0.57999999999999996</v>
      </c>
      <c r="N458" t="s">
        <v>8</v>
      </c>
      <c r="O458" t="s">
        <v>28</v>
      </c>
      <c r="P458" t="s">
        <v>1047</v>
      </c>
      <c r="Q458" t="s">
        <v>1048</v>
      </c>
      <c r="R458">
        <v>57103</v>
      </c>
      <c r="S458" s="1">
        <v>42044</v>
      </c>
      <c r="T458" s="1">
        <v>42046</v>
      </c>
      <c r="U458">
        <v>-20.222799999999999</v>
      </c>
      <c r="V458">
        <v>4</v>
      </c>
      <c r="W458">
        <v>119.37</v>
      </c>
      <c r="X458">
        <v>88015</v>
      </c>
      <c r="Y458">
        <f>cleaneddata[[#This Row],[Unit Price]]-cleaneddata[[#This Row],[Discount]]</f>
        <v>30.88</v>
      </c>
      <c r="Z45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59" spans="1:26" x14ac:dyDescent="0.3">
      <c r="A459">
        <v>491</v>
      </c>
      <c r="B459" t="s">
        <v>1049</v>
      </c>
      <c r="C459" t="s">
        <v>1</v>
      </c>
      <c r="D459">
        <v>0.01</v>
      </c>
      <c r="E459">
        <v>4.9800000000000004</v>
      </c>
      <c r="F459">
        <v>6.07</v>
      </c>
      <c r="G459" t="s">
        <v>14</v>
      </c>
      <c r="H459" t="s">
        <v>15</v>
      </c>
      <c r="I459" t="s">
        <v>24</v>
      </c>
      <c r="J459" t="s">
        <v>64</v>
      </c>
      <c r="K459" t="s">
        <v>49</v>
      </c>
      <c r="L459" t="s">
        <v>763</v>
      </c>
      <c r="M459">
        <v>0.36</v>
      </c>
      <c r="N459" t="s">
        <v>8</v>
      </c>
      <c r="O459" t="s">
        <v>87</v>
      </c>
      <c r="P459" t="s">
        <v>88</v>
      </c>
      <c r="Q459" t="s">
        <v>89</v>
      </c>
      <c r="R459">
        <v>10154</v>
      </c>
      <c r="S459" s="1">
        <v>42045</v>
      </c>
      <c r="T459" s="1">
        <v>42046</v>
      </c>
      <c r="U459">
        <v>-69.069999999999993</v>
      </c>
      <c r="V459">
        <v>41</v>
      </c>
      <c r="W459">
        <v>217</v>
      </c>
      <c r="X459">
        <v>10464</v>
      </c>
      <c r="Y459">
        <f>cleaneddata[[#This Row],[Unit Price]]-cleaneddata[[#This Row],[Discount]]</f>
        <v>4.9700000000000006</v>
      </c>
      <c r="Z45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60" spans="1:26" x14ac:dyDescent="0.3">
      <c r="A460">
        <v>494</v>
      </c>
      <c r="B460" t="s">
        <v>1050</v>
      </c>
      <c r="C460" t="s">
        <v>1</v>
      </c>
      <c r="D460">
        <v>0.01</v>
      </c>
      <c r="E460">
        <v>4.9800000000000004</v>
      </c>
      <c r="F460">
        <v>6.07</v>
      </c>
      <c r="G460" t="s">
        <v>14</v>
      </c>
      <c r="H460" t="s">
        <v>15</v>
      </c>
      <c r="I460" t="s">
        <v>24</v>
      </c>
      <c r="J460" t="s">
        <v>64</v>
      </c>
      <c r="K460" t="s">
        <v>49</v>
      </c>
      <c r="L460" t="s">
        <v>763</v>
      </c>
      <c r="M460">
        <v>0.36</v>
      </c>
      <c r="N460" t="s">
        <v>8</v>
      </c>
      <c r="O460" t="s">
        <v>35</v>
      </c>
      <c r="P460" t="s">
        <v>42</v>
      </c>
      <c r="Q460" t="s">
        <v>118</v>
      </c>
      <c r="R460">
        <v>98115</v>
      </c>
      <c r="S460" s="1">
        <v>42045</v>
      </c>
      <c r="T460" s="1">
        <v>42046</v>
      </c>
      <c r="U460">
        <v>-35.916400000000003</v>
      </c>
      <c r="V460">
        <v>10</v>
      </c>
      <c r="W460">
        <v>52.93</v>
      </c>
      <c r="X460">
        <v>88907</v>
      </c>
      <c r="Y460">
        <f>cleaneddata[[#This Row],[Unit Price]]-cleaneddata[[#This Row],[Discount]]</f>
        <v>4.9700000000000006</v>
      </c>
      <c r="Z4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61" spans="1:26" x14ac:dyDescent="0.3">
      <c r="A461">
        <v>1267</v>
      </c>
      <c r="B461" t="s">
        <v>1051</v>
      </c>
      <c r="C461" t="s">
        <v>1</v>
      </c>
      <c r="D461">
        <v>0.01</v>
      </c>
      <c r="E461">
        <v>13.99</v>
      </c>
      <c r="F461">
        <v>7.51</v>
      </c>
      <c r="G461" t="s">
        <v>14</v>
      </c>
      <c r="H461" t="s">
        <v>70</v>
      </c>
      <c r="I461" t="s">
        <v>16</v>
      </c>
      <c r="J461" t="s">
        <v>32</v>
      </c>
      <c r="K461" t="s">
        <v>120</v>
      </c>
      <c r="L461" t="s">
        <v>1052</v>
      </c>
      <c r="M461">
        <v>0.39</v>
      </c>
      <c r="N461" t="s">
        <v>8</v>
      </c>
      <c r="O461" t="s">
        <v>9</v>
      </c>
      <c r="P461" t="s">
        <v>99</v>
      </c>
      <c r="Q461" t="s">
        <v>1053</v>
      </c>
      <c r="R461">
        <v>33433</v>
      </c>
      <c r="S461" s="1">
        <v>42045</v>
      </c>
      <c r="T461" s="1">
        <v>42046</v>
      </c>
      <c r="U461">
        <v>533.74199999999996</v>
      </c>
      <c r="V461">
        <v>2</v>
      </c>
      <c r="W461">
        <v>29.85</v>
      </c>
      <c r="X461">
        <v>89514</v>
      </c>
      <c r="Y461">
        <f>cleaneddata[[#This Row],[Unit Price]]-cleaneddata[[#This Row],[Discount]]</f>
        <v>13.98</v>
      </c>
      <c r="Z46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62" spans="1:26" x14ac:dyDescent="0.3">
      <c r="A462">
        <v>1361</v>
      </c>
      <c r="B462" t="s">
        <v>755</v>
      </c>
      <c r="C462" t="s">
        <v>1</v>
      </c>
      <c r="D462">
        <v>0.01</v>
      </c>
      <c r="E462">
        <v>6.48</v>
      </c>
      <c r="F462">
        <v>6.22</v>
      </c>
      <c r="G462" t="s">
        <v>63</v>
      </c>
      <c r="H462" t="s">
        <v>15</v>
      </c>
      <c r="I462" t="s">
        <v>24</v>
      </c>
      <c r="J462" t="s">
        <v>64</v>
      </c>
      <c r="K462" t="s">
        <v>49</v>
      </c>
      <c r="L462" t="s">
        <v>1054</v>
      </c>
      <c r="M462">
        <v>0.37</v>
      </c>
      <c r="N462" t="s">
        <v>8</v>
      </c>
      <c r="O462" t="s">
        <v>28</v>
      </c>
      <c r="P462" t="s">
        <v>265</v>
      </c>
      <c r="Q462" t="s">
        <v>756</v>
      </c>
      <c r="R462">
        <v>48101</v>
      </c>
      <c r="S462" s="1">
        <v>42045</v>
      </c>
      <c r="T462" s="1">
        <v>42046</v>
      </c>
      <c r="U462">
        <v>-15.6312</v>
      </c>
      <c r="V462">
        <v>9</v>
      </c>
      <c r="W462">
        <v>69.459999999999994</v>
      </c>
      <c r="X462">
        <v>89596</v>
      </c>
      <c r="Y462">
        <f>cleaneddata[[#This Row],[Unit Price]]-cleaneddata[[#This Row],[Discount]]</f>
        <v>6.4700000000000006</v>
      </c>
      <c r="Z46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63" spans="1:26" x14ac:dyDescent="0.3">
      <c r="A463">
        <v>1361</v>
      </c>
      <c r="B463" t="s">
        <v>755</v>
      </c>
      <c r="C463" t="s">
        <v>1</v>
      </c>
      <c r="D463">
        <v>0.03</v>
      </c>
      <c r="E463">
        <v>85.99</v>
      </c>
      <c r="F463">
        <v>3.3</v>
      </c>
      <c r="G463" t="s">
        <v>14</v>
      </c>
      <c r="H463" t="s">
        <v>15</v>
      </c>
      <c r="I463" t="s">
        <v>16</v>
      </c>
      <c r="J463" t="s">
        <v>111</v>
      </c>
      <c r="K463" t="s">
        <v>18</v>
      </c>
      <c r="L463" t="s">
        <v>490</v>
      </c>
      <c r="M463">
        <v>0.37</v>
      </c>
      <c r="N463" t="s">
        <v>8</v>
      </c>
      <c r="O463" t="s">
        <v>28</v>
      </c>
      <c r="P463" t="s">
        <v>265</v>
      </c>
      <c r="Q463" t="s">
        <v>756</v>
      </c>
      <c r="R463">
        <v>48101</v>
      </c>
      <c r="S463" s="1">
        <v>42045</v>
      </c>
      <c r="T463" s="1">
        <v>42047</v>
      </c>
      <c r="U463">
        <v>790.54679999999996</v>
      </c>
      <c r="V463">
        <v>16</v>
      </c>
      <c r="W463">
        <v>1145.72</v>
      </c>
      <c r="X463">
        <v>89596</v>
      </c>
      <c r="Y463">
        <f>cleaneddata[[#This Row],[Unit Price]]-cleaneddata[[#This Row],[Discount]]</f>
        <v>85.96</v>
      </c>
      <c r="Z46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64" spans="1:26" x14ac:dyDescent="0.3">
      <c r="A464">
        <v>2204</v>
      </c>
      <c r="B464" t="s">
        <v>938</v>
      </c>
      <c r="C464" t="s">
        <v>1</v>
      </c>
      <c r="D464">
        <v>0.04</v>
      </c>
      <c r="E464">
        <v>296.18</v>
      </c>
      <c r="F464">
        <v>154.12</v>
      </c>
      <c r="G464" t="s">
        <v>2</v>
      </c>
      <c r="H464" t="s">
        <v>15</v>
      </c>
      <c r="I464" t="s">
        <v>4</v>
      </c>
      <c r="J464" t="s">
        <v>5</v>
      </c>
      <c r="K464" t="s">
        <v>6</v>
      </c>
      <c r="L464" t="s">
        <v>1055</v>
      </c>
      <c r="M464">
        <v>0.76</v>
      </c>
      <c r="N464" t="s">
        <v>8</v>
      </c>
      <c r="O464" t="s">
        <v>28</v>
      </c>
      <c r="P464" t="s">
        <v>60</v>
      </c>
      <c r="Q464" t="s">
        <v>939</v>
      </c>
      <c r="R464">
        <v>55337</v>
      </c>
      <c r="S464" s="1">
        <v>42045</v>
      </c>
      <c r="T464" s="1">
        <v>42046</v>
      </c>
      <c r="U464">
        <v>-87.998040000000003</v>
      </c>
      <c r="V464">
        <v>20</v>
      </c>
      <c r="W464">
        <v>5768.12</v>
      </c>
      <c r="X464">
        <v>86053</v>
      </c>
      <c r="Y464">
        <f>cleaneddata[[#This Row],[Unit Price]]-cleaneddata[[#This Row],[Discount]]</f>
        <v>296.14</v>
      </c>
      <c r="Z4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65" spans="1:26" x14ac:dyDescent="0.3">
      <c r="A465">
        <v>1526</v>
      </c>
      <c r="B465" t="s">
        <v>1056</v>
      </c>
      <c r="C465" t="s">
        <v>13</v>
      </c>
      <c r="D465">
        <v>0.04</v>
      </c>
      <c r="E465">
        <v>11.34</v>
      </c>
      <c r="F465">
        <v>5.01</v>
      </c>
      <c r="G465" t="s">
        <v>14</v>
      </c>
      <c r="H465" t="s">
        <v>47</v>
      </c>
      <c r="I465" t="s">
        <v>24</v>
      </c>
      <c r="J465" t="s">
        <v>64</v>
      </c>
      <c r="K465" t="s">
        <v>49</v>
      </c>
      <c r="L465" t="s">
        <v>391</v>
      </c>
      <c r="M465">
        <v>0.36</v>
      </c>
      <c r="N465" t="s">
        <v>8</v>
      </c>
      <c r="O465" t="s">
        <v>9</v>
      </c>
      <c r="P465" t="s">
        <v>140</v>
      </c>
      <c r="Q465" t="s">
        <v>1057</v>
      </c>
      <c r="R465">
        <v>35211</v>
      </c>
      <c r="S465" s="1">
        <v>42045</v>
      </c>
      <c r="T465" s="1">
        <v>42046</v>
      </c>
      <c r="U465">
        <v>-189.22399999999999</v>
      </c>
      <c r="V465">
        <v>10</v>
      </c>
      <c r="W465">
        <v>115.53</v>
      </c>
      <c r="X465">
        <v>86812</v>
      </c>
      <c r="Y465">
        <f>cleaneddata[[#This Row],[Unit Price]]-cleaneddata[[#This Row],[Discount]]</f>
        <v>11.3</v>
      </c>
      <c r="Z46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66" spans="1:26" x14ac:dyDescent="0.3">
      <c r="A466">
        <v>1338</v>
      </c>
      <c r="B466" t="s">
        <v>1058</v>
      </c>
      <c r="C466" t="s">
        <v>23</v>
      </c>
      <c r="D466">
        <v>0.02</v>
      </c>
      <c r="E466">
        <v>55.99</v>
      </c>
      <c r="F466">
        <v>3.3</v>
      </c>
      <c r="G466" t="s">
        <v>14</v>
      </c>
      <c r="H466" t="s">
        <v>47</v>
      </c>
      <c r="I466" t="s">
        <v>16</v>
      </c>
      <c r="J466" t="s">
        <v>111</v>
      </c>
      <c r="K466" t="s">
        <v>18</v>
      </c>
      <c r="L466" t="s">
        <v>1059</v>
      </c>
      <c r="M466">
        <v>0.59</v>
      </c>
      <c r="N466" t="s">
        <v>8</v>
      </c>
      <c r="O466" t="s">
        <v>28</v>
      </c>
      <c r="P466" t="s">
        <v>79</v>
      </c>
      <c r="Q466" t="s">
        <v>509</v>
      </c>
      <c r="R466">
        <v>60623</v>
      </c>
      <c r="S466" s="1">
        <v>42045</v>
      </c>
      <c r="T466" s="1">
        <v>42045</v>
      </c>
      <c r="U466">
        <v>525.20039999999995</v>
      </c>
      <c r="V466">
        <v>16</v>
      </c>
      <c r="W466">
        <v>761.16</v>
      </c>
      <c r="X466">
        <v>91244</v>
      </c>
      <c r="Y466">
        <f>cleaneddata[[#This Row],[Unit Price]]-cleaneddata[[#This Row],[Discount]]</f>
        <v>55.97</v>
      </c>
      <c r="Z46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67" spans="1:26" x14ac:dyDescent="0.3">
      <c r="A467">
        <v>1340</v>
      </c>
      <c r="B467" t="s">
        <v>1060</v>
      </c>
      <c r="C467" t="s">
        <v>23</v>
      </c>
      <c r="D467">
        <v>0</v>
      </c>
      <c r="E467">
        <v>22.38</v>
      </c>
      <c r="F467">
        <v>15.1</v>
      </c>
      <c r="G467" t="s">
        <v>63</v>
      </c>
      <c r="H467" t="s">
        <v>47</v>
      </c>
      <c r="I467" t="s">
        <v>24</v>
      </c>
      <c r="J467" t="s">
        <v>48</v>
      </c>
      <c r="K467" t="s">
        <v>49</v>
      </c>
      <c r="L467" t="s">
        <v>1061</v>
      </c>
      <c r="M467">
        <v>0.38</v>
      </c>
      <c r="N467" t="s">
        <v>8</v>
      </c>
      <c r="O467" t="s">
        <v>87</v>
      </c>
      <c r="P467" t="s">
        <v>88</v>
      </c>
      <c r="Q467" t="s">
        <v>89</v>
      </c>
      <c r="R467">
        <v>10170</v>
      </c>
      <c r="S467" s="1">
        <v>42045</v>
      </c>
      <c r="T467" s="1">
        <v>42052</v>
      </c>
      <c r="U467">
        <v>-52.646999999999998</v>
      </c>
      <c r="V467">
        <v>29</v>
      </c>
      <c r="W467">
        <v>682.68</v>
      </c>
      <c r="X467">
        <v>21636</v>
      </c>
      <c r="Y467">
        <f>cleaneddata[[#This Row],[Unit Price]]-cleaneddata[[#This Row],[Discount]]</f>
        <v>22.38</v>
      </c>
      <c r="Z4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68" spans="1:26" x14ac:dyDescent="0.3">
      <c r="A468">
        <v>1340</v>
      </c>
      <c r="B468" t="s">
        <v>1060</v>
      </c>
      <c r="C468" t="s">
        <v>23</v>
      </c>
      <c r="D468">
        <v>7.0000000000000007E-2</v>
      </c>
      <c r="E468">
        <v>5.98</v>
      </c>
      <c r="F468">
        <v>4.6900000000000004</v>
      </c>
      <c r="G468" t="s">
        <v>14</v>
      </c>
      <c r="H468" t="s">
        <v>47</v>
      </c>
      <c r="I468" t="s">
        <v>24</v>
      </c>
      <c r="J468" t="s">
        <v>54</v>
      </c>
      <c r="K468" t="s">
        <v>49</v>
      </c>
      <c r="L468" t="s">
        <v>205</v>
      </c>
      <c r="M468">
        <v>0.68</v>
      </c>
      <c r="N468" t="s">
        <v>8</v>
      </c>
      <c r="O468" t="s">
        <v>87</v>
      </c>
      <c r="P468" t="s">
        <v>88</v>
      </c>
      <c r="Q468" t="s">
        <v>89</v>
      </c>
      <c r="R468">
        <v>10170</v>
      </c>
      <c r="S468" s="1">
        <v>42045</v>
      </c>
      <c r="T468" s="1">
        <v>42050</v>
      </c>
      <c r="U468">
        <v>-24.44</v>
      </c>
      <c r="V468">
        <v>11</v>
      </c>
      <c r="W468">
        <v>73.44</v>
      </c>
      <c r="X468">
        <v>21636</v>
      </c>
      <c r="Y468">
        <f>cleaneddata[[#This Row],[Unit Price]]-cleaneddata[[#This Row],[Discount]]</f>
        <v>5.91</v>
      </c>
      <c r="Z46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69" spans="1:26" x14ac:dyDescent="0.3">
      <c r="A469">
        <v>1340</v>
      </c>
      <c r="B469" t="s">
        <v>1060</v>
      </c>
      <c r="C469" t="s">
        <v>23</v>
      </c>
      <c r="D469">
        <v>0.02</v>
      </c>
      <c r="E469">
        <v>55.99</v>
      </c>
      <c r="F469">
        <v>3.3</v>
      </c>
      <c r="G469" t="s">
        <v>14</v>
      </c>
      <c r="H469" t="s">
        <v>47</v>
      </c>
      <c r="I469" t="s">
        <v>16</v>
      </c>
      <c r="J469" t="s">
        <v>111</v>
      </c>
      <c r="K469" t="s">
        <v>18</v>
      </c>
      <c r="L469" t="s">
        <v>1059</v>
      </c>
      <c r="M469">
        <v>0.59</v>
      </c>
      <c r="N469" t="s">
        <v>8</v>
      </c>
      <c r="O469" t="s">
        <v>87</v>
      </c>
      <c r="P469" t="s">
        <v>88</v>
      </c>
      <c r="Q469" t="s">
        <v>89</v>
      </c>
      <c r="R469">
        <v>10170</v>
      </c>
      <c r="S469" s="1">
        <v>42045</v>
      </c>
      <c r="T469" s="1">
        <v>42045</v>
      </c>
      <c r="U469">
        <v>366.50700000000001</v>
      </c>
      <c r="V469">
        <v>63</v>
      </c>
      <c r="W469">
        <v>2997.07</v>
      </c>
      <c r="X469">
        <v>21636</v>
      </c>
      <c r="Y469">
        <f>cleaneddata[[#This Row],[Unit Price]]-cleaneddata[[#This Row],[Discount]]</f>
        <v>55.97</v>
      </c>
      <c r="Z46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70" spans="1:26" x14ac:dyDescent="0.3">
      <c r="A470">
        <v>1341</v>
      </c>
      <c r="B470" t="s">
        <v>1062</v>
      </c>
      <c r="C470" t="s">
        <v>23</v>
      </c>
      <c r="D470">
        <v>7.0000000000000007E-2</v>
      </c>
      <c r="E470">
        <v>5.98</v>
      </c>
      <c r="F470">
        <v>4.6900000000000004</v>
      </c>
      <c r="G470" t="s">
        <v>14</v>
      </c>
      <c r="H470" t="s">
        <v>47</v>
      </c>
      <c r="I470" t="s">
        <v>24</v>
      </c>
      <c r="J470" t="s">
        <v>54</v>
      </c>
      <c r="K470" t="s">
        <v>49</v>
      </c>
      <c r="L470" t="s">
        <v>205</v>
      </c>
      <c r="M470">
        <v>0.68</v>
      </c>
      <c r="N470" t="s">
        <v>8</v>
      </c>
      <c r="O470" t="s">
        <v>87</v>
      </c>
      <c r="P470" t="s">
        <v>296</v>
      </c>
      <c r="Q470" t="s">
        <v>1063</v>
      </c>
      <c r="R470">
        <v>17201</v>
      </c>
      <c r="S470" s="1">
        <v>42045</v>
      </c>
      <c r="T470" s="1">
        <v>42050</v>
      </c>
      <c r="U470">
        <v>-12.7088</v>
      </c>
      <c r="V470">
        <v>3</v>
      </c>
      <c r="W470">
        <v>20.03</v>
      </c>
      <c r="X470">
        <v>91244</v>
      </c>
      <c r="Y470">
        <f>cleaneddata[[#This Row],[Unit Price]]-cleaneddata[[#This Row],[Discount]]</f>
        <v>5.91</v>
      </c>
      <c r="Z47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71" spans="1:26" x14ac:dyDescent="0.3">
      <c r="A471">
        <v>3004</v>
      </c>
      <c r="B471" t="s">
        <v>1064</v>
      </c>
      <c r="C471" t="s">
        <v>23</v>
      </c>
      <c r="D471">
        <v>0.08</v>
      </c>
      <c r="E471">
        <v>6.48</v>
      </c>
      <c r="F471">
        <v>6.81</v>
      </c>
      <c r="G471" t="s">
        <v>14</v>
      </c>
      <c r="H471" t="s">
        <v>70</v>
      </c>
      <c r="I471" t="s">
        <v>24</v>
      </c>
      <c r="J471" t="s">
        <v>64</v>
      </c>
      <c r="K471" t="s">
        <v>49</v>
      </c>
      <c r="L471" t="s">
        <v>1065</v>
      </c>
      <c r="M471">
        <v>0.36</v>
      </c>
      <c r="N471" t="s">
        <v>8</v>
      </c>
      <c r="O471" t="s">
        <v>35</v>
      </c>
      <c r="P471" t="s">
        <v>66</v>
      </c>
      <c r="Q471" t="s">
        <v>76</v>
      </c>
      <c r="R471">
        <v>90049</v>
      </c>
      <c r="S471" s="1">
        <v>42045</v>
      </c>
      <c r="T471" s="1">
        <v>42050</v>
      </c>
      <c r="U471">
        <v>-94.59</v>
      </c>
      <c r="V471">
        <v>58</v>
      </c>
      <c r="W471">
        <v>382.33</v>
      </c>
      <c r="X471">
        <v>54949</v>
      </c>
      <c r="Y471">
        <f>cleaneddata[[#This Row],[Unit Price]]-cleaneddata[[#This Row],[Discount]]</f>
        <v>6.4</v>
      </c>
      <c r="Z4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72" spans="1:26" x14ac:dyDescent="0.3">
      <c r="A472">
        <v>3004</v>
      </c>
      <c r="B472" t="s">
        <v>1064</v>
      </c>
      <c r="C472" t="s">
        <v>23</v>
      </c>
      <c r="D472">
        <v>0.09</v>
      </c>
      <c r="E472">
        <v>20.98</v>
      </c>
      <c r="F472">
        <v>53.03</v>
      </c>
      <c r="G472" t="s">
        <v>2</v>
      </c>
      <c r="H472" t="s">
        <v>70</v>
      </c>
      <c r="I472" t="s">
        <v>24</v>
      </c>
      <c r="J472" t="s">
        <v>54</v>
      </c>
      <c r="K472" t="s">
        <v>33</v>
      </c>
      <c r="L472" t="s">
        <v>1066</v>
      </c>
      <c r="M472">
        <v>0.78</v>
      </c>
      <c r="N472" t="s">
        <v>8</v>
      </c>
      <c r="O472" t="s">
        <v>35</v>
      </c>
      <c r="P472" t="s">
        <v>66</v>
      </c>
      <c r="Q472" t="s">
        <v>76</v>
      </c>
      <c r="R472">
        <v>90049</v>
      </c>
      <c r="S472" s="1">
        <v>42045</v>
      </c>
      <c r="T472" s="1">
        <v>42052</v>
      </c>
      <c r="U472">
        <v>-293.74</v>
      </c>
      <c r="V472">
        <v>13</v>
      </c>
      <c r="W472">
        <v>356.61</v>
      </c>
      <c r="X472">
        <v>54949</v>
      </c>
      <c r="Y472">
        <f>cleaneddata[[#This Row],[Unit Price]]-cleaneddata[[#This Row],[Discount]]</f>
        <v>20.89</v>
      </c>
      <c r="Z47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73" spans="1:26" x14ac:dyDescent="0.3">
      <c r="A473">
        <v>3006</v>
      </c>
      <c r="B473" t="s">
        <v>1067</v>
      </c>
      <c r="C473" t="s">
        <v>23</v>
      </c>
      <c r="D473">
        <v>0.08</v>
      </c>
      <c r="E473">
        <v>6.48</v>
      </c>
      <c r="F473">
        <v>6.81</v>
      </c>
      <c r="G473" t="s">
        <v>14</v>
      </c>
      <c r="H473" t="s">
        <v>70</v>
      </c>
      <c r="I473" t="s">
        <v>24</v>
      </c>
      <c r="J473" t="s">
        <v>64</v>
      </c>
      <c r="K473" t="s">
        <v>49</v>
      </c>
      <c r="L473" t="s">
        <v>1065</v>
      </c>
      <c r="M473">
        <v>0.36</v>
      </c>
      <c r="N473" t="s">
        <v>8</v>
      </c>
      <c r="O473" t="s">
        <v>35</v>
      </c>
      <c r="P473" t="s">
        <v>466</v>
      </c>
      <c r="Q473" t="s">
        <v>1068</v>
      </c>
      <c r="R473">
        <v>83402</v>
      </c>
      <c r="S473" s="1">
        <v>42045</v>
      </c>
      <c r="T473" s="1">
        <v>42050</v>
      </c>
      <c r="U473">
        <v>-49.186799999999998</v>
      </c>
      <c r="V473">
        <v>14</v>
      </c>
      <c r="W473">
        <v>92.29</v>
      </c>
      <c r="X473">
        <v>91388</v>
      </c>
      <c r="Y473">
        <f>cleaneddata[[#This Row],[Unit Price]]-cleaneddata[[#This Row],[Discount]]</f>
        <v>6.4</v>
      </c>
      <c r="Z47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74" spans="1:26" x14ac:dyDescent="0.3">
      <c r="A474">
        <v>3006</v>
      </c>
      <c r="B474" t="s">
        <v>1067</v>
      </c>
      <c r="C474" t="s">
        <v>23</v>
      </c>
      <c r="D474">
        <v>0.09</v>
      </c>
      <c r="E474">
        <v>20.98</v>
      </c>
      <c r="F474">
        <v>53.03</v>
      </c>
      <c r="G474" t="s">
        <v>2</v>
      </c>
      <c r="H474" t="s">
        <v>70</v>
      </c>
      <c r="I474" t="s">
        <v>24</v>
      </c>
      <c r="J474" t="s">
        <v>54</v>
      </c>
      <c r="K474" t="s">
        <v>33</v>
      </c>
      <c r="L474" t="s">
        <v>1066</v>
      </c>
      <c r="M474">
        <v>0.78</v>
      </c>
      <c r="N474" t="s">
        <v>8</v>
      </c>
      <c r="O474" t="s">
        <v>35</v>
      </c>
      <c r="P474" t="s">
        <v>466</v>
      </c>
      <c r="Q474" t="s">
        <v>1068</v>
      </c>
      <c r="R474">
        <v>83402</v>
      </c>
      <c r="S474" s="1">
        <v>42045</v>
      </c>
      <c r="T474" s="1">
        <v>42052</v>
      </c>
      <c r="U474">
        <v>-152.7448</v>
      </c>
      <c r="V474">
        <v>3</v>
      </c>
      <c r="W474">
        <v>82.29</v>
      </c>
      <c r="X474">
        <v>91388</v>
      </c>
      <c r="Y474">
        <f>cleaneddata[[#This Row],[Unit Price]]-cleaneddata[[#This Row],[Discount]]</f>
        <v>20.89</v>
      </c>
      <c r="Z4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75" spans="1:26" x14ac:dyDescent="0.3">
      <c r="A475">
        <v>1132</v>
      </c>
      <c r="B475" t="s">
        <v>1069</v>
      </c>
      <c r="C475" t="s">
        <v>92</v>
      </c>
      <c r="D475">
        <v>0.06</v>
      </c>
      <c r="E475">
        <v>6.37</v>
      </c>
      <c r="F475">
        <v>5.19</v>
      </c>
      <c r="G475" t="s">
        <v>14</v>
      </c>
      <c r="H475" t="s">
        <v>70</v>
      </c>
      <c r="I475" t="s">
        <v>24</v>
      </c>
      <c r="J475" t="s">
        <v>48</v>
      </c>
      <c r="K475" t="s">
        <v>49</v>
      </c>
      <c r="L475" t="s">
        <v>883</v>
      </c>
      <c r="M475">
        <v>0.38</v>
      </c>
      <c r="N475" t="s">
        <v>8</v>
      </c>
      <c r="O475" t="s">
        <v>28</v>
      </c>
      <c r="P475" t="s">
        <v>163</v>
      </c>
      <c r="Q475" t="s">
        <v>1070</v>
      </c>
      <c r="R475">
        <v>76039</v>
      </c>
      <c r="S475" s="1">
        <v>42045</v>
      </c>
      <c r="T475" s="1">
        <v>42046</v>
      </c>
      <c r="U475">
        <v>-48.219499999999996</v>
      </c>
      <c r="V475">
        <v>6</v>
      </c>
      <c r="W475">
        <v>37.700000000000003</v>
      </c>
      <c r="X475">
        <v>88101</v>
      </c>
      <c r="Y475">
        <f>cleaneddata[[#This Row],[Unit Price]]-cleaneddata[[#This Row],[Discount]]</f>
        <v>6.3100000000000005</v>
      </c>
      <c r="Z47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76" spans="1:26" x14ac:dyDescent="0.3">
      <c r="A476">
        <v>2145</v>
      </c>
      <c r="B476" t="s">
        <v>1071</v>
      </c>
      <c r="C476" t="s">
        <v>92</v>
      </c>
      <c r="D476">
        <v>0</v>
      </c>
      <c r="E476">
        <v>20.28</v>
      </c>
      <c r="F476">
        <v>14.39</v>
      </c>
      <c r="G476" t="s">
        <v>14</v>
      </c>
      <c r="H476" t="s">
        <v>70</v>
      </c>
      <c r="I476" t="s">
        <v>4</v>
      </c>
      <c r="J476" t="s">
        <v>102</v>
      </c>
      <c r="K476" t="s">
        <v>49</v>
      </c>
      <c r="L476" t="s">
        <v>686</v>
      </c>
      <c r="M476">
        <v>0.47</v>
      </c>
      <c r="N476" t="s">
        <v>8</v>
      </c>
      <c r="O476" t="s">
        <v>9</v>
      </c>
      <c r="P476" t="s">
        <v>99</v>
      </c>
      <c r="Q476" t="s">
        <v>1072</v>
      </c>
      <c r="R476">
        <v>33311</v>
      </c>
      <c r="S476" s="1">
        <v>42045</v>
      </c>
      <c r="T476" s="1">
        <v>42047</v>
      </c>
      <c r="U476">
        <v>15.678000000000001</v>
      </c>
      <c r="V476">
        <v>11</v>
      </c>
      <c r="W476">
        <v>237.83</v>
      </c>
      <c r="X476">
        <v>87072</v>
      </c>
      <c r="Y476">
        <f>cleaneddata[[#This Row],[Unit Price]]-cleaneddata[[#This Row],[Discount]]</f>
        <v>20.28</v>
      </c>
      <c r="Z47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77" spans="1:26" x14ac:dyDescent="0.3">
      <c r="A477">
        <v>1633</v>
      </c>
      <c r="B477" t="s">
        <v>1073</v>
      </c>
      <c r="C477" t="s">
        <v>46</v>
      </c>
      <c r="D477">
        <v>0.03</v>
      </c>
      <c r="E477">
        <v>5.98</v>
      </c>
      <c r="F477">
        <v>3.85</v>
      </c>
      <c r="G477" t="s">
        <v>14</v>
      </c>
      <c r="H477" t="s">
        <v>47</v>
      </c>
      <c r="I477" t="s">
        <v>16</v>
      </c>
      <c r="J477" t="s">
        <v>17</v>
      </c>
      <c r="K477" t="s">
        <v>18</v>
      </c>
      <c r="L477" t="s">
        <v>1074</v>
      </c>
      <c r="M477">
        <v>0.68</v>
      </c>
      <c r="N477" t="s">
        <v>8</v>
      </c>
      <c r="O477" t="s">
        <v>9</v>
      </c>
      <c r="P477" t="s">
        <v>10</v>
      </c>
      <c r="Q477" t="s">
        <v>1075</v>
      </c>
      <c r="R477">
        <v>38637</v>
      </c>
      <c r="S477" s="1">
        <v>42045</v>
      </c>
      <c r="T477" s="1">
        <v>42047</v>
      </c>
      <c r="U477">
        <v>-76.106800000000007</v>
      </c>
      <c r="V477">
        <v>6</v>
      </c>
      <c r="W477">
        <v>38.54</v>
      </c>
      <c r="X477">
        <v>90531</v>
      </c>
      <c r="Y477">
        <f>cleaneddata[[#This Row],[Unit Price]]-cleaneddata[[#This Row],[Discount]]</f>
        <v>5.95</v>
      </c>
      <c r="Z4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78" spans="1:26" x14ac:dyDescent="0.3">
      <c r="A478">
        <v>2302</v>
      </c>
      <c r="B478" t="s">
        <v>127</v>
      </c>
      <c r="C478" t="s">
        <v>1</v>
      </c>
      <c r="D478">
        <v>7.0000000000000007E-2</v>
      </c>
      <c r="E478">
        <v>270.98</v>
      </c>
      <c r="F478">
        <v>50</v>
      </c>
      <c r="G478" t="s">
        <v>2</v>
      </c>
      <c r="H478" t="s">
        <v>70</v>
      </c>
      <c r="I478" t="s">
        <v>4</v>
      </c>
      <c r="J478" t="s">
        <v>85</v>
      </c>
      <c r="K478" t="s">
        <v>33</v>
      </c>
      <c r="L478" t="s">
        <v>1076</v>
      </c>
      <c r="M478">
        <v>0.77</v>
      </c>
      <c r="N478" t="s">
        <v>8</v>
      </c>
      <c r="O478" t="s">
        <v>9</v>
      </c>
      <c r="P478" t="s">
        <v>99</v>
      </c>
      <c r="Q478" t="s">
        <v>130</v>
      </c>
      <c r="R478">
        <v>32404</v>
      </c>
      <c r="S478" s="1">
        <v>42046</v>
      </c>
      <c r="T478" s="1">
        <v>42048</v>
      </c>
      <c r="U478">
        <v>27.725999999999999</v>
      </c>
      <c r="V478">
        <v>9</v>
      </c>
      <c r="W478">
        <v>2439.37</v>
      </c>
      <c r="X478">
        <v>87695</v>
      </c>
      <c r="Y478">
        <f>cleaneddata[[#This Row],[Unit Price]]-cleaneddata[[#This Row],[Discount]]</f>
        <v>270.91000000000003</v>
      </c>
      <c r="Z4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79" spans="1:26" x14ac:dyDescent="0.3">
      <c r="A479">
        <v>2303</v>
      </c>
      <c r="B479" t="s">
        <v>132</v>
      </c>
      <c r="C479" t="s">
        <v>1</v>
      </c>
      <c r="D479">
        <v>7.0000000000000007E-2</v>
      </c>
      <c r="E479">
        <v>270.98</v>
      </c>
      <c r="F479">
        <v>50</v>
      </c>
      <c r="G479" t="s">
        <v>2</v>
      </c>
      <c r="H479" t="s">
        <v>70</v>
      </c>
      <c r="I479" t="s">
        <v>4</v>
      </c>
      <c r="J479" t="s">
        <v>85</v>
      </c>
      <c r="K479" t="s">
        <v>33</v>
      </c>
      <c r="L479" t="s">
        <v>1076</v>
      </c>
      <c r="M479">
        <v>0.77</v>
      </c>
      <c r="N479" t="s">
        <v>8</v>
      </c>
      <c r="O479" t="s">
        <v>87</v>
      </c>
      <c r="P479" t="s">
        <v>88</v>
      </c>
      <c r="Q479" t="s">
        <v>89</v>
      </c>
      <c r="R479">
        <v>10011</v>
      </c>
      <c r="S479" s="1">
        <v>42046</v>
      </c>
      <c r="T479" s="1">
        <v>42048</v>
      </c>
      <c r="U479">
        <v>-96.05</v>
      </c>
      <c r="V479">
        <v>36</v>
      </c>
      <c r="W479">
        <v>9757.48</v>
      </c>
      <c r="X479">
        <v>47493</v>
      </c>
      <c r="Y479">
        <f>cleaneddata[[#This Row],[Unit Price]]-cleaneddata[[#This Row],[Discount]]</f>
        <v>270.91000000000003</v>
      </c>
      <c r="Z47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80" spans="1:26" x14ac:dyDescent="0.3">
      <c r="A480">
        <v>1354</v>
      </c>
      <c r="B480" t="s">
        <v>1077</v>
      </c>
      <c r="C480" t="s">
        <v>13</v>
      </c>
      <c r="D480">
        <v>0.1</v>
      </c>
      <c r="E480">
        <v>4.13</v>
      </c>
      <c r="F480">
        <v>0.99</v>
      </c>
      <c r="G480" t="s">
        <v>14</v>
      </c>
      <c r="H480" t="s">
        <v>15</v>
      </c>
      <c r="I480" t="s">
        <v>24</v>
      </c>
      <c r="J480" t="s">
        <v>128</v>
      </c>
      <c r="K480" t="s">
        <v>49</v>
      </c>
      <c r="L480" t="s">
        <v>302</v>
      </c>
      <c r="M480">
        <v>0.39</v>
      </c>
      <c r="N480" t="s">
        <v>8</v>
      </c>
      <c r="O480" t="s">
        <v>28</v>
      </c>
      <c r="P480" t="s">
        <v>163</v>
      </c>
      <c r="Q480" t="s">
        <v>1078</v>
      </c>
      <c r="R480">
        <v>76086</v>
      </c>
      <c r="S480" s="1">
        <v>42046</v>
      </c>
      <c r="T480" s="1">
        <v>42046</v>
      </c>
      <c r="U480">
        <v>-1.0711999999999999</v>
      </c>
      <c r="V480">
        <v>2</v>
      </c>
      <c r="W480">
        <v>8.3000000000000007</v>
      </c>
      <c r="X480">
        <v>91209</v>
      </c>
      <c r="Y480">
        <f>cleaneddata[[#This Row],[Unit Price]]-cleaneddata[[#This Row],[Discount]]</f>
        <v>4.03</v>
      </c>
      <c r="Z48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81" spans="1:26" x14ac:dyDescent="0.3">
      <c r="A481">
        <v>1354</v>
      </c>
      <c r="B481" t="s">
        <v>1077</v>
      </c>
      <c r="C481" t="s">
        <v>13</v>
      </c>
      <c r="D481">
        <v>0.04</v>
      </c>
      <c r="E481">
        <v>4.9800000000000004</v>
      </c>
      <c r="F481">
        <v>0.49</v>
      </c>
      <c r="G481" t="s">
        <v>14</v>
      </c>
      <c r="H481" t="s">
        <v>15</v>
      </c>
      <c r="I481" t="s">
        <v>24</v>
      </c>
      <c r="J481" t="s">
        <v>128</v>
      </c>
      <c r="K481" t="s">
        <v>49</v>
      </c>
      <c r="L481" t="s">
        <v>1079</v>
      </c>
      <c r="M481">
        <v>0.39</v>
      </c>
      <c r="N481" t="s">
        <v>8</v>
      </c>
      <c r="O481" t="s">
        <v>28</v>
      </c>
      <c r="P481" t="s">
        <v>163</v>
      </c>
      <c r="Q481" t="s">
        <v>1078</v>
      </c>
      <c r="R481">
        <v>76086</v>
      </c>
      <c r="S481" s="1">
        <v>42046</v>
      </c>
      <c r="T481" s="1">
        <v>42048</v>
      </c>
      <c r="U481">
        <v>4.4104000000000001</v>
      </c>
      <c r="V481">
        <v>2</v>
      </c>
      <c r="W481">
        <v>10.039999999999999</v>
      </c>
      <c r="X481">
        <v>91209</v>
      </c>
      <c r="Y481">
        <f>cleaneddata[[#This Row],[Unit Price]]-cleaneddata[[#This Row],[Discount]]</f>
        <v>4.9400000000000004</v>
      </c>
      <c r="Z48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82" spans="1:26" x14ac:dyDescent="0.3">
      <c r="A482">
        <v>2072</v>
      </c>
      <c r="B482" t="s">
        <v>896</v>
      </c>
      <c r="C482" t="s">
        <v>13</v>
      </c>
      <c r="D482">
        <v>0.09</v>
      </c>
      <c r="E482">
        <v>260.98</v>
      </c>
      <c r="F482">
        <v>41.91</v>
      </c>
      <c r="G482" t="s">
        <v>2</v>
      </c>
      <c r="H482" t="s">
        <v>70</v>
      </c>
      <c r="I482" t="s">
        <v>4</v>
      </c>
      <c r="J482" t="s">
        <v>93</v>
      </c>
      <c r="K482" t="s">
        <v>6</v>
      </c>
      <c r="L482" t="s">
        <v>411</v>
      </c>
      <c r="M482">
        <v>0.59</v>
      </c>
      <c r="N482" t="s">
        <v>8</v>
      </c>
      <c r="O482" t="s">
        <v>28</v>
      </c>
      <c r="P482" t="s">
        <v>265</v>
      </c>
      <c r="Q482" t="s">
        <v>898</v>
      </c>
      <c r="R482">
        <v>48505</v>
      </c>
      <c r="S482" s="1">
        <v>42046</v>
      </c>
      <c r="T482" s="1">
        <v>42048</v>
      </c>
      <c r="U482">
        <v>1307.2692</v>
      </c>
      <c r="V482">
        <v>14</v>
      </c>
      <c r="W482">
        <v>3377.06</v>
      </c>
      <c r="X482">
        <v>88556</v>
      </c>
      <c r="Y482">
        <f>cleaneddata[[#This Row],[Unit Price]]-cleaneddata[[#This Row],[Discount]]</f>
        <v>260.89000000000004</v>
      </c>
      <c r="Z48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83" spans="1:26" x14ac:dyDescent="0.3">
      <c r="A483">
        <v>2072</v>
      </c>
      <c r="B483" t="s">
        <v>896</v>
      </c>
      <c r="C483" t="s">
        <v>13</v>
      </c>
      <c r="D483">
        <v>0.01</v>
      </c>
      <c r="E483">
        <v>10.52</v>
      </c>
      <c r="F483">
        <v>7.94</v>
      </c>
      <c r="G483" t="s">
        <v>14</v>
      </c>
      <c r="H483" t="s">
        <v>70</v>
      </c>
      <c r="I483" t="s">
        <v>4</v>
      </c>
      <c r="J483" t="s">
        <v>102</v>
      </c>
      <c r="K483" t="s">
        <v>18</v>
      </c>
      <c r="L483" t="s">
        <v>1080</v>
      </c>
      <c r="M483">
        <v>0.52</v>
      </c>
      <c r="N483" t="s">
        <v>8</v>
      </c>
      <c r="O483" t="s">
        <v>28</v>
      </c>
      <c r="P483" t="s">
        <v>265</v>
      </c>
      <c r="Q483" t="s">
        <v>898</v>
      </c>
      <c r="R483">
        <v>48505</v>
      </c>
      <c r="S483" s="1">
        <v>42046</v>
      </c>
      <c r="T483" s="1">
        <v>42048</v>
      </c>
      <c r="U483">
        <v>-15.8184</v>
      </c>
      <c r="V483">
        <v>11</v>
      </c>
      <c r="W483">
        <v>123.93</v>
      </c>
      <c r="X483">
        <v>88556</v>
      </c>
      <c r="Y483">
        <f>cleaneddata[[#This Row],[Unit Price]]-cleaneddata[[#This Row],[Discount]]</f>
        <v>10.51</v>
      </c>
      <c r="Z48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84" spans="1:26" x14ac:dyDescent="0.3">
      <c r="A484">
        <v>2072</v>
      </c>
      <c r="B484" t="s">
        <v>896</v>
      </c>
      <c r="C484" t="s">
        <v>13</v>
      </c>
      <c r="D484">
        <v>0.02</v>
      </c>
      <c r="E484">
        <v>5.98</v>
      </c>
      <c r="F484">
        <v>7.5</v>
      </c>
      <c r="G484" t="s">
        <v>63</v>
      </c>
      <c r="H484" t="s">
        <v>70</v>
      </c>
      <c r="I484" t="s">
        <v>24</v>
      </c>
      <c r="J484" t="s">
        <v>64</v>
      </c>
      <c r="K484" t="s">
        <v>49</v>
      </c>
      <c r="L484" t="s">
        <v>1081</v>
      </c>
      <c r="M484">
        <v>0.4</v>
      </c>
      <c r="N484" t="s">
        <v>8</v>
      </c>
      <c r="O484" t="s">
        <v>28</v>
      </c>
      <c r="P484" t="s">
        <v>265</v>
      </c>
      <c r="Q484" t="s">
        <v>898</v>
      </c>
      <c r="R484">
        <v>48505</v>
      </c>
      <c r="S484" s="1">
        <v>42046</v>
      </c>
      <c r="T484" s="1">
        <v>42048</v>
      </c>
      <c r="U484">
        <v>-55.8324</v>
      </c>
      <c r="V484">
        <v>14</v>
      </c>
      <c r="W484">
        <v>93.96</v>
      </c>
      <c r="X484">
        <v>88556</v>
      </c>
      <c r="Y484">
        <f>cleaneddata[[#This Row],[Unit Price]]-cleaneddata[[#This Row],[Discount]]</f>
        <v>5.9600000000000009</v>
      </c>
      <c r="Z48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85" spans="1:26" x14ac:dyDescent="0.3">
      <c r="A485">
        <v>2489</v>
      </c>
      <c r="B485" t="s">
        <v>427</v>
      </c>
      <c r="C485" t="s">
        <v>13</v>
      </c>
      <c r="D485">
        <v>0.01</v>
      </c>
      <c r="E485">
        <v>2036.48</v>
      </c>
      <c r="F485">
        <v>14.7</v>
      </c>
      <c r="G485" t="s">
        <v>2</v>
      </c>
      <c r="H485" t="s">
        <v>15</v>
      </c>
      <c r="I485" t="s">
        <v>16</v>
      </c>
      <c r="J485" t="s">
        <v>32</v>
      </c>
      <c r="K485" t="s">
        <v>33</v>
      </c>
      <c r="L485" t="s">
        <v>34</v>
      </c>
      <c r="M485">
        <v>0.55000000000000004</v>
      </c>
      <c r="N485" t="s">
        <v>8</v>
      </c>
      <c r="O485" t="s">
        <v>35</v>
      </c>
      <c r="P485" t="s">
        <v>66</v>
      </c>
      <c r="Q485" t="s">
        <v>429</v>
      </c>
      <c r="R485">
        <v>94521</v>
      </c>
      <c r="S485" s="1">
        <v>42046</v>
      </c>
      <c r="T485" s="1">
        <v>42048</v>
      </c>
      <c r="U485">
        <v>-1596.7457999999999</v>
      </c>
      <c r="V485">
        <v>2</v>
      </c>
      <c r="W485">
        <v>3786.84</v>
      </c>
      <c r="X485">
        <v>86883</v>
      </c>
      <c r="Y485">
        <f>cleaneddata[[#This Row],[Unit Price]]-cleaneddata[[#This Row],[Discount]]</f>
        <v>2036.47</v>
      </c>
      <c r="Z48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86" spans="1:26" x14ac:dyDescent="0.3">
      <c r="A486">
        <v>2778</v>
      </c>
      <c r="B486" t="s">
        <v>1082</v>
      </c>
      <c r="C486" t="s">
        <v>13</v>
      </c>
      <c r="D486">
        <v>0.05</v>
      </c>
      <c r="E486">
        <v>205.99</v>
      </c>
      <c r="F486">
        <v>8.99</v>
      </c>
      <c r="G486" t="s">
        <v>63</v>
      </c>
      <c r="H486" t="s">
        <v>15</v>
      </c>
      <c r="I486" t="s">
        <v>16</v>
      </c>
      <c r="J486" t="s">
        <v>111</v>
      </c>
      <c r="K486" t="s">
        <v>49</v>
      </c>
      <c r="L486" t="s">
        <v>1083</v>
      </c>
      <c r="M486">
        <v>0.57999999999999996</v>
      </c>
      <c r="N486" t="s">
        <v>8</v>
      </c>
      <c r="O486" t="s">
        <v>9</v>
      </c>
      <c r="P486" t="s">
        <v>73</v>
      </c>
      <c r="Q486" t="s">
        <v>1084</v>
      </c>
      <c r="R486">
        <v>28403</v>
      </c>
      <c r="S486" s="1">
        <v>42046</v>
      </c>
      <c r="T486" s="1">
        <v>42047</v>
      </c>
      <c r="U486">
        <v>111.05249999999999</v>
      </c>
      <c r="V486">
        <v>12</v>
      </c>
      <c r="W486">
        <v>2118.9899999999998</v>
      </c>
      <c r="X486">
        <v>87160</v>
      </c>
      <c r="Y486">
        <f>cleaneddata[[#This Row],[Unit Price]]-cleaneddata[[#This Row],[Discount]]</f>
        <v>205.94</v>
      </c>
      <c r="Z48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87" spans="1:26" x14ac:dyDescent="0.3">
      <c r="A487">
        <v>2778</v>
      </c>
      <c r="B487" t="s">
        <v>1082</v>
      </c>
      <c r="C487" t="s">
        <v>13</v>
      </c>
      <c r="D487">
        <v>0.08</v>
      </c>
      <c r="E487">
        <v>205.99</v>
      </c>
      <c r="F487">
        <v>8.99</v>
      </c>
      <c r="G487" t="s">
        <v>14</v>
      </c>
      <c r="H487" t="s">
        <v>15</v>
      </c>
      <c r="I487" t="s">
        <v>16</v>
      </c>
      <c r="J487" t="s">
        <v>111</v>
      </c>
      <c r="K487" t="s">
        <v>49</v>
      </c>
      <c r="L487" t="s">
        <v>639</v>
      </c>
      <c r="M487">
        <v>0.56000000000000005</v>
      </c>
      <c r="N487" t="s">
        <v>8</v>
      </c>
      <c r="O487" t="s">
        <v>9</v>
      </c>
      <c r="P487" t="s">
        <v>73</v>
      </c>
      <c r="Q487" t="s">
        <v>1084</v>
      </c>
      <c r="R487">
        <v>28403</v>
      </c>
      <c r="S487" s="1">
        <v>42046</v>
      </c>
      <c r="T487" s="1">
        <v>42047</v>
      </c>
      <c r="U487">
        <v>-1963.752</v>
      </c>
      <c r="V487">
        <v>5</v>
      </c>
      <c r="W487">
        <v>837.64</v>
      </c>
      <c r="X487">
        <v>87160</v>
      </c>
      <c r="Y487">
        <f>cleaneddata[[#This Row],[Unit Price]]-cleaneddata[[#This Row],[Discount]]</f>
        <v>205.91</v>
      </c>
      <c r="Z48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88" spans="1:26" x14ac:dyDescent="0.3">
      <c r="A488">
        <v>1815</v>
      </c>
      <c r="B488" t="s">
        <v>1085</v>
      </c>
      <c r="C488" t="s">
        <v>92</v>
      </c>
      <c r="D488">
        <v>0.06</v>
      </c>
      <c r="E488">
        <v>90.97</v>
      </c>
      <c r="F488">
        <v>14</v>
      </c>
      <c r="G488" t="s">
        <v>2</v>
      </c>
      <c r="H488" t="s">
        <v>47</v>
      </c>
      <c r="I488" t="s">
        <v>16</v>
      </c>
      <c r="J488" t="s">
        <v>32</v>
      </c>
      <c r="K488" t="s">
        <v>33</v>
      </c>
      <c r="L488" t="s">
        <v>1086</v>
      </c>
      <c r="M488">
        <v>0.36</v>
      </c>
      <c r="N488" t="s">
        <v>8</v>
      </c>
      <c r="O488" t="s">
        <v>9</v>
      </c>
      <c r="P488" t="s">
        <v>10</v>
      </c>
      <c r="Q488" t="s">
        <v>1087</v>
      </c>
      <c r="R488">
        <v>39208</v>
      </c>
      <c r="S488" s="1">
        <v>42046</v>
      </c>
      <c r="T488" s="1">
        <v>42047</v>
      </c>
      <c r="U488">
        <v>47.334000000000003</v>
      </c>
      <c r="V488">
        <v>14</v>
      </c>
      <c r="W488">
        <v>1263.3499999999999</v>
      </c>
      <c r="X488">
        <v>90525</v>
      </c>
      <c r="Y488">
        <f>cleaneddata[[#This Row],[Unit Price]]-cleaneddata[[#This Row],[Discount]]</f>
        <v>90.91</v>
      </c>
      <c r="Z4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489" spans="1:26" x14ac:dyDescent="0.3">
      <c r="A489">
        <v>757</v>
      </c>
      <c r="B489" t="s">
        <v>1088</v>
      </c>
      <c r="C489" t="s">
        <v>46</v>
      </c>
      <c r="D489">
        <v>0.03</v>
      </c>
      <c r="E489">
        <v>37.94</v>
      </c>
      <c r="F489">
        <v>5.08</v>
      </c>
      <c r="G489" t="s">
        <v>14</v>
      </c>
      <c r="H489" t="s">
        <v>47</v>
      </c>
      <c r="I489" t="s">
        <v>24</v>
      </c>
      <c r="J489" t="s">
        <v>64</v>
      </c>
      <c r="K489" t="s">
        <v>26</v>
      </c>
      <c r="L489" t="s">
        <v>1089</v>
      </c>
      <c r="M489">
        <v>0.38</v>
      </c>
      <c r="N489" t="s">
        <v>8</v>
      </c>
      <c r="O489" t="s">
        <v>35</v>
      </c>
      <c r="P489" t="s">
        <v>115</v>
      </c>
      <c r="Q489" t="s">
        <v>1090</v>
      </c>
      <c r="R489">
        <v>97062</v>
      </c>
      <c r="S489" s="1">
        <v>42046</v>
      </c>
      <c r="T489" s="1">
        <v>42048</v>
      </c>
      <c r="U489">
        <v>-7.5244</v>
      </c>
      <c r="V489">
        <v>1</v>
      </c>
      <c r="W489">
        <v>39.97</v>
      </c>
      <c r="X489">
        <v>90258</v>
      </c>
      <c r="Y489">
        <f>cleaneddata[[#This Row],[Unit Price]]-cleaneddata[[#This Row],[Discount]]</f>
        <v>37.909999999999997</v>
      </c>
      <c r="Z48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490" spans="1:26" x14ac:dyDescent="0.3">
      <c r="A490">
        <v>16</v>
      </c>
      <c r="B490" t="s">
        <v>1091</v>
      </c>
      <c r="C490" t="s">
        <v>13</v>
      </c>
      <c r="D490">
        <v>0.04</v>
      </c>
      <c r="E490">
        <v>2.98</v>
      </c>
      <c r="F490">
        <v>1.58</v>
      </c>
      <c r="G490" t="s">
        <v>14</v>
      </c>
      <c r="H490" t="s">
        <v>3</v>
      </c>
      <c r="I490" t="s">
        <v>24</v>
      </c>
      <c r="J490" t="s">
        <v>152</v>
      </c>
      <c r="K490" t="s">
        <v>26</v>
      </c>
      <c r="L490" t="s">
        <v>1092</v>
      </c>
      <c r="M490">
        <v>0.39</v>
      </c>
      <c r="N490" t="s">
        <v>8</v>
      </c>
      <c r="O490" t="s">
        <v>87</v>
      </c>
      <c r="P490" t="s">
        <v>88</v>
      </c>
      <c r="Q490" t="s">
        <v>1093</v>
      </c>
      <c r="R490">
        <v>13210</v>
      </c>
      <c r="S490" s="1">
        <v>42047</v>
      </c>
      <c r="T490" s="1">
        <v>42050</v>
      </c>
      <c r="U490">
        <v>2.63</v>
      </c>
      <c r="V490">
        <v>6</v>
      </c>
      <c r="W490">
        <v>18.8</v>
      </c>
      <c r="X490">
        <v>86836</v>
      </c>
      <c r="Y490">
        <f>cleaneddata[[#This Row],[Unit Price]]-cleaneddata[[#This Row],[Discount]]</f>
        <v>2.94</v>
      </c>
      <c r="Z49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91" spans="1:26" x14ac:dyDescent="0.3">
      <c r="A491">
        <v>16</v>
      </c>
      <c r="B491" t="s">
        <v>1091</v>
      </c>
      <c r="C491" t="s">
        <v>13</v>
      </c>
      <c r="D491">
        <v>0.05</v>
      </c>
      <c r="E491">
        <v>115.99</v>
      </c>
      <c r="F491">
        <v>2.5</v>
      </c>
      <c r="G491" t="s">
        <v>14</v>
      </c>
      <c r="H491" t="s">
        <v>3</v>
      </c>
      <c r="I491" t="s">
        <v>16</v>
      </c>
      <c r="J491" t="s">
        <v>111</v>
      </c>
      <c r="K491" t="s">
        <v>49</v>
      </c>
      <c r="L491" t="s">
        <v>1094</v>
      </c>
      <c r="M491">
        <v>0.55000000000000004</v>
      </c>
      <c r="N491" t="s">
        <v>8</v>
      </c>
      <c r="O491" t="s">
        <v>87</v>
      </c>
      <c r="P491" t="s">
        <v>88</v>
      </c>
      <c r="Q491" t="s">
        <v>1093</v>
      </c>
      <c r="R491">
        <v>13210</v>
      </c>
      <c r="S491" s="1">
        <v>42047</v>
      </c>
      <c r="T491" s="1">
        <v>42049</v>
      </c>
      <c r="U491">
        <v>652.73310000000004</v>
      </c>
      <c r="V491">
        <v>10</v>
      </c>
      <c r="W491">
        <v>945.99</v>
      </c>
      <c r="X491">
        <v>86836</v>
      </c>
      <c r="Y491">
        <f>cleaneddata[[#This Row],[Unit Price]]-cleaneddata[[#This Row],[Discount]]</f>
        <v>115.94</v>
      </c>
      <c r="Z49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492" spans="1:26" x14ac:dyDescent="0.3">
      <c r="A492">
        <v>190</v>
      </c>
      <c r="B492" t="s">
        <v>1095</v>
      </c>
      <c r="C492" t="s">
        <v>13</v>
      </c>
      <c r="D492">
        <v>0.1</v>
      </c>
      <c r="E492">
        <v>58.1</v>
      </c>
      <c r="F492">
        <v>1.49</v>
      </c>
      <c r="G492" t="s">
        <v>14</v>
      </c>
      <c r="H492" t="s">
        <v>70</v>
      </c>
      <c r="I492" t="s">
        <v>24</v>
      </c>
      <c r="J492" t="s">
        <v>48</v>
      </c>
      <c r="K492" t="s">
        <v>49</v>
      </c>
      <c r="L492" t="s">
        <v>598</v>
      </c>
      <c r="M492">
        <v>0.38</v>
      </c>
      <c r="N492" t="s">
        <v>8</v>
      </c>
      <c r="O492" t="s">
        <v>28</v>
      </c>
      <c r="P492" t="s">
        <v>79</v>
      </c>
      <c r="Q492" t="s">
        <v>1096</v>
      </c>
      <c r="R492">
        <v>60004</v>
      </c>
      <c r="S492" s="1">
        <v>42047</v>
      </c>
      <c r="T492" s="1">
        <v>42048</v>
      </c>
      <c r="U492">
        <v>113.6499</v>
      </c>
      <c r="V492">
        <v>3</v>
      </c>
      <c r="W492">
        <v>164.71</v>
      </c>
      <c r="X492">
        <v>89092</v>
      </c>
      <c r="Y492">
        <f>cleaneddata[[#This Row],[Unit Price]]-cleaneddata[[#This Row],[Discount]]</f>
        <v>58</v>
      </c>
      <c r="Z4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3" spans="1:26" x14ac:dyDescent="0.3">
      <c r="A493">
        <v>191</v>
      </c>
      <c r="B493" t="s">
        <v>1097</v>
      </c>
      <c r="C493" t="s">
        <v>13</v>
      </c>
      <c r="D493">
        <v>0.01</v>
      </c>
      <c r="E493">
        <v>80.48</v>
      </c>
      <c r="F493">
        <v>4.5</v>
      </c>
      <c r="G493" t="s">
        <v>14</v>
      </c>
      <c r="H493" t="s">
        <v>70</v>
      </c>
      <c r="I493" t="s">
        <v>24</v>
      </c>
      <c r="J493" t="s">
        <v>71</v>
      </c>
      <c r="K493" t="s">
        <v>49</v>
      </c>
      <c r="L493" t="s">
        <v>1098</v>
      </c>
      <c r="M493">
        <v>0.55000000000000004</v>
      </c>
      <c r="N493" t="s">
        <v>8</v>
      </c>
      <c r="O493" t="s">
        <v>28</v>
      </c>
      <c r="P493" t="s">
        <v>79</v>
      </c>
      <c r="Q493" t="s">
        <v>1099</v>
      </c>
      <c r="R493">
        <v>60505</v>
      </c>
      <c r="S493" s="1">
        <v>42047</v>
      </c>
      <c r="T493" s="1">
        <v>42050</v>
      </c>
      <c r="U493">
        <v>-35.474400000000003</v>
      </c>
      <c r="V493">
        <v>1</v>
      </c>
      <c r="W493">
        <v>79.680000000000007</v>
      </c>
      <c r="X493">
        <v>89092</v>
      </c>
      <c r="Y493">
        <f>cleaneddata[[#This Row],[Unit Price]]-cleaneddata[[#This Row],[Discount]]</f>
        <v>80.47</v>
      </c>
      <c r="Z4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4" spans="1:26" x14ac:dyDescent="0.3">
      <c r="A494">
        <v>3046</v>
      </c>
      <c r="B494" t="s">
        <v>1100</v>
      </c>
      <c r="C494" t="s">
        <v>13</v>
      </c>
      <c r="D494">
        <v>0.05</v>
      </c>
      <c r="E494">
        <v>120.98</v>
      </c>
      <c r="F494">
        <v>30</v>
      </c>
      <c r="G494" t="s">
        <v>2</v>
      </c>
      <c r="H494" t="s">
        <v>3</v>
      </c>
      <c r="I494" t="s">
        <v>4</v>
      </c>
      <c r="J494" t="s">
        <v>85</v>
      </c>
      <c r="K494" t="s">
        <v>33</v>
      </c>
      <c r="L494" t="s">
        <v>1101</v>
      </c>
      <c r="M494">
        <v>0.64</v>
      </c>
      <c r="N494" t="s">
        <v>8</v>
      </c>
      <c r="O494" t="s">
        <v>28</v>
      </c>
      <c r="P494" t="s">
        <v>513</v>
      </c>
      <c r="Q494" t="s">
        <v>734</v>
      </c>
      <c r="R494">
        <v>66209</v>
      </c>
      <c r="S494" s="1">
        <v>42047</v>
      </c>
      <c r="T494" s="1">
        <v>42049</v>
      </c>
      <c r="U494">
        <v>-78.759200000000007</v>
      </c>
      <c r="V494">
        <v>2</v>
      </c>
      <c r="W494">
        <v>251.06</v>
      </c>
      <c r="X494">
        <v>86103</v>
      </c>
      <c r="Y494">
        <f>cleaneddata[[#This Row],[Unit Price]]-cleaneddata[[#This Row],[Discount]]</f>
        <v>120.93</v>
      </c>
      <c r="Z4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5" spans="1:26" x14ac:dyDescent="0.3">
      <c r="A495">
        <v>954</v>
      </c>
      <c r="B495" t="s">
        <v>1102</v>
      </c>
      <c r="C495" t="s">
        <v>23</v>
      </c>
      <c r="D495">
        <v>0.1</v>
      </c>
      <c r="E495">
        <v>7.31</v>
      </c>
      <c r="F495">
        <v>0.49</v>
      </c>
      <c r="G495" t="s">
        <v>14</v>
      </c>
      <c r="H495" t="s">
        <v>3</v>
      </c>
      <c r="I495" t="s">
        <v>24</v>
      </c>
      <c r="J495" t="s">
        <v>128</v>
      </c>
      <c r="K495" t="s">
        <v>49</v>
      </c>
      <c r="L495" t="s">
        <v>1103</v>
      </c>
      <c r="M495">
        <v>0.38</v>
      </c>
      <c r="N495" t="s">
        <v>8</v>
      </c>
      <c r="O495" t="s">
        <v>28</v>
      </c>
      <c r="P495" t="s">
        <v>163</v>
      </c>
      <c r="Q495" t="s">
        <v>1104</v>
      </c>
      <c r="R495">
        <v>75067</v>
      </c>
      <c r="S495" s="1">
        <v>42047</v>
      </c>
      <c r="T495" s="1">
        <v>42056</v>
      </c>
      <c r="U495">
        <v>19.064699999999998</v>
      </c>
      <c r="V495">
        <v>4</v>
      </c>
      <c r="W495">
        <v>27.63</v>
      </c>
      <c r="X495">
        <v>90771</v>
      </c>
      <c r="Y495">
        <f>cleaneddata[[#This Row],[Unit Price]]-cleaneddata[[#This Row],[Discount]]</f>
        <v>7.21</v>
      </c>
      <c r="Z4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6" spans="1:26" x14ac:dyDescent="0.3">
      <c r="A496">
        <v>954</v>
      </c>
      <c r="B496" t="s">
        <v>1102</v>
      </c>
      <c r="C496" t="s">
        <v>23</v>
      </c>
      <c r="D496">
        <v>0.08</v>
      </c>
      <c r="E496">
        <v>6.7</v>
      </c>
      <c r="F496">
        <v>1.56</v>
      </c>
      <c r="G496" t="s">
        <v>14</v>
      </c>
      <c r="H496" t="s">
        <v>3</v>
      </c>
      <c r="I496" t="s">
        <v>24</v>
      </c>
      <c r="J496" t="s">
        <v>25</v>
      </c>
      <c r="K496" t="s">
        <v>26</v>
      </c>
      <c r="L496" t="s">
        <v>1022</v>
      </c>
      <c r="M496">
        <v>0.52</v>
      </c>
      <c r="N496" t="s">
        <v>8</v>
      </c>
      <c r="O496" t="s">
        <v>28</v>
      </c>
      <c r="P496" t="s">
        <v>163</v>
      </c>
      <c r="Q496" t="s">
        <v>1104</v>
      </c>
      <c r="R496">
        <v>75067</v>
      </c>
      <c r="S496" s="1">
        <v>42047</v>
      </c>
      <c r="T496" s="1">
        <v>42047</v>
      </c>
      <c r="U496">
        <v>10.56</v>
      </c>
      <c r="V496">
        <v>5</v>
      </c>
      <c r="W496">
        <v>31.21</v>
      </c>
      <c r="X496">
        <v>90771</v>
      </c>
      <c r="Y496">
        <f>cleaneddata[[#This Row],[Unit Price]]-cleaneddata[[#This Row],[Discount]]</f>
        <v>6.62</v>
      </c>
      <c r="Z49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7" spans="1:26" x14ac:dyDescent="0.3">
      <c r="A497">
        <v>1743</v>
      </c>
      <c r="B497" t="s">
        <v>1105</v>
      </c>
      <c r="C497" t="s">
        <v>92</v>
      </c>
      <c r="D497">
        <v>0</v>
      </c>
      <c r="E497">
        <v>55.99</v>
      </c>
      <c r="F497">
        <v>2.5</v>
      </c>
      <c r="G497" t="s">
        <v>14</v>
      </c>
      <c r="H497" t="s">
        <v>15</v>
      </c>
      <c r="I497" t="s">
        <v>16</v>
      </c>
      <c r="J497" t="s">
        <v>111</v>
      </c>
      <c r="K497" t="s">
        <v>18</v>
      </c>
      <c r="L497" t="s">
        <v>1106</v>
      </c>
      <c r="M497">
        <v>0.83</v>
      </c>
      <c r="N497" t="s">
        <v>8</v>
      </c>
      <c r="O497" t="s">
        <v>28</v>
      </c>
      <c r="P497" t="s">
        <v>163</v>
      </c>
      <c r="Q497" t="s">
        <v>1107</v>
      </c>
      <c r="R497">
        <v>77546</v>
      </c>
      <c r="S497" s="1">
        <v>42047</v>
      </c>
      <c r="T497" s="1">
        <v>42049</v>
      </c>
      <c r="U497">
        <v>-121.05808</v>
      </c>
      <c r="V497">
        <v>1</v>
      </c>
      <c r="W497">
        <v>52.1</v>
      </c>
      <c r="X497">
        <v>91025</v>
      </c>
      <c r="Y497">
        <f>cleaneddata[[#This Row],[Unit Price]]-cleaneddata[[#This Row],[Discount]]</f>
        <v>55.99</v>
      </c>
      <c r="Z49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8" spans="1:26" x14ac:dyDescent="0.3">
      <c r="A498">
        <v>2553</v>
      </c>
      <c r="B498" t="s">
        <v>1108</v>
      </c>
      <c r="C498" t="s">
        <v>92</v>
      </c>
      <c r="D498">
        <v>0.03</v>
      </c>
      <c r="E498">
        <v>12.53</v>
      </c>
      <c r="F498">
        <v>7.17</v>
      </c>
      <c r="G498" t="s">
        <v>14</v>
      </c>
      <c r="H498" t="s">
        <v>47</v>
      </c>
      <c r="I498" t="s">
        <v>24</v>
      </c>
      <c r="J498" t="s">
        <v>48</v>
      </c>
      <c r="K498" t="s">
        <v>49</v>
      </c>
      <c r="L498" t="s">
        <v>1109</v>
      </c>
      <c r="M498">
        <v>0.38</v>
      </c>
      <c r="N498" t="s">
        <v>8</v>
      </c>
      <c r="O498" t="s">
        <v>28</v>
      </c>
      <c r="P498" t="s">
        <v>333</v>
      </c>
      <c r="Q498" t="s">
        <v>1110</v>
      </c>
      <c r="R498">
        <v>53142</v>
      </c>
      <c r="S498" s="1">
        <v>42047</v>
      </c>
      <c r="T498" s="1">
        <v>42048</v>
      </c>
      <c r="U498">
        <v>-20.320499999999999</v>
      </c>
      <c r="V498">
        <v>1</v>
      </c>
      <c r="W498">
        <v>19.32</v>
      </c>
      <c r="X498">
        <v>86528</v>
      </c>
      <c r="Y498">
        <f>cleaneddata[[#This Row],[Unit Price]]-cleaneddata[[#This Row],[Discount]]</f>
        <v>12.5</v>
      </c>
      <c r="Z49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499" spans="1:26" x14ac:dyDescent="0.3">
      <c r="A499">
        <v>3324</v>
      </c>
      <c r="B499" t="s">
        <v>1111</v>
      </c>
      <c r="C499" t="s">
        <v>92</v>
      </c>
      <c r="D499">
        <v>0.05</v>
      </c>
      <c r="E499">
        <v>6.48</v>
      </c>
      <c r="F499">
        <v>8.19</v>
      </c>
      <c r="G499" t="s">
        <v>14</v>
      </c>
      <c r="H499" t="s">
        <v>15</v>
      </c>
      <c r="I499" t="s">
        <v>24</v>
      </c>
      <c r="J499" t="s">
        <v>64</v>
      </c>
      <c r="K499" t="s">
        <v>49</v>
      </c>
      <c r="L499" t="s">
        <v>875</v>
      </c>
      <c r="M499">
        <v>0.37</v>
      </c>
      <c r="N499" t="s">
        <v>8</v>
      </c>
      <c r="O499" t="s">
        <v>35</v>
      </c>
      <c r="P499" t="s">
        <v>564</v>
      </c>
      <c r="Q499" t="s">
        <v>1112</v>
      </c>
      <c r="R499">
        <v>85335</v>
      </c>
      <c r="S499" s="1">
        <v>42047</v>
      </c>
      <c r="T499" s="1">
        <v>42050</v>
      </c>
      <c r="U499">
        <v>-164.18</v>
      </c>
      <c r="V499">
        <v>9</v>
      </c>
      <c r="W499">
        <v>58.5</v>
      </c>
      <c r="X499">
        <v>90985</v>
      </c>
      <c r="Y499">
        <f>cleaneddata[[#This Row],[Unit Price]]-cleaneddata[[#This Row],[Discount]]</f>
        <v>6.4300000000000006</v>
      </c>
      <c r="Z49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00" spans="1:26" x14ac:dyDescent="0.3">
      <c r="A500">
        <v>3369</v>
      </c>
      <c r="B500" t="s">
        <v>1113</v>
      </c>
      <c r="C500" t="s">
        <v>92</v>
      </c>
      <c r="D500">
        <v>0.06</v>
      </c>
      <c r="E500">
        <v>7.1</v>
      </c>
      <c r="F500">
        <v>6.05</v>
      </c>
      <c r="G500" t="s">
        <v>14</v>
      </c>
      <c r="H500" t="s">
        <v>47</v>
      </c>
      <c r="I500" t="s">
        <v>24</v>
      </c>
      <c r="J500" t="s">
        <v>48</v>
      </c>
      <c r="K500" t="s">
        <v>49</v>
      </c>
      <c r="L500" t="s">
        <v>227</v>
      </c>
      <c r="M500">
        <v>0.39</v>
      </c>
      <c r="N500" t="s">
        <v>8</v>
      </c>
      <c r="O500" t="s">
        <v>87</v>
      </c>
      <c r="P500" t="s">
        <v>293</v>
      </c>
      <c r="Q500" t="s">
        <v>1114</v>
      </c>
      <c r="R500">
        <v>43081</v>
      </c>
      <c r="S500" s="1">
        <v>42047</v>
      </c>
      <c r="T500" s="1">
        <v>42048</v>
      </c>
      <c r="U500">
        <v>-42.170499999999997</v>
      </c>
      <c r="V500">
        <v>4</v>
      </c>
      <c r="W500">
        <v>29.99</v>
      </c>
      <c r="X500">
        <v>90500</v>
      </c>
      <c r="Y500">
        <f>cleaneddata[[#This Row],[Unit Price]]-cleaneddata[[#This Row],[Discount]]</f>
        <v>7.04</v>
      </c>
      <c r="Z50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01" spans="1:26" x14ac:dyDescent="0.3">
      <c r="A501">
        <v>1298</v>
      </c>
      <c r="B501" t="s">
        <v>1115</v>
      </c>
      <c r="C501" t="s">
        <v>46</v>
      </c>
      <c r="D501">
        <v>0.04</v>
      </c>
      <c r="E501">
        <v>150.97999999999999</v>
      </c>
      <c r="F501">
        <v>13.99</v>
      </c>
      <c r="G501" t="s">
        <v>14</v>
      </c>
      <c r="H501" t="s">
        <v>47</v>
      </c>
      <c r="I501" t="s">
        <v>16</v>
      </c>
      <c r="J501" t="s">
        <v>32</v>
      </c>
      <c r="K501" t="s">
        <v>120</v>
      </c>
      <c r="L501" t="s">
        <v>758</v>
      </c>
      <c r="M501">
        <v>0.38</v>
      </c>
      <c r="N501" t="s">
        <v>8</v>
      </c>
      <c r="O501" t="s">
        <v>28</v>
      </c>
      <c r="P501" t="s">
        <v>163</v>
      </c>
      <c r="Q501" t="s">
        <v>1116</v>
      </c>
      <c r="R501">
        <v>75482</v>
      </c>
      <c r="S501" s="1">
        <v>42047</v>
      </c>
      <c r="T501" s="1">
        <v>42050</v>
      </c>
      <c r="U501">
        <v>606.05460000000005</v>
      </c>
      <c r="V501">
        <v>6</v>
      </c>
      <c r="W501">
        <v>878.34</v>
      </c>
      <c r="X501">
        <v>90662</v>
      </c>
      <c r="Y501">
        <f>cleaneddata[[#This Row],[Unit Price]]-cleaneddata[[#This Row],[Discount]]</f>
        <v>150.94</v>
      </c>
      <c r="Z50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02" spans="1:26" x14ac:dyDescent="0.3">
      <c r="A502">
        <v>1298</v>
      </c>
      <c r="B502" t="s">
        <v>1115</v>
      </c>
      <c r="C502" t="s">
        <v>46</v>
      </c>
      <c r="D502">
        <v>0.04</v>
      </c>
      <c r="E502">
        <v>176.19</v>
      </c>
      <c r="F502">
        <v>11.87</v>
      </c>
      <c r="G502" t="s">
        <v>14</v>
      </c>
      <c r="H502" t="s">
        <v>47</v>
      </c>
      <c r="I502" t="s">
        <v>24</v>
      </c>
      <c r="J502" t="s">
        <v>54</v>
      </c>
      <c r="K502" t="s">
        <v>49</v>
      </c>
      <c r="L502" t="s">
        <v>1117</v>
      </c>
      <c r="M502">
        <v>0.62</v>
      </c>
      <c r="N502" t="s">
        <v>8</v>
      </c>
      <c r="O502" t="s">
        <v>28</v>
      </c>
      <c r="P502" t="s">
        <v>163</v>
      </c>
      <c r="Q502" t="s">
        <v>1116</v>
      </c>
      <c r="R502">
        <v>75482</v>
      </c>
      <c r="S502" s="1">
        <v>42047</v>
      </c>
      <c r="T502" s="1">
        <v>42049</v>
      </c>
      <c r="U502">
        <v>320.10000000000002</v>
      </c>
      <c r="V502">
        <v>4</v>
      </c>
      <c r="W502">
        <v>676.57</v>
      </c>
      <c r="X502">
        <v>90662</v>
      </c>
      <c r="Y502">
        <f>cleaneddata[[#This Row],[Unit Price]]-cleaneddata[[#This Row],[Discount]]</f>
        <v>176.15</v>
      </c>
      <c r="Z50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03" spans="1:26" x14ac:dyDescent="0.3">
      <c r="A503">
        <v>2020</v>
      </c>
      <c r="B503" t="s">
        <v>1118</v>
      </c>
      <c r="C503" t="s">
        <v>1</v>
      </c>
      <c r="D503">
        <v>0.02</v>
      </c>
      <c r="E503">
        <v>120.98</v>
      </c>
      <c r="F503">
        <v>58.64</v>
      </c>
      <c r="G503" t="s">
        <v>2</v>
      </c>
      <c r="H503" t="s">
        <v>47</v>
      </c>
      <c r="I503" t="s">
        <v>4</v>
      </c>
      <c r="J503" t="s">
        <v>93</v>
      </c>
      <c r="K503" t="s">
        <v>6</v>
      </c>
      <c r="L503" t="s">
        <v>1119</v>
      </c>
      <c r="M503">
        <v>0.75</v>
      </c>
      <c r="N503" t="s">
        <v>8</v>
      </c>
      <c r="O503" t="s">
        <v>87</v>
      </c>
      <c r="P503" t="s">
        <v>296</v>
      </c>
      <c r="Q503" t="s">
        <v>1120</v>
      </c>
      <c r="R503">
        <v>15239</v>
      </c>
      <c r="S503" s="1">
        <v>42048</v>
      </c>
      <c r="T503" s="1">
        <v>42050</v>
      </c>
      <c r="U503">
        <v>-1330.5</v>
      </c>
      <c r="V503">
        <v>11</v>
      </c>
      <c r="W503">
        <v>1370.99</v>
      </c>
      <c r="X503">
        <v>86933</v>
      </c>
      <c r="Y503">
        <f>cleaneddata[[#This Row],[Unit Price]]-cleaneddata[[#This Row],[Discount]]</f>
        <v>120.96000000000001</v>
      </c>
      <c r="Z50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04" spans="1:26" x14ac:dyDescent="0.3">
      <c r="A504">
        <v>3342</v>
      </c>
      <c r="B504" t="s">
        <v>1121</v>
      </c>
      <c r="C504" t="s">
        <v>1</v>
      </c>
      <c r="D504">
        <v>0.03</v>
      </c>
      <c r="E504">
        <v>194.3</v>
      </c>
      <c r="F504">
        <v>11.54</v>
      </c>
      <c r="G504" t="s">
        <v>14</v>
      </c>
      <c r="H504" t="s">
        <v>47</v>
      </c>
      <c r="I504" t="s">
        <v>4</v>
      </c>
      <c r="J504" t="s">
        <v>102</v>
      </c>
      <c r="K504" t="s">
        <v>40</v>
      </c>
      <c r="L504" t="s">
        <v>182</v>
      </c>
      <c r="M504">
        <v>0.59</v>
      </c>
      <c r="N504" t="s">
        <v>8</v>
      </c>
      <c r="O504" t="s">
        <v>87</v>
      </c>
      <c r="P504" t="s">
        <v>350</v>
      </c>
      <c r="Q504" t="s">
        <v>42</v>
      </c>
      <c r="R504">
        <v>20006</v>
      </c>
      <c r="S504" s="1">
        <v>42048</v>
      </c>
      <c r="T504" s="1">
        <v>42050</v>
      </c>
      <c r="U504">
        <v>2861.01</v>
      </c>
      <c r="V504">
        <v>42</v>
      </c>
      <c r="W504">
        <v>8549.0400000000009</v>
      </c>
      <c r="X504">
        <v>21572</v>
      </c>
      <c r="Y504">
        <f>cleaneddata[[#This Row],[Unit Price]]-cleaneddata[[#This Row],[Discount]]</f>
        <v>194.27</v>
      </c>
      <c r="Z50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05" spans="1:26" x14ac:dyDescent="0.3">
      <c r="A505">
        <v>3344</v>
      </c>
      <c r="B505" t="s">
        <v>1122</v>
      </c>
      <c r="C505" t="s">
        <v>1</v>
      </c>
      <c r="D505">
        <v>0.03</v>
      </c>
      <c r="E505">
        <v>194.3</v>
      </c>
      <c r="F505">
        <v>11.54</v>
      </c>
      <c r="G505" t="s">
        <v>14</v>
      </c>
      <c r="H505" t="s">
        <v>47</v>
      </c>
      <c r="I505" t="s">
        <v>4</v>
      </c>
      <c r="J505" t="s">
        <v>102</v>
      </c>
      <c r="K505" t="s">
        <v>40</v>
      </c>
      <c r="L505" t="s">
        <v>182</v>
      </c>
      <c r="M505">
        <v>0.59</v>
      </c>
      <c r="N505" t="s">
        <v>8</v>
      </c>
      <c r="O505" t="s">
        <v>28</v>
      </c>
      <c r="P505" t="s">
        <v>265</v>
      </c>
      <c r="Q505" t="s">
        <v>1123</v>
      </c>
      <c r="R505">
        <v>48307</v>
      </c>
      <c r="S505" s="1">
        <v>42048</v>
      </c>
      <c r="T505" s="1">
        <v>42050</v>
      </c>
      <c r="U505">
        <v>1544.9306999999999</v>
      </c>
      <c r="V505">
        <v>11</v>
      </c>
      <c r="W505">
        <v>2239.0300000000002</v>
      </c>
      <c r="X505">
        <v>89928</v>
      </c>
      <c r="Y505">
        <f>cleaneddata[[#This Row],[Unit Price]]-cleaneddata[[#This Row],[Discount]]</f>
        <v>194.27</v>
      </c>
      <c r="Z5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06" spans="1:26" x14ac:dyDescent="0.3">
      <c r="A506">
        <v>1554</v>
      </c>
      <c r="B506" t="s">
        <v>1124</v>
      </c>
      <c r="C506" t="s">
        <v>13</v>
      </c>
      <c r="D506">
        <v>0.03</v>
      </c>
      <c r="E506">
        <v>124.49</v>
      </c>
      <c r="F506">
        <v>51.94</v>
      </c>
      <c r="G506" t="s">
        <v>2</v>
      </c>
      <c r="H506" t="s">
        <v>15</v>
      </c>
      <c r="I506" t="s">
        <v>4</v>
      </c>
      <c r="J506" t="s">
        <v>5</v>
      </c>
      <c r="K506" t="s">
        <v>6</v>
      </c>
      <c r="L506" t="s">
        <v>1125</v>
      </c>
      <c r="M506">
        <v>0.63</v>
      </c>
      <c r="N506" t="s">
        <v>8</v>
      </c>
      <c r="O506" t="s">
        <v>9</v>
      </c>
      <c r="P506" t="s">
        <v>10</v>
      </c>
      <c r="Q506" t="s">
        <v>1126</v>
      </c>
      <c r="R506">
        <v>39503</v>
      </c>
      <c r="S506" s="1">
        <v>42048</v>
      </c>
      <c r="T506" s="1">
        <v>42049</v>
      </c>
      <c r="U506">
        <v>-4.0179999999999998</v>
      </c>
      <c r="V506">
        <v>7</v>
      </c>
      <c r="W506">
        <v>894.88</v>
      </c>
      <c r="X506">
        <v>87487</v>
      </c>
      <c r="Y506">
        <f>cleaneddata[[#This Row],[Unit Price]]-cleaneddata[[#This Row],[Discount]]</f>
        <v>124.46</v>
      </c>
      <c r="Z50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07" spans="1:26" x14ac:dyDescent="0.3">
      <c r="A507">
        <v>2897</v>
      </c>
      <c r="B507" t="s">
        <v>1127</v>
      </c>
      <c r="C507" t="s">
        <v>13</v>
      </c>
      <c r="D507">
        <v>0.05</v>
      </c>
      <c r="E507">
        <v>80.97</v>
      </c>
      <c r="F507">
        <v>30.06</v>
      </c>
      <c r="G507" t="s">
        <v>2</v>
      </c>
      <c r="H507" t="s">
        <v>47</v>
      </c>
      <c r="I507" t="s">
        <v>16</v>
      </c>
      <c r="J507" t="s">
        <v>32</v>
      </c>
      <c r="K507" t="s">
        <v>6</v>
      </c>
      <c r="L507" t="s">
        <v>1128</v>
      </c>
      <c r="M507">
        <v>0.4</v>
      </c>
      <c r="N507" t="s">
        <v>8</v>
      </c>
      <c r="O507" t="s">
        <v>28</v>
      </c>
      <c r="P507" t="s">
        <v>60</v>
      </c>
      <c r="Q507" t="s">
        <v>1129</v>
      </c>
      <c r="R507">
        <v>55369</v>
      </c>
      <c r="S507" s="1">
        <v>42048</v>
      </c>
      <c r="T507" s="1">
        <v>42049</v>
      </c>
      <c r="U507">
        <v>565.17999999999995</v>
      </c>
      <c r="V507">
        <v>11</v>
      </c>
      <c r="W507">
        <v>904.25</v>
      </c>
      <c r="X507">
        <v>86926</v>
      </c>
      <c r="Y507">
        <f>cleaneddata[[#This Row],[Unit Price]]-cleaneddata[[#This Row],[Discount]]</f>
        <v>80.92</v>
      </c>
      <c r="Z50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08" spans="1:26" x14ac:dyDescent="0.3">
      <c r="A508">
        <v>2897</v>
      </c>
      <c r="B508" t="s">
        <v>1127</v>
      </c>
      <c r="C508" t="s">
        <v>13</v>
      </c>
      <c r="D508">
        <v>0</v>
      </c>
      <c r="E508">
        <v>6.48</v>
      </c>
      <c r="F508">
        <v>10.050000000000001</v>
      </c>
      <c r="G508" t="s">
        <v>14</v>
      </c>
      <c r="H508" t="s">
        <v>47</v>
      </c>
      <c r="I508" t="s">
        <v>24</v>
      </c>
      <c r="J508" t="s">
        <v>64</v>
      </c>
      <c r="K508" t="s">
        <v>49</v>
      </c>
      <c r="L508" t="s">
        <v>1130</v>
      </c>
      <c r="M508">
        <v>0.37</v>
      </c>
      <c r="N508" t="s">
        <v>8</v>
      </c>
      <c r="O508" t="s">
        <v>28</v>
      </c>
      <c r="P508" t="s">
        <v>60</v>
      </c>
      <c r="Q508" t="s">
        <v>1129</v>
      </c>
      <c r="R508">
        <v>55369</v>
      </c>
      <c r="S508" s="1">
        <v>42048</v>
      </c>
      <c r="T508" s="1">
        <v>42050</v>
      </c>
      <c r="U508">
        <v>-38.72</v>
      </c>
      <c r="V508">
        <v>2</v>
      </c>
      <c r="W508">
        <v>16.309999999999999</v>
      </c>
      <c r="X508">
        <v>86926</v>
      </c>
      <c r="Y508">
        <f>cleaneddata[[#This Row],[Unit Price]]-cleaneddata[[#This Row],[Discount]]</f>
        <v>6.48</v>
      </c>
      <c r="Z50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09" spans="1:26" x14ac:dyDescent="0.3">
      <c r="A509">
        <v>2058</v>
      </c>
      <c r="B509" t="s">
        <v>1131</v>
      </c>
      <c r="C509" t="s">
        <v>92</v>
      </c>
      <c r="D509">
        <v>7.0000000000000007E-2</v>
      </c>
      <c r="E509">
        <v>5.98</v>
      </c>
      <c r="F509">
        <v>5.46</v>
      </c>
      <c r="G509" t="s">
        <v>14</v>
      </c>
      <c r="H509" t="s">
        <v>70</v>
      </c>
      <c r="I509" t="s">
        <v>24</v>
      </c>
      <c r="J509" t="s">
        <v>64</v>
      </c>
      <c r="K509" t="s">
        <v>49</v>
      </c>
      <c r="L509" t="s">
        <v>1132</v>
      </c>
      <c r="M509">
        <v>0.36</v>
      </c>
      <c r="N509" t="s">
        <v>8</v>
      </c>
      <c r="O509" t="s">
        <v>9</v>
      </c>
      <c r="P509" t="s">
        <v>73</v>
      </c>
      <c r="Q509" t="s">
        <v>1133</v>
      </c>
      <c r="R509">
        <v>28601</v>
      </c>
      <c r="S509" s="1">
        <v>42048</v>
      </c>
      <c r="T509" s="1">
        <v>42050</v>
      </c>
      <c r="U509">
        <v>46.65</v>
      </c>
      <c r="V509">
        <v>5</v>
      </c>
      <c r="W509">
        <v>32.76</v>
      </c>
      <c r="X509">
        <v>88040</v>
      </c>
      <c r="Y509">
        <f>cleaneddata[[#This Row],[Unit Price]]-cleaneddata[[#This Row],[Discount]]</f>
        <v>5.91</v>
      </c>
      <c r="Z50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10" spans="1:26" x14ac:dyDescent="0.3">
      <c r="A510">
        <v>3170</v>
      </c>
      <c r="B510" t="s">
        <v>1134</v>
      </c>
      <c r="C510" t="s">
        <v>92</v>
      </c>
      <c r="D510">
        <v>0.1</v>
      </c>
      <c r="E510">
        <v>7.28</v>
      </c>
      <c r="F510">
        <v>5.47</v>
      </c>
      <c r="G510" t="s">
        <v>14</v>
      </c>
      <c r="H510" t="s">
        <v>70</v>
      </c>
      <c r="I510" t="s">
        <v>24</v>
      </c>
      <c r="J510" t="s">
        <v>64</v>
      </c>
      <c r="K510" t="s">
        <v>49</v>
      </c>
      <c r="L510" t="s">
        <v>1135</v>
      </c>
      <c r="M510">
        <v>0.35</v>
      </c>
      <c r="N510" t="s">
        <v>8</v>
      </c>
      <c r="O510" t="s">
        <v>9</v>
      </c>
      <c r="P510" t="s">
        <v>99</v>
      </c>
      <c r="Q510" t="s">
        <v>1136</v>
      </c>
      <c r="R510">
        <v>34952</v>
      </c>
      <c r="S510" s="1">
        <v>42048</v>
      </c>
      <c r="T510" s="1">
        <v>42048</v>
      </c>
      <c r="U510">
        <v>167.334</v>
      </c>
      <c r="V510">
        <v>12</v>
      </c>
      <c r="W510">
        <v>83.14</v>
      </c>
      <c r="X510">
        <v>86489</v>
      </c>
      <c r="Y510">
        <f>cleaneddata[[#This Row],[Unit Price]]-cleaneddata[[#This Row],[Discount]]</f>
        <v>7.1800000000000006</v>
      </c>
      <c r="Z51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11" spans="1:26" x14ac:dyDescent="0.3">
      <c r="A511">
        <v>2190</v>
      </c>
      <c r="B511" t="s">
        <v>1137</v>
      </c>
      <c r="C511" t="s">
        <v>1</v>
      </c>
      <c r="D511">
        <v>0.05</v>
      </c>
      <c r="E511">
        <v>16.98</v>
      </c>
      <c r="F511">
        <v>7.78</v>
      </c>
      <c r="G511" t="s">
        <v>14</v>
      </c>
      <c r="H511" t="s">
        <v>47</v>
      </c>
      <c r="I511" t="s">
        <v>24</v>
      </c>
      <c r="J511" t="s">
        <v>25</v>
      </c>
      <c r="K511" t="s">
        <v>18</v>
      </c>
      <c r="L511" t="s">
        <v>1138</v>
      </c>
      <c r="M511">
        <v>0.56999999999999995</v>
      </c>
      <c r="N511" t="s">
        <v>8</v>
      </c>
      <c r="O511" t="s">
        <v>28</v>
      </c>
      <c r="P511" t="s">
        <v>265</v>
      </c>
      <c r="Q511" t="s">
        <v>1139</v>
      </c>
      <c r="R511">
        <v>48227</v>
      </c>
      <c r="S511" s="1">
        <v>42049</v>
      </c>
      <c r="T511" s="1">
        <v>42051</v>
      </c>
      <c r="U511">
        <v>-47.28</v>
      </c>
      <c r="V511">
        <v>45</v>
      </c>
      <c r="W511">
        <v>761.67</v>
      </c>
      <c r="X511">
        <v>41636</v>
      </c>
      <c r="Y511">
        <f>cleaneddata[[#This Row],[Unit Price]]-cleaneddata[[#This Row],[Discount]]</f>
        <v>16.93</v>
      </c>
      <c r="Z51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12" spans="1:26" x14ac:dyDescent="0.3">
      <c r="A512">
        <v>2190</v>
      </c>
      <c r="B512" t="s">
        <v>1137</v>
      </c>
      <c r="C512" t="s">
        <v>1</v>
      </c>
      <c r="D512">
        <v>0.03</v>
      </c>
      <c r="E512">
        <v>115.99</v>
      </c>
      <c r="F512">
        <v>4.2300000000000004</v>
      </c>
      <c r="G512" t="s">
        <v>14</v>
      </c>
      <c r="H512" t="s">
        <v>47</v>
      </c>
      <c r="I512" t="s">
        <v>16</v>
      </c>
      <c r="J512" t="s">
        <v>111</v>
      </c>
      <c r="K512" t="s">
        <v>49</v>
      </c>
      <c r="L512" t="s">
        <v>1140</v>
      </c>
      <c r="M512">
        <v>0.56000000000000005</v>
      </c>
      <c r="N512" t="s">
        <v>8</v>
      </c>
      <c r="O512" t="s">
        <v>28</v>
      </c>
      <c r="P512" t="s">
        <v>265</v>
      </c>
      <c r="Q512" t="s">
        <v>1139</v>
      </c>
      <c r="R512">
        <v>48227</v>
      </c>
      <c r="S512" s="1">
        <v>42049</v>
      </c>
      <c r="T512" s="1">
        <v>42051</v>
      </c>
      <c r="U512">
        <v>722.24099999999999</v>
      </c>
      <c r="V512">
        <v>49</v>
      </c>
      <c r="W512">
        <v>5014.07</v>
      </c>
      <c r="X512">
        <v>41636</v>
      </c>
      <c r="Y512">
        <f>cleaneddata[[#This Row],[Unit Price]]-cleaneddata[[#This Row],[Discount]]</f>
        <v>115.96</v>
      </c>
      <c r="Z51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13" spans="1:26" x14ac:dyDescent="0.3">
      <c r="A513">
        <v>2193</v>
      </c>
      <c r="B513" t="s">
        <v>1141</v>
      </c>
      <c r="C513" t="s">
        <v>1</v>
      </c>
      <c r="D513">
        <v>0.05</v>
      </c>
      <c r="E513">
        <v>16.98</v>
      </c>
      <c r="F513">
        <v>7.78</v>
      </c>
      <c r="G513" t="s">
        <v>14</v>
      </c>
      <c r="H513" t="s">
        <v>47</v>
      </c>
      <c r="I513" t="s">
        <v>24</v>
      </c>
      <c r="J513" t="s">
        <v>25</v>
      </c>
      <c r="K513" t="s">
        <v>18</v>
      </c>
      <c r="L513" t="s">
        <v>1138</v>
      </c>
      <c r="M513">
        <v>0.56999999999999995</v>
      </c>
      <c r="N513" t="s">
        <v>8</v>
      </c>
      <c r="O513" t="s">
        <v>9</v>
      </c>
      <c r="P513" t="s">
        <v>73</v>
      </c>
      <c r="Q513" t="s">
        <v>74</v>
      </c>
      <c r="R513">
        <v>28560</v>
      </c>
      <c r="S513" s="1">
        <v>42049</v>
      </c>
      <c r="T513" s="1">
        <v>42051</v>
      </c>
      <c r="U513">
        <v>-161</v>
      </c>
      <c r="V513">
        <v>11</v>
      </c>
      <c r="W513">
        <v>186.19</v>
      </c>
      <c r="X513">
        <v>90685</v>
      </c>
      <c r="Y513">
        <f>cleaneddata[[#This Row],[Unit Price]]-cleaneddata[[#This Row],[Discount]]</f>
        <v>16.93</v>
      </c>
      <c r="Z5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14" spans="1:26" x14ac:dyDescent="0.3">
      <c r="A514">
        <v>2193</v>
      </c>
      <c r="B514" t="s">
        <v>1141</v>
      </c>
      <c r="C514" t="s">
        <v>1</v>
      </c>
      <c r="D514">
        <v>0.03</v>
      </c>
      <c r="E514">
        <v>115.99</v>
      </c>
      <c r="F514">
        <v>4.2300000000000004</v>
      </c>
      <c r="G514" t="s">
        <v>14</v>
      </c>
      <c r="H514" t="s">
        <v>47</v>
      </c>
      <c r="I514" t="s">
        <v>16</v>
      </c>
      <c r="J514" t="s">
        <v>111</v>
      </c>
      <c r="K514" t="s">
        <v>49</v>
      </c>
      <c r="L514" t="s">
        <v>1140</v>
      </c>
      <c r="M514">
        <v>0.56000000000000005</v>
      </c>
      <c r="N514" t="s">
        <v>8</v>
      </c>
      <c r="O514" t="s">
        <v>9</v>
      </c>
      <c r="P514" t="s">
        <v>73</v>
      </c>
      <c r="Q514" t="s">
        <v>74</v>
      </c>
      <c r="R514">
        <v>28560</v>
      </c>
      <c r="S514" s="1">
        <v>42049</v>
      </c>
      <c r="T514" s="1">
        <v>42051</v>
      </c>
      <c r="U514">
        <v>848.3646</v>
      </c>
      <c r="V514">
        <v>12</v>
      </c>
      <c r="W514">
        <v>1227.94</v>
      </c>
      <c r="X514">
        <v>90685</v>
      </c>
      <c r="Y514">
        <f>cleaneddata[[#This Row],[Unit Price]]-cleaneddata[[#This Row],[Discount]]</f>
        <v>115.96</v>
      </c>
      <c r="Z51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15" spans="1:26" x14ac:dyDescent="0.3">
      <c r="A515">
        <v>2358</v>
      </c>
      <c r="B515" t="s">
        <v>1142</v>
      </c>
      <c r="C515" t="s">
        <v>1</v>
      </c>
      <c r="D515">
        <v>0.05</v>
      </c>
      <c r="E515">
        <v>2.08</v>
      </c>
      <c r="F515">
        <v>2.56</v>
      </c>
      <c r="G515" t="s">
        <v>14</v>
      </c>
      <c r="H515" t="s">
        <v>47</v>
      </c>
      <c r="I515" t="s">
        <v>24</v>
      </c>
      <c r="J515" t="s">
        <v>544</v>
      </c>
      <c r="K515" t="s">
        <v>18</v>
      </c>
      <c r="L515" t="s">
        <v>1143</v>
      </c>
      <c r="M515">
        <v>0.55000000000000004</v>
      </c>
      <c r="N515" t="s">
        <v>8</v>
      </c>
      <c r="O515" t="s">
        <v>9</v>
      </c>
      <c r="P515" t="s">
        <v>99</v>
      </c>
      <c r="Q515" t="s">
        <v>1072</v>
      </c>
      <c r="R515">
        <v>33311</v>
      </c>
      <c r="S515" s="1">
        <v>42049</v>
      </c>
      <c r="T515" s="1">
        <v>42051</v>
      </c>
      <c r="U515">
        <v>-1045.0160000000001</v>
      </c>
      <c r="V515">
        <v>19</v>
      </c>
      <c r="W515">
        <v>40.93</v>
      </c>
      <c r="X515">
        <v>88268</v>
      </c>
      <c r="Y515">
        <f>cleaneddata[[#This Row],[Unit Price]]-cleaneddata[[#This Row],[Discount]]</f>
        <v>2.0300000000000002</v>
      </c>
      <c r="Z51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16" spans="1:26" x14ac:dyDescent="0.3">
      <c r="A516">
        <v>2490</v>
      </c>
      <c r="B516" t="s">
        <v>430</v>
      </c>
      <c r="C516" t="s">
        <v>1</v>
      </c>
      <c r="D516">
        <v>0.09</v>
      </c>
      <c r="E516">
        <v>348.21</v>
      </c>
      <c r="F516">
        <v>40.19</v>
      </c>
      <c r="G516" t="s">
        <v>2</v>
      </c>
      <c r="H516" t="s">
        <v>47</v>
      </c>
      <c r="I516" t="s">
        <v>4</v>
      </c>
      <c r="J516" t="s">
        <v>5</v>
      </c>
      <c r="K516" t="s">
        <v>6</v>
      </c>
      <c r="L516" t="s">
        <v>7</v>
      </c>
      <c r="M516">
        <v>0.62</v>
      </c>
      <c r="N516" t="s">
        <v>8</v>
      </c>
      <c r="O516" t="s">
        <v>35</v>
      </c>
      <c r="P516" t="s">
        <v>66</v>
      </c>
      <c r="Q516" t="s">
        <v>432</v>
      </c>
      <c r="R516">
        <v>92627</v>
      </c>
      <c r="S516" s="1">
        <v>42049</v>
      </c>
      <c r="T516" s="1">
        <v>42051</v>
      </c>
      <c r="U516">
        <v>-93.85</v>
      </c>
      <c r="V516">
        <v>2</v>
      </c>
      <c r="W516">
        <v>662.8</v>
      </c>
      <c r="X516">
        <v>86884</v>
      </c>
      <c r="Y516">
        <f>cleaneddata[[#This Row],[Unit Price]]-cleaneddata[[#This Row],[Discount]]</f>
        <v>348.12</v>
      </c>
      <c r="Z51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17" spans="1:26" x14ac:dyDescent="0.3">
      <c r="A517">
        <v>2491</v>
      </c>
      <c r="B517" t="s">
        <v>433</v>
      </c>
      <c r="C517" t="s">
        <v>1</v>
      </c>
      <c r="D517">
        <v>0.09</v>
      </c>
      <c r="E517">
        <v>348.21</v>
      </c>
      <c r="F517">
        <v>40.19</v>
      </c>
      <c r="G517" t="s">
        <v>2</v>
      </c>
      <c r="H517" t="s">
        <v>47</v>
      </c>
      <c r="I517" t="s">
        <v>4</v>
      </c>
      <c r="J517" t="s">
        <v>5</v>
      </c>
      <c r="K517" t="s">
        <v>6</v>
      </c>
      <c r="L517" t="s">
        <v>7</v>
      </c>
      <c r="M517">
        <v>0.62</v>
      </c>
      <c r="N517" t="s">
        <v>8</v>
      </c>
      <c r="O517" t="s">
        <v>35</v>
      </c>
      <c r="P517" t="s">
        <v>66</v>
      </c>
      <c r="Q517" t="s">
        <v>76</v>
      </c>
      <c r="R517">
        <v>90045</v>
      </c>
      <c r="S517" s="1">
        <v>42049</v>
      </c>
      <c r="T517" s="1">
        <v>42051</v>
      </c>
      <c r="U517">
        <v>-93.85</v>
      </c>
      <c r="V517">
        <v>8</v>
      </c>
      <c r="W517">
        <v>2651.21</v>
      </c>
      <c r="X517">
        <v>48836</v>
      </c>
      <c r="Y517">
        <f>cleaneddata[[#This Row],[Unit Price]]-cleaneddata[[#This Row],[Discount]]</f>
        <v>348.12</v>
      </c>
      <c r="Z5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18" spans="1:26" x14ac:dyDescent="0.3">
      <c r="A518">
        <v>3069</v>
      </c>
      <c r="B518" t="s">
        <v>1144</v>
      </c>
      <c r="C518" t="s">
        <v>1</v>
      </c>
      <c r="D518">
        <v>0.09</v>
      </c>
      <c r="E518">
        <v>1.82</v>
      </c>
      <c r="F518">
        <v>0.83</v>
      </c>
      <c r="G518" t="s">
        <v>14</v>
      </c>
      <c r="H518" t="s">
        <v>15</v>
      </c>
      <c r="I518" t="s">
        <v>24</v>
      </c>
      <c r="J518" t="s">
        <v>25</v>
      </c>
      <c r="K518" t="s">
        <v>26</v>
      </c>
      <c r="L518" t="s">
        <v>1145</v>
      </c>
      <c r="M518">
        <v>0.56999999999999995</v>
      </c>
      <c r="N518" t="s">
        <v>8</v>
      </c>
      <c r="O518" t="s">
        <v>28</v>
      </c>
      <c r="P518" t="s">
        <v>60</v>
      </c>
      <c r="Q518" t="s">
        <v>1146</v>
      </c>
      <c r="R518">
        <v>55128</v>
      </c>
      <c r="S518" s="1">
        <v>42049</v>
      </c>
      <c r="T518" s="1">
        <v>42050</v>
      </c>
      <c r="U518">
        <v>-6.734</v>
      </c>
      <c r="V518">
        <v>22</v>
      </c>
      <c r="W518">
        <v>36.82</v>
      </c>
      <c r="X518">
        <v>88192</v>
      </c>
      <c r="Y518">
        <f>cleaneddata[[#This Row],[Unit Price]]-cleaneddata[[#This Row],[Discount]]</f>
        <v>1.73</v>
      </c>
      <c r="Z51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19" spans="1:26" x14ac:dyDescent="0.3">
      <c r="A519">
        <v>3393</v>
      </c>
      <c r="B519" t="s">
        <v>1147</v>
      </c>
      <c r="C519" t="s">
        <v>1</v>
      </c>
      <c r="D519">
        <v>0.08</v>
      </c>
      <c r="E519">
        <v>4.4800000000000004</v>
      </c>
      <c r="F519">
        <v>2.5</v>
      </c>
      <c r="G519" t="s">
        <v>14</v>
      </c>
      <c r="H519" t="s">
        <v>15</v>
      </c>
      <c r="I519" t="s">
        <v>24</v>
      </c>
      <c r="J519" t="s">
        <v>321</v>
      </c>
      <c r="K519" t="s">
        <v>49</v>
      </c>
      <c r="L519" t="s">
        <v>997</v>
      </c>
      <c r="M519">
        <v>0.37</v>
      </c>
      <c r="N519" t="s">
        <v>8</v>
      </c>
      <c r="O519" t="s">
        <v>35</v>
      </c>
      <c r="P519" t="s">
        <v>42</v>
      </c>
      <c r="Q519" t="s">
        <v>1148</v>
      </c>
      <c r="R519">
        <v>99163</v>
      </c>
      <c r="S519" s="1">
        <v>42049</v>
      </c>
      <c r="T519" s="1">
        <v>42050</v>
      </c>
      <c r="U519">
        <v>-3.2448000000000001</v>
      </c>
      <c r="V519">
        <v>19</v>
      </c>
      <c r="W519">
        <v>80.2</v>
      </c>
      <c r="X519">
        <v>87909</v>
      </c>
      <c r="Y519">
        <f>cleaneddata[[#This Row],[Unit Price]]-cleaneddata[[#This Row],[Discount]]</f>
        <v>4.4000000000000004</v>
      </c>
      <c r="Z5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20" spans="1:26" x14ac:dyDescent="0.3">
      <c r="A520">
        <v>306</v>
      </c>
      <c r="B520" t="s">
        <v>1149</v>
      </c>
      <c r="C520" t="s">
        <v>13</v>
      </c>
      <c r="D520">
        <v>0.01</v>
      </c>
      <c r="E520">
        <v>8.33</v>
      </c>
      <c r="F520">
        <v>1.99</v>
      </c>
      <c r="G520" t="s">
        <v>14</v>
      </c>
      <c r="H520" t="s">
        <v>3</v>
      </c>
      <c r="I520" t="s">
        <v>16</v>
      </c>
      <c r="J520" t="s">
        <v>17</v>
      </c>
      <c r="K520" t="s">
        <v>18</v>
      </c>
      <c r="L520" t="s">
        <v>1150</v>
      </c>
      <c r="M520">
        <v>0.52</v>
      </c>
      <c r="N520" t="s">
        <v>8</v>
      </c>
      <c r="O520" t="s">
        <v>87</v>
      </c>
      <c r="P520" t="s">
        <v>394</v>
      </c>
      <c r="Q520" t="s">
        <v>1151</v>
      </c>
      <c r="R520">
        <v>21208</v>
      </c>
      <c r="S520" s="1">
        <v>42049</v>
      </c>
      <c r="T520" s="1">
        <v>42050</v>
      </c>
      <c r="U520">
        <v>15.895200000000001</v>
      </c>
      <c r="V520">
        <v>8</v>
      </c>
      <c r="W520">
        <v>70.16</v>
      </c>
      <c r="X520">
        <v>87057</v>
      </c>
      <c r="Y520">
        <f>cleaneddata[[#This Row],[Unit Price]]-cleaneddata[[#This Row],[Discount]]</f>
        <v>8.32</v>
      </c>
      <c r="Z5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21" spans="1:26" x14ac:dyDescent="0.3">
      <c r="A521">
        <v>306</v>
      </c>
      <c r="B521" t="s">
        <v>1149</v>
      </c>
      <c r="C521" t="s">
        <v>13</v>
      </c>
      <c r="D521">
        <v>0.04</v>
      </c>
      <c r="E521">
        <v>85.99</v>
      </c>
      <c r="F521">
        <v>0.99</v>
      </c>
      <c r="G521" t="s">
        <v>14</v>
      </c>
      <c r="H521" t="s">
        <v>3</v>
      </c>
      <c r="I521" t="s">
        <v>16</v>
      </c>
      <c r="J521" t="s">
        <v>111</v>
      </c>
      <c r="K521" t="s">
        <v>26</v>
      </c>
      <c r="L521" t="s">
        <v>1152</v>
      </c>
      <c r="M521">
        <v>0.55000000000000004</v>
      </c>
      <c r="N521" t="s">
        <v>8</v>
      </c>
      <c r="O521" t="s">
        <v>87</v>
      </c>
      <c r="P521" t="s">
        <v>394</v>
      </c>
      <c r="Q521" t="s">
        <v>1151</v>
      </c>
      <c r="R521">
        <v>21208</v>
      </c>
      <c r="S521" s="1">
        <v>42049</v>
      </c>
      <c r="T521" s="1">
        <v>42051</v>
      </c>
      <c r="U521">
        <v>855.99329999999998</v>
      </c>
      <c r="V521">
        <v>17</v>
      </c>
      <c r="W521">
        <v>1240.57</v>
      </c>
      <c r="X521">
        <v>87057</v>
      </c>
      <c r="Y521">
        <f>cleaneddata[[#This Row],[Unit Price]]-cleaneddata[[#This Row],[Discount]]</f>
        <v>85.949999999999989</v>
      </c>
      <c r="Z52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22" spans="1:26" x14ac:dyDescent="0.3">
      <c r="A522">
        <v>308</v>
      </c>
      <c r="B522" t="s">
        <v>1153</v>
      </c>
      <c r="C522" t="s">
        <v>13</v>
      </c>
      <c r="D522">
        <v>0.01</v>
      </c>
      <c r="E522">
        <v>8.33</v>
      </c>
      <c r="F522">
        <v>1.99</v>
      </c>
      <c r="G522" t="s">
        <v>14</v>
      </c>
      <c r="H522" t="s">
        <v>3</v>
      </c>
      <c r="I522" t="s">
        <v>16</v>
      </c>
      <c r="J522" t="s">
        <v>17</v>
      </c>
      <c r="K522" t="s">
        <v>18</v>
      </c>
      <c r="L522" t="s">
        <v>1150</v>
      </c>
      <c r="M522">
        <v>0.52</v>
      </c>
      <c r="N522" t="s">
        <v>8</v>
      </c>
      <c r="O522" t="s">
        <v>35</v>
      </c>
      <c r="P522" t="s">
        <v>42</v>
      </c>
      <c r="Q522" t="s">
        <v>118</v>
      </c>
      <c r="R522">
        <v>98115</v>
      </c>
      <c r="S522" s="1">
        <v>42049</v>
      </c>
      <c r="T522" s="1">
        <v>42050</v>
      </c>
      <c r="U522">
        <v>10.74</v>
      </c>
      <c r="V522">
        <v>32</v>
      </c>
      <c r="W522">
        <v>280.62</v>
      </c>
      <c r="X522">
        <v>37760</v>
      </c>
      <c r="Y522">
        <f>cleaneddata[[#This Row],[Unit Price]]-cleaneddata[[#This Row],[Discount]]</f>
        <v>8.32</v>
      </c>
      <c r="Z5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23" spans="1:26" x14ac:dyDescent="0.3">
      <c r="A523">
        <v>1156</v>
      </c>
      <c r="B523" t="s">
        <v>1154</v>
      </c>
      <c r="C523" t="s">
        <v>13</v>
      </c>
      <c r="D523">
        <v>0.06</v>
      </c>
      <c r="E523">
        <v>175.99</v>
      </c>
      <c r="F523">
        <v>8.99</v>
      </c>
      <c r="G523" t="s">
        <v>14</v>
      </c>
      <c r="H523" t="s">
        <v>15</v>
      </c>
      <c r="I523" t="s">
        <v>16</v>
      </c>
      <c r="J523" t="s">
        <v>111</v>
      </c>
      <c r="K523" t="s">
        <v>49</v>
      </c>
      <c r="L523" t="s">
        <v>1155</v>
      </c>
      <c r="M523">
        <v>0.56999999999999995</v>
      </c>
      <c r="N523" t="s">
        <v>8</v>
      </c>
      <c r="O523" t="s">
        <v>87</v>
      </c>
      <c r="P523" t="s">
        <v>379</v>
      </c>
      <c r="Q523" t="s">
        <v>1156</v>
      </c>
      <c r="R523">
        <v>1876</v>
      </c>
      <c r="S523" s="1">
        <v>42049</v>
      </c>
      <c r="T523" s="1">
        <v>42050</v>
      </c>
      <c r="U523">
        <v>48.47148</v>
      </c>
      <c r="V523">
        <v>7</v>
      </c>
      <c r="W523">
        <v>1013.84</v>
      </c>
      <c r="X523">
        <v>90855</v>
      </c>
      <c r="Y523">
        <f>cleaneddata[[#This Row],[Unit Price]]-cleaneddata[[#This Row],[Discount]]</f>
        <v>175.93</v>
      </c>
      <c r="Z52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24" spans="1:26" x14ac:dyDescent="0.3">
      <c r="A524">
        <v>1745</v>
      </c>
      <c r="B524" t="s">
        <v>335</v>
      </c>
      <c r="C524" t="s">
        <v>23</v>
      </c>
      <c r="D524">
        <v>0.04</v>
      </c>
      <c r="E524">
        <v>60.65</v>
      </c>
      <c r="F524">
        <v>12.23</v>
      </c>
      <c r="G524" t="s">
        <v>14</v>
      </c>
      <c r="H524" t="s">
        <v>47</v>
      </c>
      <c r="I524" t="s">
        <v>4</v>
      </c>
      <c r="J524" t="s">
        <v>102</v>
      </c>
      <c r="K524" t="s">
        <v>120</v>
      </c>
      <c r="L524" t="s">
        <v>1157</v>
      </c>
      <c r="M524">
        <v>0.64</v>
      </c>
      <c r="N524" t="s">
        <v>8</v>
      </c>
      <c r="O524" t="s">
        <v>9</v>
      </c>
      <c r="P524" t="s">
        <v>51</v>
      </c>
      <c r="Q524" t="s">
        <v>337</v>
      </c>
      <c r="R524">
        <v>30305</v>
      </c>
      <c r="S524" s="1">
        <v>42049</v>
      </c>
      <c r="T524" s="1">
        <v>42051</v>
      </c>
      <c r="U524">
        <v>116.5063</v>
      </c>
      <c r="V524">
        <v>4</v>
      </c>
      <c r="W524">
        <v>256.77</v>
      </c>
      <c r="X524">
        <v>13408</v>
      </c>
      <c r="Y524">
        <f>cleaneddata[[#This Row],[Unit Price]]-cleaneddata[[#This Row],[Discount]]</f>
        <v>60.61</v>
      </c>
      <c r="Z52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25" spans="1:26" x14ac:dyDescent="0.3">
      <c r="A525">
        <v>1749</v>
      </c>
      <c r="B525" t="s">
        <v>338</v>
      </c>
      <c r="C525" t="s">
        <v>23</v>
      </c>
      <c r="D525">
        <v>0.04</v>
      </c>
      <c r="E525">
        <v>60.65</v>
      </c>
      <c r="F525">
        <v>12.23</v>
      </c>
      <c r="G525" t="s">
        <v>14</v>
      </c>
      <c r="H525" t="s">
        <v>47</v>
      </c>
      <c r="I525" t="s">
        <v>4</v>
      </c>
      <c r="J525" t="s">
        <v>102</v>
      </c>
      <c r="K525" t="s">
        <v>120</v>
      </c>
      <c r="L525" t="s">
        <v>1157</v>
      </c>
      <c r="M525">
        <v>0.64</v>
      </c>
      <c r="N525" t="s">
        <v>8</v>
      </c>
      <c r="O525" t="s">
        <v>28</v>
      </c>
      <c r="P525" t="s">
        <v>183</v>
      </c>
      <c r="Q525" t="s">
        <v>339</v>
      </c>
      <c r="R525">
        <v>73505</v>
      </c>
      <c r="S525" s="1">
        <v>42049</v>
      </c>
      <c r="T525" s="1">
        <v>42051</v>
      </c>
      <c r="U525">
        <v>44.2911</v>
      </c>
      <c r="V525">
        <v>1</v>
      </c>
      <c r="W525">
        <v>64.19</v>
      </c>
      <c r="X525">
        <v>87244</v>
      </c>
      <c r="Y525">
        <f>cleaneddata[[#This Row],[Unit Price]]-cleaneddata[[#This Row],[Discount]]</f>
        <v>60.61</v>
      </c>
      <c r="Z5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26" spans="1:26" x14ac:dyDescent="0.3">
      <c r="A526">
        <v>639</v>
      </c>
      <c r="B526" t="s">
        <v>1158</v>
      </c>
      <c r="C526" t="s">
        <v>46</v>
      </c>
      <c r="D526">
        <v>0</v>
      </c>
      <c r="E526">
        <v>236.97</v>
      </c>
      <c r="F526">
        <v>59.24</v>
      </c>
      <c r="G526" t="s">
        <v>2</v>
      </c>
      <c r="H526" t="s">
        <v>15</v>
      </c>
      <c r="I526" t="s">
        <v>4</v>
      </c>
      <c r="J526" t="s">
        <v>5</v>
      </c>
      <c r="K526" t="s">
        <v>6</v>
      </c>
      <c r="L526" t="s">
        <v>1159</v>
      </c>
      <c r="M526">
        <v>0.61</v>
      </c>
      <c r="N526" t="s">
        <v>8</v>
      </c>
      <c r="O526" t="s">
        <v>35</v>
      </c>
      <c r="P526" t="s">
        <v>66</v>
      </c>
      <c r="Q526" t="s">
        <v>1160</v>
      </c>
      <c r="R526">
        <v>93454</v>
      </c>
      <c r="S526" s="1">
        <v>42049</v>
      </c>
      <c r="T526" s="1">
        <v>42050</v>
      </c>
      <c r="U526">
        <v>1192.04</v>
      </c>
      <c r="V526">
        <v>9</v>
      </c>
      <c r="W526">
        <v>1769.91</v>
      </c>
      <c r="X526">
        <v>87952</v>
      </c>
      <c r="Y526">
        <f>cleaneddata[[#This Row],[Unit Price]]-cleaneddata[[#This Row],[Discount]]</f>
        <v>236.97</v>
      </c>
      <c r="Z52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27" spans="1:26" x14ac:dyDescent="0.3">
      <c r="A527">
        <v>640</v>
      </c>
      <c r="B527" t="s">
        <v>1161</v>
      </c>
      <c r="C527" t="s">
        <v>46</v>
      </c>
      <c r="D527">
        <v>0</v>
      </c>
      <c r="E527">
        <v>236.97</v>
      </c>
      <c r="F527">
        <v>59.24</v>
      </c>
      <c r="G527" t="s">
        <v>2</v>
      </c>
      <c r="H527" t="s">
        <v>15</v>
      </c>
      <c r="I527" t="s">
        <v>4</v>
      </c>
      <c r="J527" t="s">
        <v>5</v>
      </c>
      <c r="K527" t="s">
        <v>6</v>
      </c>
      <c r="L527" t="s">
        <v>1159</v>
      </c>
      <c r="M527">
        <v>0.61</v>
      </c>
      <c r="N527" t="s">
        <v>8</v>
      </c>
      <c r="O527" t="s">
        <v>35</v>
      </c>
      <c r="P527" t="s">
        <v>42</v>
      </c>
      <c r="Q527" t="s">
        <v>118</v>
      </c>
      <c r="R527">
        <v>98119</v>
      </c>
      <c r="S527" s="1">
        <v>42049</v>
      </c>
      <c r="T527" s="1">
        <v>42050</v>
      </c>
      <c r="U527">
        <v>1192.04</v>
      </c>
      <c r="V527">
        <v>34</v>
      </c>
      <c r="W527">
        <v>6686.34</v>
      </c>
      <c r="X527">
        <v>56452</v>
      </c>
      <c r="Y527">
        <f>cleaneddata[[#This Row],[Unit Price]]-cleaneddata[[#This Row],[Discount]]</f>
        <v>236.97</v>
      </c>
      <c r="Z5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28" spans="1:26" x14ac:dyDescent="0.3">
      <c r="A528">
        <v>1682</v>
      </c>
      <c r="B528" t="s">
        <v>1162</v>
      </c>
      <c r="C528" t="s">
        <v>46</v>
      </c>
      <c r="D528">
        <v>0.04</v>
      </c>
      <c r="E528">
        <v>6.28</v>
      </c>
      <c r="F528">
        <v>5.41</v>
      </c>
      <c r="G528" t="s">
        <v>14</v>
      </c>
      <c r="H528" t="s">
        <v>15</v>
      </c>
      <c r="I528" t="s">
        <v>4</v>
      </c>
      <c r="J528" t="s">
        <v>102</v>
      </c>
      <c r="K528" t="s">
        <v>49</v>
      </c>
      <c r="L528" t="s">
        <v>906</v>
      </c>
      <c r="M528">
        <v>0.53</v>
      </c>
      <c r="N528" t="s">
        <v>8</v>
      </c>
      <c r="O528" t="s">
        <v>28</v>
      </c>
      <c r="P528" t="s">
        <v>79</v>
      </c>
      <c r="Q528" t="s">
        <v>509</v>
      </c>
      <c r="R528">
        <v>60611</v>
      </c>
      <c r="S528" s="1">
        <v>42049</v>
      </c>
      <c r="T528" s="1">
        <v>42051</v>
      </c>
      <c r="U528">
        <v>-38.380000000000003</v>
      </c>
      <c r="V528">
        <v>43</v>
      </c>
      <c r="W528">
        <v>284.48</v>
      </c>
      <c r="X528">
        <v>14115</v>
      </c>
      <c r="Y528">
        <f>cleaneddata[[#This Row],[Unit Price]]-cleaneddata[[#This Row],[Discount]]</f>
        <v>6.24</v>
      </c>
      <c r="Z5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29" spans="1:26" x14ac:dyDescent="0.3">
      <c r="A529">
        <v>1683</v>
      </c>
      <c r="B529" t="s">
        <v>1163</v>
      </c>
      <c r="C529" t="s">
        <v>46</v>
      </c>
      <c r="D529">
        <v>0.04</v>
      </c>
      <c r="E529">
        <v>6.28</v>
      </c>
      <c r="F529">
        <v>5.41</v>
      </c>
      <c r="G529" t="s">
        <v>14</v>
      </c>
      <c r="H529" t="s">
        <v>15</v>
      </c>
      <c r="I529" t="s">
        <v>4</v>
      </c>
      <c r="J529" t="s">
        <v>102</v>
      </c>
      <c r="K529" t="s">
        <v>49</v>
      </c>
      <c r="L529" t="s">
        <v>906</v>
      </c>
      <c r="M529">
        <v>0.53</v>
      </c>
      <c r="N529" t="s">
        <v>8</v>
      </c>
      <c r="O529" t="s">
        <v>28</v>
      </c>
      <c r="P529" t="s">
        <v>163</v>
      </c>
      <c r="Q529" t="s">
        <v>1164</v>
      </c>
      <c r="R529">
        <v>77301</v>
      </c>
      <c r="S529" s="1">
        <v>42049</v>
      </c>
      <c r="T529" s="1">
        <v>42051</v>
      </c>
      <c r="U529">
        <v>-19.957599999999999</v>
      </c>
      <c r="V529">
        <v>11</v>
      </c>
      <c r="W529">
        <v>72.77</v>
      </c>
      <c r="X529">
        <v>90612</v>
      </c>
      <c r="Y529">
        <f>cleaneddata[[#This Row],[Unit Price]]-cleaneddata[[#This Row],[Discount]]</f>
        <v>6.24</v>
      </c>
      <c r="Z5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0" spans="1:26" x14ac:dyDescent="0.3">
      <c r="A530">
        <v>11</v>
      </c>
      <c r="B530" t="s">
        <v>1165</v>
      </c>
      <c r="C530" t="s">
        <v>1</v>
      </c>
      <c r="D530">
        <v>0.06</v>
      </c>
      <c r="E530">
        <v>9.48</v>
      </c>
      <c r="F530">
        <v>7.29</v>
      </c>
      <c r="G530" t="s">
        <v>14</v>
      </c>
      <c r="H530" t="s">
        <v>47</v>
      </c>
      <c r="I530" t="s">
        <v>4</v>
      </c>
      <c r="J530" t="s">
        <v>102</v>
      </c>
      <c r="K530" t="s">
        <v>18</v>
      </c>
      <c r="L530" t="s">
        <v>480</v>
      </c>
      <c r="M530">
        <v>0.45</v>
      </c>
      <c r="N530" t="s">
        <v>8</v>
      </c>
      <c r="O530" t="s">
        <v>87</v>
      </c>
      <c r="P530" t="s">
        <v>373</v>
      </c>
      <c r="Q530" t="s">
        <v>1166</v>
      </c>
      <c r="R530">
        <v>7203</v>
      </c>
      <c r="S530" s="1">
        <v>42050</v>
      </c>
      <c r="T530" s="1">
        <v>42052</v>
      </c>
      <c r="U530">
        <v>-53.809600000000003</v>
      </c>
      <c r="V530">
        <v>22</v>
      </c>
      <c r="W530">
        <v>211.15</v>
      </c>
      <c r="X530">
        <v>90192</v>
      </c>
      <c r="Y530">
        <f>cleaneddata[[#This Row],[Unit Price]]-cleaneddata[[#This Row],[Discount]]</f>
        <v>9.42</v>
      </c>
      <c r="Z53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31" spans="1:26" x14ac:dyDescent="0.3">
      <c r="A531">
        <v>596</v>
      </c>
      <c r="B531" t="s">
        <v>1167</v>
      </c>
      <c r="C531" t="s">
        <v>1</v>
      </c>
      <c r="D531">
        <v>0.03</v>
      </c>
      <c r="E531">
        <v>3.8</v>
      </c>
      <c r="F531">
        <v>1.49</v>
      </c>
      <c r="G531" t="s">
        <v>14</v>
      </c>
      <c r="H531" t="s">
        <v>15</v>
      </c>
      <c r="I531" t="s">
        <v>24</v>
      </c>
      <c r="J531" t="s">
        <v>48</v>
      </c>
      <c r="K531" t="s">
        <v>49</v>
      </c>
      <c r="L531" t="s">
        <v>1168</v>
      </c>
      <c r="M531">
        <v>0.38</v>
      </c>
      <c r="N531" t="s">
        <v>8</v>
      </c>
      <c r="O531" t="s">
        <v>28</v>
      </c>
      <c r="P531" t="s">
        <v>29</v>
      </c>
      <c r="Q531" t="s">
        <v>1169</v>
      </c>
      <c r="R531">
        <v>46032</v>
      </c>
      <c r="S531" s="1">
        <v>42050</v>
      </c>
      <c r="T531" s="1">
        <v>42052</v>
      </c>
      <c r="U531">
        <v>15.2745</v>
      </c>
      <c r="V531">
        <v>6</v>
      </c>
      <c r="W531">
        <v>24.27</v>
      </c>
      <c r="X531">
        <v>86308</v>
      </c>
      <c r="Y531">
        <f>cleaneddata[[#This Row],[Unit Price]]-cleaneddata[[#This Row],[Discount]]</f>
        <v>3.77</v>
      </c>
      <c r="Z5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2" spans="1:26" x14ac:dyDescent="0.3">
      <c r="A532">
        <v>596</v>
      </c>
      <c r="B532" t="s">
        <v>1167</v>
      </c>
      <c r="C532" t="s">
        <v>1</v>
      </c>
      <c r="D532">
        <v>7.0000000000000007E-2</v>
      </c>
      <c r="E532">
        <v>7.98</v>
      </c>
      <c r="F532">
        <v>1.25</v>
      </c>
      <c r="G532" t="s">
        <v>14</v>
      </c>
      <c r="H532" t="s">
        <v>15</v>
      </c>
      <c r="I532" t="s">
        <v>24</v>
      </c>
      <c r="J532" t="s">
        <v>64</v>
      </c>
      <c r="K532" t="s">
        <v>26</v>
      </c>
      <c r="L532" t="s">
        <v>1170</v>
      </c>
      <c r="M532">
        <v>0.35</v>
      </c>
      <c r="N532" t="s">
        <v>8</v>
      </c>
      <c r="O532" t="s">
        <v>28</v>
      </c>
      <c r="P532" t="s">
        <v>29</v>
      </c>
      <c r="Q532" t="s">
        <v>1169</v>
      </c>
      <c r="R532">
        <v>46032</v>
      </c>
      <c r="S532" s="1">
        <v>42050</v>
      </c>
      <c r="T532" s="1">
        <v>42052</v>
      </c>
      <c r="U532">
        <v>26.585699999999999</v>
      </c>
      <c r="V532">
        <v>5</v>
      </c>
      <c r="W532">
        <v>38.53</v>
      </c>
      <c r="X532">
        <v>86308</v>
      </c>
      <c r="Y532">
        <f>cleaneddata[[#This Row],[Unit Price]]-cleaneddata[[#This Row],[Discount]]</f>
        <v>7.91</v>
      </c>
      <c r="Z53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3" spans="1:26" x14ac:dyDescent="0.3">
      <c r="A533">
        <v>596</v>
      </c>
      <c r="B533" t="s">
        <v>1167</v>
      </c>
      <c r="C533" t="s">
        <v>1</v>
      </c>
      <c r="D533">
        <v>7.0000000000000007E-2</v>
      </c>
      <c r="E533">
        <v>417.4</v>
      </c>
      <c r="F533">
        <v>75.23</v>
      </c>
      <c r="G533" t="s">
        <v>2</v>
      </c>
      <c r="H533" t="s">
        <v>15</v>
      </c>
      <c r="I533" t="s">
        <v>4</v>
      </c>
      <c r="J533" t="s">
        <v>5</v>
      </c>
      <c r="K533" t="s">
        <v>6</v>
      </c>
      <c r="L533" t="s">
        <v>1171</v>
      </c>
      <c r="M533">
        <v>0.79</v>
      </c>
      <c r="N533" t="s">
        <v>8</v>
      </c>
      <c r="O533" t="s">
        <v>28</v>
      </c>
      <c r="P533" t="s">
        <v>29</v>
      </c>
      <c r="Q533" t="s">
        <v>1169</v>
      </c>
      <c r="R533">
        <v>46032</v>
      </c>
      <c r="S533" s="1">
        <v>42050</v>
      </c>
      <c r="T533" s="1">
        <v>42051</v>
      </c>
      <c r="U533">
        <v>-575.35199999999998</v>
      </c>
      <c r="V533">
        <v>12</v>
      </c>
      <c r="W533">
        <v>4910.72</v>
      </c>
      <c r="X533">
        <v>86308</v>
      </c>
      <c r="Y533">
        <f>cleaneddata[[#This Row],[Unit Price]]-cleaneddata[[#This Row],[Discount]]</f>
        <v>417.33</v>
      </c>
      <c r="Z53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4" spans="1:26" x14ac:dyDescent="0.3">
      <c r="A534">
        <v>2260</v>
      </c>
      <c r="B534" t="s">
        <v>1172</v>
      </c>
      <c r="C534" t="s">
        <v>1</v>
      </c>
      <c r="D534">
        <v>0.02</v>
      </c>
      <c r="E534">
        <v>4.9800000000000004</v>
      </c>
      <c r="F534">
        <v>0.49</v>
      </c>
      <c r="G534" t="s">
        <v>14</v>
      </c>
      <c r="H534" t="s">
        <v>70</v>
      </c>
      <c r="I534" t="s">
        <v>24</v>
      </c>
      <c r="J534" t="s">
        <v>128</v>
      </c>
      <c r="K534" t="s">
        <v>49</v>
      </c>
      <c r="L534" t="s">
        <v>1079</v>
      </c>
      <c r="M534">
        <v>0.39</v>
      </c>
      <c r="N534" t="s">
        <v>8</v>
      </c>
      <c r="O534" t="s">
        <v>9</v>
      </c>
      <c r="P534" t="s">
        <v>51</v>
      </c>
      <c r="Q534" t="s">
        <v>1173</v>
      </c>
      <c r="R534">
        <v>30161</v>
      </c>
      <c r="S534" s="1">
        <v>42050</v>
      </c>
      <c r="T534" s="1">
        <v>42051</v>
      </c>
      <c r="U534">
        <v>-52.863999999999997</v>
      </c>
      <c r="V534">
        <v>17</v>
      </c>
      <c r="W534">
        <v>87.11</v>
      </c>
      <c r="X534">
        <v>89601</v>
      </c>
      <c r="Y534">
        <f>cleaneddata[[#This Row],[Unit Price]]-cleaneddata[[#This Row],[Discount]]</f>
        <v>4.9600000000000009</v>
      </c>
      <c r="Z53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35" spans="1:26" x14ac:dyDescent="0.3">
      <c r="A535">
        <v>2260</v>
      </c>
      <c r="B535" t="s">
        <v>1172</v>
      </c>
      <c r="C535" t="s">
        <v>1</v>
      </c>
      <c r="D535">
        <v>0.01</v>
      </c>
      <c r="E535">
        <v>20.99</v>
      </c>
      <c r="F535">
        <v>0.99</v>
      </c>
      <c r="G535" t="s">
        <v>14</v>
      </c>
      <c r="H535" t="s">
        <v>70</v>
      </c>
      <c r="I535" t="s">
        <v>16</v>
      </c>
      <c r="J535" t="s">
        <v>111</v>
      </c>
      <c r="K535" t="s">
        <v>18</v>
      </c>
      <c r="L535" t="s">
        <v>1174</v>
      </c>
      <c r="M535">
        <v>0.83</v>
      </c>
      <c r="N535" t="s">
        <v>8</v>
      </c>
      <c r="O535" t="s">
        <v>9</v>
      </c>
      <c r="P535" t="s">
        <v>51</v>
      </c>
      <c r="Q535" t="s">
        <v>1173</v>
      </c>
      <c r="R535">
        <v>30161</v>
      </c>
      <c r="S535" s="1">
        <v>42050</v>
      </c>
      <c r="T535" s="1">
        <v>42051</v>
      </c>
      <c r="U535">
        <v>45.378</v>
      </c>
      <c r="V535">
        <v>9</v>
      </c>
      <c r="W535">
        <v>170.46</v>
      </c>
      <c r="X535">
        <v>89601</v>
      </c>
      <c r="Y535">
        <f>cleaneddata[[#This Row],[Unit Price]]-cleaneddata[[#This Row],[Discount]]</f>
        <v>20.979999999999997</v>
      </c>
      <c r="Z53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36" spans="1:26" x14ac:dyDescent="0.3">
      <c r="A536">
        <v>3211</v>
      </c>
      <c r="B536" t="s">
        <v>1175</v>
      </c>
      <c r="C536" t="s">
        <v>13</v>
      </c>
      <c r="D536">
        <v>0.1</v>
      </c>
      <c r="E536">
        <v>7.31</v>
      </c>
      <c r="F536">
        <v>0.49</v>
      </c>
      <c r="G536" t="s">
        <v>14</v>
      </c>
      <c r="H536" t="s">
        <v>70</v>
      </c>
      <c r="I536" t="s">
        <v>24</v>
      </c>
      <c r="J536" t="s">
        <v>128</v>
      </c>
      <c r="K536" t="s">
        <v>49</v>
      </c>
      <c r="L536" t="s">
        <v>1103</v>
      </c>
      <c r="M536">
        <v>0.38</v>
      </c>
      <c r="N536" t="s">
        <v>8</v>
      </c>
      <c r="O536" t="s">
        <v>28</v>
      </c>
      <c r="P536" t="s">
        <v>79</v>
      </c>
      <c r="Q536" t="s">
        <v>1176</v>
      </c>
      <c r="R536">
        <v>60101</v>
      </c>
      <c r="S536" s="1">
        <v>42050</v>
      </c>
      <c r="T536" s="1">
        <v>42051</v>
      </c>
      <c r="U536">
        <v>55.020600000000002</v>
      </c>
      <c r="V536">
        <v>12</v>
      </c>
      <c r="W536">
        <v>79.739999999999995</v>
      </c>
      <c r="X536">
        <v>91522</v>
      </c>
      <c r="Y536">
        <f>cleaneddata[[#This Row],[Unit Price]]-cleaneddata[[#This Row],[Discount]]</f>
        <v>7.21</v>
      </c>
      <c r="Z53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7" spans="1:26" x14ac:dyDescent="0.3">
      <c r="A537">
        <v>3211</v>
      </c>
      <c r="B537" t="s">
        <v>1175</v>
      </c>
      <c r="C537" t="s">
        <v>13</v>
      </c>
      <c r="D537">
        <v>0.1</v>
      </c>
      <c r="E537">
        <v>20.99</v>
      </c>
      <c r="F537">
        <v>2.5</v>
      </c>
      <c r="G537" t="s">
        <v>14</v>
      </c>
      <c r="H537" t="s">
        <v>70</v>
      </c>
      <c r="I537" t="s">
        <v>16</v>
      </c>
      <c r="J537" t="s">
        <v>111</v>
      </c>
      <c r="K537" t="s">
        <v>26</v>
      </c>
      <c r="L537" t="s">
        <v>1177</v>
      </c>
      <c r="M537">
        <v>0.81</v>
      </c>
      <c r="N537" t="s">
        <v>8</v>
      </c>
      <c r="O537" t="s">
        <v>28</v>
      </c>
      <c r="P537" t="s">
        <v>79</v>
      </c>
      <c r="Q537" t="s">
        <v>1176</v>
      </c>
      <c r="R537">
        <v>60101</v>
      </c>
      <c r="S537" s="1">
        <v>42050</v>
      </c>
      <c r="T537" s="1">
        <v>42051</v>
      </c>
      <c r="U537">
        <v>-43.65504</v>
      </c>
      <c r="V537">
        <v>23</v>
      </c>
      <c r="W537">
        <v>392.45</v>
      </c>
      <c r="X537">
        <v>91522</v>
      </c>
      <c r="Y537">
        <f>cleaneddata[[#This Row],[Unit Price]]-cleaneddata[[#This Row],[Discount]]</f>
        <v>20.889999999999997</v>
      </c>
      <c r="Z5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38" spans="1:26" x14ac:dyDescent="0.3">
      <c r="A538">
        <v>393</v>
      </c>
      <c r="B538" t="s">
        <v>1178</v>
      </c>
      <c r="C538" t="s">
        <v>23</v>
      </c>
      <c r="D538">
        <v>7.0000000000000007E-2</v>
      </c>
      <c r="E538">
        <v>9.7100000000000009</v>
      </c>
      <c r="F538">
        <v>9.4499999999999993</v>
      </c>
      <c r="G538" t="s">
        <v>14</v>
      </c>
      <c r="H538" t="s">
        <v>70</v>
      </c>
      <c r="I538" t="s">
        <v>24</v>
      </c>
      <c r="J538" t="s">
        <v>54</v>
      </c>
      <c r="K538" t="s">
        <v>49</v>
      </c>
      <c r="L538" t="s">
        <v>1179</v>
      </c>
      <c r="M538">
        <v>0.6</v>
      </c>
      <c r="N538" t="s">
        <v>8</v>
      </c>
      <c r="O538" t="s">
        <v>87</v>
      </c>
      <c r="P538" t="s">
        <v>88</v>
      </c>
      <c r="Q538" t="s">
        <v>1180</v>
      </c>
      <c r="R538">
        <v>13021</v>
      </c>
      <c r="S538" s="1">
        <v>42050</v>
      </c>
      <c r="T538" s="1">
        <v>42057</v>
      </c>
      <c r="U538">
        <v>-81.77</v>
      </c>
      <c r="V538">
        <v>3</v>
      </c>
      <c r="W538">
        <v>31.44</v>
      </c>
      <c r="X538">
        <v>86382</v>
      </c>
      <c r="Y538">
        <f>cleaneddata[[#This Row],[Unit Price]]-cleaneddata[[#This Row],[Discount]]</f>
        <v>9.64</v>
      </c>
      <c r="Z53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39" spans="1:26" x14ac:dyDescent="0.3">
      <c r="A539">
        <v>651</v>
      </c>
      <c r="B539" t="s">
        <v>270</v>
      </c>
      <c r="C539" t="s">
        <v>23</v>
      </c>
      <c r="D539">
        <v>0.04</v>
      </c>
      <c r="E539">
        <v>880.98</v>
      </c>
      <c r="F539">
        <v>44.55</v>
      </c>
      <c r="G539" t="s">
        <v>2</v>
      </c>
      <c r="H539" t="s">
        <v>15</v>
      </c>
      <c r="I539" t="s">
        <v>4</v>
      </c>
      <c r="J539" t="s">
        <v>93</v>
      </c>
      <c r="K539" t="s">
        <v>6</v>
      </c>
      <c r="L539" t="s">
        <v>214</v>
      </c>
      <c r="M539">
        <v>0.62</v>
      </c>
      <c r="N539" t="s">
        <v>8</v>
      </c>
      <c r="O539" t="s">
        <v>35</v>
      </c>
      <c r="P539" t="s">
        <v>272</v>
      </c>
      <c r="Q539" t="s">
        <v>273</v>
      </c>
      <c r="R539">
        <v>89115</v>
      </c>
      <c r="S539" s="1">
        <v>42050</v>
      </c>
      <c r="T539" s="1">
        <v>42054</v>
      </c>
      <c r="U539">
        <v>4233.2587999999996</v>
      </c>
      <c r="V539">
        <v>8</v>
      </c>
      <c r="W539">
        <v>6901.25</v>
      </c>
      <c r="X539">
        <v>91576</v>
      </c>
      <c r="Y539">
        <f>cleaneddata[[#This Row],[Unit Price]]-cleaneddata[[#This Row],[Discount]]</f>
        <v>880.94</v>
      </c>
      <c r="Z53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40" spans="1:26" x14ac:dyDescent="0.3">
      <c r="A540">
        <v>651</v>
      </c>
      <c r="B540" t="s">
        <v>270</v>
      </c>
      <c r="C540" t="s">
        <v>23</v>
      </c>
      <c r="D540">
        <v>7.0000000000000007E-2</v>
      </c>
      <c r="E540">
        <v>13.4</v>
      </c>
      <c r="F540">
        <v>4.95</v>
      </c>
      <c r="G540" t="s">
        <v>14</v>
      </c>
      <c r="H540" t="s">
        <v>15</v>
      </c>
      <c r="I540" t="s">
        <v>4</v>
      </c>
      <c r="J540" t="s">
        <v>102</v>
      </c>
      <c r="K540" t="s">
        <v>18</v>
      </c>
      <c r="L540" t="s">
        <v>1181</v>
      </c>
      <c r="M540">
        <v>0.37</v>
      </c>
      <c r="N540" t="s">
        <v>8</v>
      </c>
      <c r="O540" t="s">
        <v>35</v>
      </c>
      <c r="P540" t="s">
        <v>272</v>
      </c>
      <c r="Q540" t="s">
        <v>273</v>
      </c>
      <c r="R540">
        <v>89115</v>
      </c>
      <c r="S540" s="1">
        <v>42050</v>
      </c>
      <c r="T540" s="1">
        <v>42055</v>
      </c>
      <c r="U540">
        <v>102.76860000000001</v>
      </c>
      <c r="V540">
        <v>11</v>
      </c>
      <c r="W540">
        <v>148.94</v>
      </c>
      <c r="X540">
        <v>91576</v>
      </c>
      <c r="Y540">
        <f>cleaneddata[[#This Row],[Unit Price]]-cleaneddata[[#This Row],[Discount]]</f>
        <v>13.33</v>
      </c>
      <c r="Z54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41" spans="1:26" x14ac:dyDescent="0.3">
      <c r="A541">
        <v>651</v>
      </c>
      <c r="B541" t="s">
        <v>270</v>
      </c>
      <c r="C541" t="s">
        <v>23</v>
      </c>
      <c r="D541">
        <v>0.01</v>
      </c>
      <c r="E541">
        <v>15.99</v>
      </c>
      <c r="F541">
        <v>11.28</v>
      </c>
      <c r="G541" t="s">
        <v>14</v>
      </c>
      <c r="H541" t="s">
        <v>15</v>
      </c>
      <c r="I541" t="s">
        <v>16</v>
      </c>
      <c r="J541" t="s">
        <v>32</v>
      </c>
      <c r="K541" t="s">
        <v>120</v>
      </c>
      <c r="L541" t="s">
        <v>1182</v>
      </c>
      <c r="M541">
        <v>0.38</v>
      </c>
      <c r="N541" t="s">
        <v>8</v>
      </c>
      <c r="O541" t="s">
        <v>35</v>
      </c>
      <c r="P541" t="s">
        <v>272</v>
      </c>
      <c r="Q541" t="s">
        <v>273</v>
      </c>
      <c r="R541">
        <v>89115</v>
      </c>
      <c r="S541" s="1">
        <v>42050</v>
      </c>
      <c r="T541" s="1">
        <v>42057</v>
      </c>
      <c r="U541">
        <v>-36.671543999999997</v>
      </c>
      <c r="V541">
        <v>12</v>
      </c>
      <c r="W541">
        <v>200.68</v>
      </c>
      <c r="X541">
        <v>91576</v>
      </c>
      <c r="Y541">
        <f>cleaneddata[[#This Row],[Unit Price]]-cleaneddata[[#This Row],[Discount]]</f>
        <v>15.98</v>
      </c>
      <c r="Z54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42" spans="1:26" x14ac:dyDescent="0.3">
      <c r="A542">
        <v>2684</v>
      </c>
      <c r="B542" t="s">
        <v>1183</v>
      </c>
      <c r="C542" t="s">
        <v>23</v>
      </c>
      <c r="D542">
        <v>0.09</v>
      </c>
      <c r="E542">
        <v>8.74</v>
      </c>
      <c r="F542">
        <v>1.39</v>
      </c>
      <c r="G542" t="s">
        <v>63</v>
      </c>
      <c r="H542" t="s">
        <v>3</v>
      </c>
      <c r="I542" t="s">
        <v>24</v>
      </c>
      <c r="J542" t="s">
        <v>321</v>
      </c>
      <c r="K542" t="s">
        <v>49</v>
      </c>
      <c r="L542" t="s">
        <v>416</v>
      </c>
      <c r="M542">
        <v>0.38</v>
      </c>
      <c r="N542" t="s">
        <v>8</v>
      </c>
      <c r="O542" t="s">
        <v>9</v>
      </c>
      <c r="P542" t="s">
        <v>99</v>
      </c>
      <c r="Q542" t="s">
        <v>1184</v>
      </c>
      <c r="R542">
        <v>33952</v>
      </c>
      <c r="S542" s="1">
        <v>42050</v>
      </c>
      <c r="T542" s="1">
        <v>42055</v>
      </c>
      <c r="U542">
        <v>23.616</v>
      </c>
      <c r="V542">
        <v>1</v>
      </c>
      <c r="W542">
        <v>11.78</v>
      </c>
      <c r="X542">
        <v>89146</v>
      </c>
      <c r="Y542">
        <f>cleaneddata[[#This Row],[Unit Price]]-cleaneddata[[#This Row],[Discount]]</f>
        <v>8.65</v>
      </c>
      <c r="Z5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43" spans="1:26" x14ac:dyDescent="0.3">
      <c r="A543">
        <v>2684</v>
      </c>
      <c r="B543" t="s">
        <v>1183</v>
      </c>
      <c r="C543" t="s">
        <v>23</v>
      </c>
      <c r="D543">
        <v>0.09</v>
      </c>
      <c r="E543">
        <v>18.97</v>
      </c>
      <c r="F543">
        <v>9.0299999999999994</v>
      </c>
      <c r="G543" t="s">
        <v>14</v>
      </c>
      <c r="H543" t="s">
        <v>3</v>
      </c>
      <c r="I543" t="s">
        <v>24</v>
      </c>
      <c r="J543" t="s">
        <v>64</v>
      </c>
      <c r="K543" t="s">
        <v>49</v>
      </c>
      <c r="L543" t="s">
        <v>606</v>
      </c>
      <c r="M543">
        <v>0.37</v>
      </c>
      <c r="N543" t="s">
        <v>8</v>
      </c>
      <c r="O543" t="s">
        <v>9</v>
      </c>
      <c r="P543" t="s">
        <v>99</v>
      </c>
      <c r="Q543" t="s">
        <v>1184</v>
      </c>
      <c r="R543">
        <v>33952</v>
      </c>
      <c r="S543" s="1">
        <v>42050</v>
      </c>
      <c r="T543" s="1">
        <v>42055</v>
      </c>
      <c r="U543">
        <v>-1748.0119999999999</v>
      </c>
      <c r="V543">
        <v>1</v>
      </c>
      <c r="W543">
        <v>20.96</v>
      </c>
      <c r="X543">
        <v>89146</v>
      </c>
      <c r="Y543">
        <f>cleaneddata[[#This Row],[Unit Price]]-cleaneddata[[#This Row],[Discount]]</f>
        <v>18.88</v>
      </c>
      <c r="Z54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44" spans="1:26" x14ac:dyDescent="0.3">
      <c r="A544">
        <v>2951</v>
      </c>
      <c r="B544" t="s">
        <v>1185</v>
      </c>
      <c r="C544" t="s">
        <v>92</v>
      </c>
      <c r="D544">
        <v>7.0000000000000007E-2</v>
      </c>
      <c r="E544">
        <v>42.98</v>
      </c>
      <c r="F544">
        <v>4.62</v>
      </c>
      <c r="G544" t="s">
        <v>63</v>
      </c>
      <c r="H544" t="s">
        <v>70</v>
      </c>
      <c r="I544" t="s">
        <v>24</v>
      </c>
      <c r="J544" t="s">
        <v>71</v>
      </c>
      <c r="K544" t="s">
        <v>49</v>
      </c>
      <c r="L544" t="s">
        <v>256</v>
      </c>
      <c r="M544">
        <v>0.56000000000000005</v>
      </c>
      <c r="N544" t="s">
        <v>8</v>
      </c>
      <c r="O544" t="s">
        <v>28</v>
      </c>
      <c r="P544" t="s">
        <v>513</v>
      </c>
      <c r="Q544" t="s">
        <v>1186</v>
      </c>
      <c r="R544">
        <v>67601</v>
      </c>
      <c r="S544" s="1">
        <v>42050</v>
      </c>
      <c r="T544" s="1">
        <v>42052</v>
      </c>
      <c r="U544">
        <v>565.38599999999997</v>
      </c>
      <c r="V544">
        <v>19</v>
      </c>
      <c r="W544">
        <v>819.4</v>
      </c>
      <c r="X544">
        <v>91397</v>
      </c>
      <c r="Y544">
        <f>cleaneddata[[#This Row],[Unit Price]]-cleaneddata[[#This Row],[Discount]]</f>
        <v>42.91</v>
      </c>
      <c r="Z5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45" spans="1:26" x14ac:dyDescent="0.3">
      <c r="A545">
        <v>2951</v>
      </c>
      <c r="B545" t="s">
        <v>1185</v>
      </c>
      <c r="C545" t="s">
        <v>92</v>
      </c>
      <c r="D545">
        <v>0.03</v>
      </c>
      <c r="E545">
        <v>89.99</v>
      </c>
      <c r="F545">
        <v>42</v>
      </c>
      <c r="G545" t="s">
        <v>2</v>
      </c>
      <c r="H545" t="s">
        <v>70</v>
      </c>
      <c r="I545" t="s">
        <v>4</v>
      </c>
      <c r="J545" t="s">
        <v>85</v>
      </c>
      <c r="K545" t="s">
        <v>33</v>
      </c>
      <c r="L545" t="s">
        <v>1187</v>
      </c>
      <c r="M545">
        <v>0.66</v>
      </c>
      <c r="N545" t="s">
        <v>8</v>
      </c>
      <c r="O545" t="s">
        <v>28</v>
      </c>
      <c r="P545" t="s">
        <v>513</v>
      </c>
      <c r="Q545" t="s">
        <v>1186</v>
      </c>
      <c r="R545">
        <v>67601</v>
      </c>
      <c r="S545" s="1">
        <v>42050</v>
      </c>
      <c r="T545" s="1">
        <v>42053</v>
      </c>
      <c r="U545">
        <v>-230.9528</v>
      </c>
      <c r="V545">
        <v>19</v>
      </c>
      <c r="W545">
        <v>1809.75</v>
      </c>
      <c r="X545">
        <v>91397</v>
      </c>
      <c r="Y545">
        <f>cleaneddata[[#This Row],[Unit Price]]-cleaneddata[[#This Row],[Discount]]</f>
        <v>89.96</v>
      </c>
      <c r="Z54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46" spans="1:26" x14ac:dyDescent="0.3">
      <c r="A546">
        <v>2355</v>
      </c>
      <c r="B546" t="s">
        <v>1188</v>
      </c>
      <c r="C546" t="s">
        <v>46</v>
      </c>
      <c r="D546">
        <v>0.1</v>
      </c>
      <c r="E546">
        <v>78.69</v>
      </c>
      <c r="F546">
        <v>19.989999999999998</v>
      </c>
      <c r="G546" t="s">
        <v>14</v>
      </c>
      <c r="H546" t="s">
        <v>15</v>
      </c>
      <c r="I546" t="s">
        <v>4</v>
      </c>
      <c r="J546" t="s">
        <v>102</v>
      </c>
      <c r="K546" t="s">
        <v>49</v>
      </c>
      <c r="L546" t="s">
        <v>1189</v>
      </c>
      <c r="M546">
        <v>0.43</v>
      </c>
      <c r="N546" t="s">
        <v>8</v>
      </c>
      <c r="O546" t="s">
        <v>35</v>
      </c>
      <c r="P546" t="s">
        <v>66</v>
      </c>
      <c r="Q546" t="s">
        <v>1190</v>
      </c>
      <c r="R546">
        <v>92236</v>
      </c>
      <c r="S546" s="1">
        <v>42050</v>
      </c>
      <c r="T546" s="1">
        <v>42051</v>
      </c>
      <c r="U546">
        <v>465.43950000000001</v>
      </c>
      <c r="V546">
        <v>9</v>
      </c>
      <c r="W546">
        <v>674.55</v>
      </c>
      <c r="X546">
        <v>91304</v>
      </c>
      <c r="Y546">
        <f>cleaneddata[[#This Row],[Unit Price]]-cleaneddata[[#This Row],[Discount]]</f>
        <v>78.59</v>
      </c>
      <c r="Z54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47" spans="1:26" x14ac:dyDescent="0.3">
      <c r="A547">
        <v>1129</v>
      </c>
      <c r="B547" t="s">
        <v>762</v>
      </c>
      <c r="C547" t="s">
        <v>23</v>
      </c>
      <c r="D547">
        <v>0.04</v>
      </c>
      <c r="E547">
        <v>8.6</v>
      </c>
      <c r="F547">
        <v>6.19</v>
      </c>
      <c r="G547" t="s">
        <v>14</v>
      </c>
      <c r="H547" t="s">
        <v>47</v>
      </c>
      <c r="I547" t="s">
        <v>24</v>
      </c>
      <c r="J547" t="s">
        <v>48</v>
      </c>
      <c r="K547" t="s">
        <v>49</v>
      </c>
      <c r="L547" t="s">
        <v>508</v>
      </c>
      <c r="M547">
        <v>0.38</v>
      </c>
      <c r="N547" t="s">
        <v>8</v>
      </c>
      <c r="O547" t="s">
        <v>87</v>
      </c>
      <c r="P547" t="s">
        <v>379</v>
      </c>
      <c r="Q547" t="s">
        <v>764</v>
      </c>
      <c r="R547">
        <v>2118</v>
      </c>
      <c r="S547" s="1">
        <v>42051</v>
      </c>
      <c r="T547" s="1">
        <v>42058</v>
      </c>
      <c r="U547">
        <v>-63.813499999999998</v>
      </c>
      <c r="V547">
        <v>37</v>
      </c>
      <c r="W547">
        <v>311.66000000000003</v>
      </c>
      <c r="X547">
        <v>32037</v>
      </c>
      <c r="Y547">
        <f>cleaneddata[[#This Row],[Unit Price]]-cleaneddata[[#This Row],[Discount]]</f>
        <v>8.56</v>
      </c>
      <c r="Z54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48" spans="1:26" x14ac:dyDescent="0.3">
      <c r="A548">
        <v>1129</v>
      </c>
      <c r="B548" t="s">
        <v>762</v>
      </c>
      <c r="C548" t="s">
        <v>23</v>
      </c>
      <c r="D548">
        <v>7.0000000000000007E-2</v>
      </c>
      <c r="E548">
        <v>699.99</v>
      </c>
      <c r="F548">
        <v>24.49</v>
      </c>
      <c r="G548" t="s">
        <v>14</v>
      </c>
      <c r="H548" t="s">
        <v>47</v>
      </c>
      <c r="I548" t="s">
        <v>16</v>
      </c>
      <c r="J548" t="s">
        <v>39</v>
      </c>
      <c r="K548" t="s">
        <v>40</v>
      </c>
      <c r="L548" t="s">
        <v>1191</v>
      </c>
      <c r="M548">
        <v>0.54</v>
      </c>
      <c r="N548" t="s">
        <v>8</v>
      </c>
      <c r="O548" t="s">
        <v>87</v>
      </c>
      <c r="P548" t="s">
        <v>379</v>
      </c>
      <c r="Q548" t="s">
        <v>764</v>
      </c>
      <c r="R548">
        <v>2118</v>
      </c>
      <c r="S548" s="1">
        <v>42051</v>
      </c>
      <c r="T548" s="1">
        <v>42055</v>
      </c>
      <c r="U548">
        <v>325.29000000000002</v>
      </c>
      <c r="V548">
        <v>15</v>
      </c>
      <c r="W548">
        <v>9862.51</v>
      </c>
      <c r="X548">
        <v>32037</v>
      </c>
      <c r="Y548">
        <f>cleaneddata[[#This Row],[Unit Price]]-cleaneddata[[#This Row],[Discount]]</f>
        <v>699.92</v>
      </c>
      <c r="Z5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49" spans="1:26" x14ac:dyDescent="0.3">
      <c r="A549">
        <v>1132</v>
      </c>
      <c r="B549" t="s">
        <v>1069</v>
      </c>
      <c r="C549" t="s">
        <v>23</v>
      </c>
      <c r="D549">
        <v>0.04</v>
      </c>
      <c r="E549">
        <v>8.6</v>
      </c>
      <c r="F549">
        <v>6.19</v>
      </c>
      <c r="G549" t="s">
        <v>14</v>
      </c>
      <c r="H549" t="s">
        <v>47</v>
      </c>
      <c r="I549" t="s">
        <v>24</v>
      </c>
      <c r="J549" t="s">
        <v>48</v>
      </c>
      <c r="K549" t="s">
        <v>49</v>
      </c>
      <c r="L549" t="s">
        <v>508</v>
      </c>
      <c r="M549">
        <v>0.38</v>
      </c>
      <c r="N549" t="s">
        <v>8</v>
      </c>
      <c r="O549" t="s">
        <v>28</v>
      </c>
      <c r="P549" t="s">
        <v>163</v>
      </c>
      <c r="Q549" t="s">
        <v>1070</v>
      </c>
      <c r="R549">
        <v>76039</v>
      </c>
      <c r="S549" s="1">
        <v>42051</v>
      </c>
      <c r="T549" s="1">
        <v>42058</v>
      </c>
      <c r="U549">
        <v>-63.813499999999998</v>
      </c>
      <c r="V549">
        <v>9</v>
      </c>
      <c r="W549">
        <v>75.81</v>
      </c>
      <c r="X549">
        <v>88102</v>
      </c>
      <c r="Y549">
        <f>cleaneddata[[#This Row],[Unit Price]]-cleaneddata[[#This Row],[Discount]]</f>
        <v>8.56</v>
      </c>
      <c r="Z5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50" spans="1:26" x14ac:dyDescent="0.3">
      <c r="A550">
        <v>1132</v>
      </c>
      <c r="B550" t="s">
        <v>1069</v>
      </c>
      <c r="C550" t="s">
        <v>23</v>
      </c>
      <c r="D550">
        <v>7.0000000000000007E-2</v>
      </c>
      <c r="E550">
        <v>699.99</v>
      </c>
      <c r="F550">
        <v>24.49</v>
      </c>
      <c r="G550" t="s">
        <v>14</v>
      </c>
      <c r="H550" t="s">
        <v>47</v>
      </c>
      <c r="I550" t="s">
        <v>16</v>
      </c>
      <c r="J550" t="s">
        <v>39</v>
      </c>
      <c r="K550" t="s">
        <v>40</v>
      </c>
      <c r="L550" t="s">
        <v>1191</v>
      </c>
      <c r="M550">
        <v>0.54</v>
      </c>
      <c r="N550" t="s">
        <v>8</v>
      </c>
      <c r="O550" t="s">
        <v>28</v>
      </c>
      <c r="P550" t="s">
        <v>163</v>
      </c>
      <c r="Q550" t="s">
        <v>1070</v>
      </c>
      <c r="R550">
        <v>76039</v>
      </c>
      <c r="S550" s="1">
        <v>42051</v>
      </c>
      <c r="T550" s="1">
        <v>42055</v>
      </c>
      <c r="U550">
        <v>325.29000000000002</v>
      </c>
      <c r="V550">
        <v>4</v>
      </c>
      <c r="W550">
        <v>2630</v>
      </c>
      <c r="X550">
        <v>88102</v>
      </c>
      <c r="Y550">
        <f>cleaneddata[[#This Row],[Unit Price]]-cleaneddata[[#This Row],[Discount]]</f>
        <v>699.92</v>
      </c>
      <c r="Z5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51" spans="1:26" x14ac:dyDescent="0.3">
      <c r="A551">
        <v>1580</v>
      </c>
      <c r="B551" t="s">
        <v>1192</v>
      </c>
      <c r="C551" t="s">
        <v>23</v>
      </c>
      <c r="D551">
        <v>0.1</v>
      </c>
      <c r="E551">
        <v>11.58</v>
      </c>
      <c r="F551">
        <v>6.97</v>
      </c>
      <c r="G551" t="s">
        <v>14</v>
      </c>
      <c r="H551" t="s">
        <v>70</v>
      </c>
      <c r="I551" t="s">
        <v>24</v>
      </c>
      <c r="J551" t="s">
        <v>321</v>
      </c>
      <c r="K551" t="s">
        <v>49</v>
      </c>
      <c r="L551" t="s">
        <v>600</v>
      </c>
      <c r="M551">
        <v>0.35</v>
      </c>
      <c r="N551" t="s">
        <v>8</v>
      </c>
      <c r="O551" t="s">
        <v>87</v>
      </c>
      <c r="P551" t="s">
        <v>307</v>
      </c>
      <c r="Q551" t="s">
        <v>1193</v>
      </c>
      <c r="R551">
        <v>4901</v>
      </c>
      <c r="S551" s="1">
        <v>42051</v>
      </c>
      <c r="T551" s="1">
        <v>42055</v>
      </c>
      <c r="U551">
        <v>-8.3979999999999997</v>
      </c>
      <c r="V551">
        <v>1</v>
      </c>
      <c r="W551">
        <v>14.53</v>
      </c>
      <c r="X551">
        <v>90934</v>
      </c>
      <c r="Y551">
        <f>cleaneddata[[#This Row],[Unit Price]]-cleaneddata[[#This Row],[Discount]]</f>
        <v>11.48</v>
      </c>
      <c r="Z55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52" spans="1:26" x14ac:dyDescent="0.3">
      <c r="A552">
        <v>1138</v>
      </c>
      <c r="B552" t="s">
        <v>1194</v>
      </c>
      <c r="C552" t="s">
        <v>92</v>
      </c>
      <c r="D552">
        <v>0.02</v>
      </c>
      <c r="E552">
        <v>160.97999999999999</v>
      </c>
      <c r="F552">
        <v>30</v>
      </c>
      <c r="G552" t="s">
        <v>2</v>
      </c>
      <c r="H552" t="s">
        <v>47</v>
      </c>
      <c r="I552" t="s">
        <v>4</v>
      </c>
      <c r="J552" t="s">
        <v>85</v>
      </c>
      <c r="K552" t="s">
        <v>33</v>
      </c>
      <c r="L552" t="s">
        <v>868</v>
      </c>
      <c r="M552">
        <v>0.62</v>
      </c>
      <c r="N552" t="s">
        <v>8</v>
      </c>
      <c r="O552" t="s">
        <v>28</v>
      </c>
      <c r="P552" t="s">
        <v>163</v>
      </c>
      <c r="Q552" t="s">
        <v>1195</v>
      </c>
      <c r="R552">
        <v>75056</v>
      </c>
      <c r="S552" s="1">
        <v>42051</v>
      </c>
      <c r="T552" s="1">
        <v>42054</v>
      </c>
      <c r="U552">
        <v>-51.116</v>
      </c>
      <c r="V552">
        <v>1</v>
      </c>
      <c r="W552">
        <v>192.49</v>
      </c>
      <c r="X552">
        <v>86574</v>
      </c>
      <c r="Y552">
        <f>cleaneddata[[#This Row],[Unit Price]]-cleaneddata[[#This Row],[Discount]]</f>
        <v>160.95999999999998</v>
      </c>
      <c r="Z5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53" spans="1:26" x14ac:dyDescent="0.3">
      <c r="A553">
        <v>1228</v>
      </c>
      <c r="B553" t="s">
        <v>1196</v>
      </c>
      <c r="C553" t="s">
        <v>92</v>
      </c>
      <c r="D553">
        <v>0</v>
      </c>
      <c r="E553">
        <v>7.1</v>
      </c>
      <c r="F553">
        <v>6.05</v>
      </c>
      <c r="G553" t="s">
        <v>14</v>
      </c>
      <c r="H553" t="s">
        <v>3</v>
      </c>
      <c r="I553" t="s">
        <v>24</v>
      </c>
      <c r="J553" t="s">
        <v>48</v>
      </c>
      <c r="K553" t="s">
        <v>49</v>
      </c>
      <c r="L553" t="s">
        <v>227</v>
      </c>
      <c r="M553">
        <v>0.39</v>
      </c>
      <c r="N553" t="s">
        <v>8</v>
      </c>
      <c r="O553" t="s">
        <v>87</v>
      </c>
      <c r="P553" t="s">
        <v>296</v>
      </c>
      <c r="Q553" t="s">
        <v>297</v>
      </c>
      <c r="R553">
        <v>19140</v>
      </c>
      <c r="S553" s="1">
        <v>42051</v>
      </c>
      <c r="T553" s="1">
        <v>42052</v>
      </c>
      <c r="U553">
        <v>-60.145000000000003</v>
      </c>
      <c r="V553">
        <v>28</v>
      </c>
      <c r="W553">
        <v>208.83</v>
      </c>
      <c r="X553">
        <v>55874</v>
      </c>
      <c r="Y553">
        <f>cleaneddata[[#This Row],[Unit Price]]-cleaneddata[[#This Row],[Discount]]</f>
        <v>7.1</v>
      </c>
      <c r="Z55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54" spans="1:26" x14ac:dyDescent="0.3">
      <c r="A554">
        <v>1228</v>
      </c>
      <c r="B554" t="s">
        <v>1196</v>
      </c>
      <c r="C554" t="s">
        <v>92</v>
      </c>
      <c r="D554">
        <v>0.01</v>
      </c>
      <c r="E554">
        <v>4.9800000000000004</v>
      </c>
      <c r="F554">
        <v>4.62</v>
      </c>
      <c r="G554" t="s">
        <v>63</v>
      </c>
      <c r="H554" t="s">
        <v>3</v>
      </c>
      <c r="I554" t="s">
        <v>16</v>
      </c>
      <c r="J554" t="s">
        <v>17</v>
      </c>
      <c r="K554" t="s">
        <v>18</v>
      </c>
      <c r="L554" t="s">
        <v>1197</v>
      </c>
      <c r="M554">
        <v>0.64</v>
      </c>
      <c r="N554" t="s">
        <v>8</v>
      </c>
      <c r="O554" t="s">
        <v>87</v>
      </c>
      <c r="P554" t="s">
        <v>296</v>
      </c>
      <c r="Q554" t="s">
        <v>297</v>
      </c>
      <c r="R554">
        <v>19140</v>
      </c>
      <c r="S554" s="1">
        <v>42051</v>
      </c>
      <c r="T554" s="1">
        <v>42053</v>
      </c>
      <c r="U554">
        <v>-111.72</v>
      </c>
      <c r="V554">
        <v>41</v>
      </c>
      <c r="W554">
        <v>228.3</v>
      </c>
      <c r="X554">
        <v>55874</v>
      </c>
      <c r="Y554">
        <f>cleaneddata[[#This Row],[Unit Price]]-cleaneddata[[#This Row],[Discount]]</f>
        <v>4.9700000000000006</v>
      </c>
      <c r="Z55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55" spans="1:26" x14ac:dyDescent="0.3">
      <c r="A555">
        <v>1228</v>
      </c>
      <c r="B555" t="s">
        <v>1196</v>
      </c>
      <c r="C555" t="s">
        <v>92</v>
      </c>
      <c r="D555">
        <v>0.06</v>
      </c>
      <c r="E555">
        <v>5.68</v>
      </c>
      <c r="F555">
        <v>1.39</v>
      </c>
      <c r="G555" t="s">
        <v>14</v>
      </c>
      <c r="H555" t="s">
        <v>3</v>
      </c>
      <c r="I555" t="s">
        <v>24</v>
      </c>
      <c r="J555" t="s">
        <v>321</v>
      </c>
      <c r="K555" t="s">
        <v>49</v>
      </c>
      <c r="L555" t="s">
        <v>574</v>
      </c>
      <c r="M555">
        <v>0.38</v>
      </c>
      <c r="N555" t="s">
        <v>8</v>
      </c>
      <c r="O555" t="s">
        <v>87</v>
      </c>
      <c r="P555" t="s">
        <v>296</v>
      </c>
      <c r="Q555" t="s">
        <v>297</v>
      </c>
      <c r="R555">
        <v>19140</v>
      </c>
      <c r="S555" s="1">
        <v>42051</v>
      </c>
      <c r="T555" s="1">
        <v>42051</v>
      </c>
      <c r="U555">
        <v>33.01</v>
      </c>
      <c r="V555">
        <v>24</v>
      </c>
      <c r="W555">
        <v>129.53</v>
      </c>
      <c r="X555">
        <v>55874</v>
      </c>
      <c r="Y555">
        <f>cleaneddata[[#This Row],[Unit Price]]-cleaneddata[[#This Row],[Discount]]</f>
        <v>5.62</v>
      </c>
      <c r="Z55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56" spans="1:26" x14ac:dyDescent="0.3">
      <c r="A556">
        <v>1229</v>
      </c>
      <c r="B556" t="s">
        <v>1198</v>
      </c>
      <c r="C556" t="s">
        <v>92</v>
      </c>
      <c r="D556">
        <v>0.01</v>
      </c>
      <c r="E556">
        <v>4.9800000000000004</v>
      </c>
      <c r="F556">
        <v>4.62</v>
      </c>
      <c r="G556" t="s">
        <v>63</v>
      </c>
      <c r="H556" t="s">
        <v>3</v>
      </c>
      <c r="I556" t="s">
        <v>16</v>
      </c>
      <c r="J556" t="s">
        <v>17</v>
      </c>
      <c r="K556" t="s">
        <v>18</v>
      </c>
      <c r="L556" t="s">
        <v>1197</v>
      </c>
      <c r="M556">
        <v>0.64</v>
      </c>
      <c r="N556" t="s">
        <v>8</v>
      </c>
      <c r="O556" t="s">
        <v>28</v>
      </c>
      <c r="P556" t="s">
        <v>163</v>
      </c>
      <c r="Q556" t="s">
        <v>1116</v>
      </c>
      <c r="R556">
        <v>75482</v>
      </c>
      <c r="S556" s="1">
        <v>42051</v>
      </c>
      <c r="T556" s="1">
        <v>42053</v>
      </c>
      <c r="U556">
        <v>-111.72</v>
      </c>
      <c r="V556">
        <v>10</v>
      </c>
      <c r="W556">
        <v>55.68</v>
      </c>
      <c r="X556">
        <v>90378</v>
      </c>
      <c r="Y556">
        <f>cleaneddata[[#This Row],[Unit Price]]-cleaneddata[[#This Row],[Discount]]</f>
        <v>4.9700000000000006</v>
      </c>
      <c r="Z5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57" spans="1:26" x14ac:dyDescent="0.3">
      <c r="A557">
        <v>1625</v>
      </c>
      <c r="B557" t="s">
        <v>1199</v>
      </c>
      <c r="C557" t="s">
        <v>92</v>
      </c>
      <c r="D557">
        <v>0</v>
      </c>
      <c r="E557">
        <v>209.37</v>
      </c>
      <c r="F557">
        <v>69</v>
      </c>
      <c r="G557" t="s">
        <v>14</v>
      </c>
      <c r="H557" t="s">
        <v>47</v>
      </c>
      <c r="I557" t="s">
        <v>4</v>
      </c>
      <c r="J557" t="s">
        <v>5</v>
      </c>
      <c r="K557" t="s">
        <v>40</v>
      </c>
      <c r="L557" t="s">
        <v>1200</v>
      </c>
      <c r="M557">
        <v>0.79</v>
      </c>
      <c r="N557" t="s">
        <v>8</v>
      </c>
      <c r="O557" t="s">
        <v>87</v>
      </c>
      <c r="P557" t="s">
        <v>88</v>
      </c>
      <c r="Q557" t="s">
        <v>1201</v>
      </c>
      <c r="R557">
        <v>11542</v>
      </c>
      <c r="S557" s="1">
        <v>42051</v>
      </c>
      <c r="T557" s="1">
        <v>42053</v>
      </c>
      <c r="U557">
        <v>-263.11192907999998</v>
      </c>
      <c r="V557">
        <v>11</v>
      </c>
      <c r="W557">
        <v>1959.88</v>
      </c>
      <c r="X557">
        <v>90601</v>
      </c>
      <c r="Y557">
        <f>cleaneddata[[#This Row],[Unit Price]]-cleaneddata[[#This Row],[Discount]]</f>
        <v>209.37</v>
      </c>
      <c r="Z55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58" spans="1:26" x14ac:dyDescent="0.3">
      <c r="A558">
        <v>3151</v>
      </c>
      <c r="B558" t="s">
        <v>929</v>
      </c>
      <c r="C558" t="s">
        <v>46</v>
      </c>
      <c r="D558">
        <v>0.05</v>
      </c>
      <c r="E558">
        <v>25.99</v>
      </c>
      <c r="F558">
        <v>5.37</v>
      </c>
      <c r="G558" t="s">
        <v>63</v>
      </c>
      <c r="H558" t="s">
        <v>70</v>
      </c>
      <c r="I558" t="s">
        <v>24</v>
      </c>
      <c r="J558" t="s">
        <v>25</v>
      </c>
      <c r="K558" t="s">
        <v>49</v>
      </c>
      <c r="L558" t="s">
        <v>1202</v>
      </c>
      <c r="M558">
        <v>0.56000000000000005</v>
      </c>
      <c r="N558" t="s">
        <v>8</v>
      </c>
      <c r="O558" t="s">
        <v>35</v>
      </c>
      <c r="P558" t="s">
        <v>66</v>
      </c>
      <c r="Q558" t="s">
        <v>930</v>
      </c>
      <c r="R558">
        <v>92277</v>
      </c>
      <c r="S558" s="1">
        <v>42051</v>
      </c>
      <c r="T558" s="1">
        <v>42053</v>
      </c>
      <c r="U558">
        <v>220.35720000000001</v>
      </c>
      <c r="V558">
        <v>18</v>
      </c>
      <c r="W558">
        <v>451.35</v>
      </c>
      <c r="X558">
        <v>88545</v>
      </c>
      <c r="Y558">
        <f>cleaneddata[[#This Row],[Unit Price]]-cleaneddata[[#This Row],[Discount]]</f>
        <v>25.939999999999998</v>
      </c>
      <c r="Z55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59" spans="1:26" x14ac:dyDescent="0.3">
      <c r="A559">
        <v>936</v>
      </c>
      <c r="B559" t="s">
        <v>1203</v>
      </c>
      <c r="C559" t="s">
        <v>1</v>
      </c>
      <c r="D559">
        <v>0.05</v>
      </c>
      <c r="E559">
        <v>6.04</v>
      </c>
      <c r="F559">
        <v>2.14</v>
      </c>
      <c r="G559" t="s">
        <v>63</v>
      </c>
      <c r="H559" t="s">
        <v>70</v>
      </c>
      <c r="I559" t="s">
        <v>24</v>
      </c>
      <c r="J559" t="s">
        <v>64</v>
      </c>
      <c r="K559" t="s">
        <v>26</v>
      </c>
      <c r="L559" t="s">
        <v>1204</v>
      </c>
      <c r="M559">
        <v>0.38</v>
      </c>
      <c r="N559" t="s">
        <v>8</v>
      </c>
      <c r="O559" t="s">
        <v>35</v>
      </c>
      <c r="P559" t="s">
        <v>66</v>
      </c>
      <c r="Q559" t="s">
        <v>1205</v>
      </c>
      <c r="R559">
        <v>92374</v>
      </c>
      <c r="S559" s="1">
        <v>42052</v>
      </c>
      <c r="T559" s="1">
        <v>42054</v>
      </c>
      <c r="U559">
        <v>-4.1399999999999997</v>
      </c>
      <c r="V559">
        <v>1</v>
      </c>
      <c r="W559">
        <v>8.41</v>
      </c>
      <c r="X559">
        <v>90588</v>
      </c>
      <c r="Y559">
        <f>cleaneddata[[#This Row],[Unit Price]]-cleaneddata[[#This Row],[Discount]]</f>
        <v>5.99</v>
      </c>
      <c r="Z5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0" spans="1:26" x14ac:dyDescent="0.3">
      <c r="A560">
        <v>1305</v>
      </c>
      <c r="B560" t="s">
        <v>1206</v>
      </c>
      <c r="C560" t="s">
        <v>13</v>
      </c>
      <c r="D560">
        <v>0.04</v>
      </c>
      <c r="E560">
        <v>62.18</v>
      </c>
      <c r="F560">
        <v>10.84</v>
      </c>
      <c r="G560" t="s">
        <v>14</v>
      </c>
      <c r="H560" t="s">
        <v>15</v>
      </c>
      <c r="I560" t="s">
        <v>4</v>
      </c>
      <c r="J560" t="s">
        <v>102</v>
      </c>
      <c r="K560" t="s">
        <v>120</v>
      </c>
      <c r="L560" t="s">
        <v>1207</v>
      </c>
      <c r="M560">
        <v>0.63</v>
      </c>
      <c r="N560" t="s">
        <v>8</v>
      </c>
      <c r="O560" t="s">
        <v>35</v>
      </c>
      <c r="P560" t="s">
        <v>122</v>
      </c>
      <c r="Q560" t="s">
        <v>1208</v>
      </c>
      <c r="R560">
        <v>84120</v>
      </c>
      <c r="S560" s="1">
        <v>42052</v>
      </c>
      <c r="T560" s="1">
        <v>42054</v>
      </c>
      <c r="U560">
        <v>125.8077</v>
      </c>
      <c r="V560">
        <v>3</v>
      </c>
      <c r="W560">
        <v>182.33</v>
      </c>
      <c r="X560">
        <v>87002</v>
      </c>
      <c r="Y560">
        <f>cleaneddata[[#This Row],[Unit Price]]-cleaneddata[[#This Row],[Discount]]</f>
        <v>62.14</v>
      </c>
      <c r="Z5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1" spans="1:26" x14ac:dyDescent="0.3">
      <c r="A561">
        <v>2427</v>
      </c>
      <c r="B561" t="s">
        <v>1209</v>
      </c>
      <c r="C561" t="s">
        <v>13</v>
      </c>
      <c r="D561">
        <v>0.03</v>
      </c>
      <c r="E561">
        <v>40.99</v>
      </c>
      <c r="F561">
        <v>19.989999999999998</v>
      </c>
      <c r="G561" t="s">
        <v>14</v>
      </c>
      <c r="H561" t="s">
        <v>70</v>
      </c>
      <c r="I561" t="s">
        <v>24</v>
      </c>
      <c r="J561" t="s">
        <v>64</v>
      </c>
      <c r="K561" t="s">
        <v>49</v>
      </c>
      <c r="L561" t="s">
        <v>1210</v>
      </c>
      <c r="M561">
        <v>0.36</v>
      </c>
      <c r="N561" t="s">
        <v>8</v>
      </c>
      <c r="O561" t="s">
        <v>28</v>
      </c>
      <c r="P561" t="s">
        <v>163</v>
      </c>
      <c r="Q561" t="s">
        <v>1211</v>
      </c>
      <c r="R561">
        <v>76248</v>
      </c>
      <c r="S561" s="1">
        <v>42052</v>
      </c>
      <c r="T561" s="1">
        <v>42053</v>
      </c>
      <c r="U561">
        <v>395.30799999999999</v>
      </c>
      <c r="V561">
        <v>21</v>
      </c>
      <c r="W561">
        <v>885.65</v>
      </c>
      <c r="X561">
        <v>90860</v>
      </c>
      <c r="Y561">
        <f>cleaneddata[[#This Row],[Unit Price]]-cleaneddata[[#This Row],[Discount]]</f>
        <v>40.96</v>
      </c>
      <c r="Z56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62" spans="1:26" x14ac:dyDescent="0.3">
      <c r="A562">
        <v>1065</v>
      </c>
      <c r="B562" t="s">
        <v>1212</v>
      </c>
      <c r="C562" t="s">
        <v>1</v>
      </c>
      <c r="D562">
        <v>0.01</v>
      </c>
      <c r="E562">
        <v>15.99</v>
      </c>
      <c r="F562">
        <v>13.18</v>
      </c>
      <c r="G562" t="s">
        <v>14</v>
      </c>
      <c r="H562" t="s">
        <v>70</v>
      </c>
      <c r="I562" t="s">
        <v>24</v>
      </c>
      <c r="J562" t="s">
        <v>48</v>
      </c>
      <c r="K562" t="s">
        <v>49</v>
      </c>
      <c r="L562" t="s">
        <v>271</v>
      </c>
      <c r="M562">
        <v>0.37</v>
      </c>
      <c r="N562" t="s">
        <v>8</v>
      </c>
      <c r="O562" t="s">
        <v>28</v>
      </c>
      <c r="P562" t="s">
        <v>79</v>
      </c>
      <c r="Q562" t="s">
        <v>1213</v>
      </c>
      <c r="R562">
        <v>60459</v>
      </c>
      <c r="S562" s="1">
        <v>42053</v>
      </c>
      <c r="T562" s="1">
        <v>42055</v>
      </c>
      <c r="U562">
        <v>-99.43544</v>
      </c>
      <c r="V562">
        <v>23</v>
      </c>
      <c r="W562">
        <v>377.44</v>
      </c>
      <c r="X562">
        <v>88899</v>
      </c>
      <c r="Y562">
        <f>cleaneddata[[#This Row],[Unit Price]]-cleaneddata[[#This Row],[Discount]]</f>
        <v>15.98</v>
      </c>
      <c r="Z56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63" spans="1:26" x14ac:dyDescent="0.3">
      <c r="A563">
        <v>3255</v>
      </c>
      <c r="B563" t="s">
        <v>1214</v>
      </c>
      <c r="C563" t="s">
        <v>1</v>
      </c>
      <c r="D563">
        <v>0.06</v>
      </c>
      <c r="E563">
        <v>47.98</v>
      </c>
      <c r="F563">
        <v>3.61</v>
      </c>
      <c r="G563" t="s">
        <v>14</v>
      </c>
      <c r="H563" t="s">
        <v>47</v>
      </c>
      <c r="I563" t="s">
        <v>16</v>
      </c>
      <c r="J563" t="s">
        <v>17</v>
      </c>
      <c r="K563" t="s">
        <v>18</v>
      </c>
      <c r="L563" t="s">
        <v>1215</v>
      </c>
      <c r="M563">
        <v>0.71</v>
      </c>
      <c r="N563" t="s">
        <v>8</v>
      </c>
      <c r="O563" t="s">
        <v>9</v>
      </c>
      <c r="P563" t="s">
        <v>99</v>
      </c>
      <c r="Q563" t="s">
        <v>1216</v>
      </c>
      <c r="R563">
        <v>33319</v>
      </c>
      <c r="S563" s="1">
        <v>42053</v>
      </c>
      <c r="T563" s="1">
        <v>42055</v>
      </c>
      <c r="U563">
        <v>596.80799999999999</v>
      </c>
      <c r="V563">
        <v>2</v>
      </c>
      <c r="W563">
        <v>97.96</v>
      </c>
      <c r="X563">
        <v>90488</v>
      </c>
      <c r="Y563">
        <f>cleaneddata[[#This Row],[Unit Price]]-cleaneddata[[#This Row],[Discount]]</f>
        <v>47.919999999999995</v>
      </c>
      <c r="Z56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64" spans="1:26" x14ac:dyDescent="0.3">
      <c r="A564">
        <v>2141</v>
      </c>
      <c r="B564" t="s">
        <v>1217</v>
      </c>
      <c r="C564" t="s">
        <v>13</v>
      </c>
      <c r="D564">
        <v>0.01</v>
      </c>
      <c r="E564">
        <v>5.44</v>
      </c>
      <c r="F564">
        <v>7.46</v>
      </c>
      <c r="G564" t="s">
        <v>14</v>
      </c>
      <c r="H564" t="s">
        <v>47</v>
      </c>
      <c r="I564" t="s">
        <v>24</v>
      </c>
      <c r="J564" t="s">
        <v>48</v>
      </c>
      <c r="K564" t="s">
        <v>49</v>
      </c>
      <c r="L564" t="s">
        <v>1218</v>
      </c>
      <c r="M564">
        <v>0.36</v>
      </c>
      <c r="N564" t="s">
        <v>8</v>
      </c>
      <c r="O564" t="s">
        <v>35</v>
      </c>
      <c r="P564" t="s">
        <v>36</v>
      </c>
      <c r="Q564" t="s">
        <v>1219</v>
      </c>
      <c r="R564">
        <v>81301</v>
      </c>
      <c r="S564" s="1">
        <v>42053</v>
      </c>
      <c r="T564" s="1">
        <v>42054</v>
      </c>
      <c r="U564">
        <v>-18.478200000000001</v>
      </c>
      <c r="V564">
        <v>3</v>
      </c>
      <c r="W564">
        <v>19.68</v>
      </c>
      <c r="X564">
        <v>87570</v>
      </c>
      <c r="Y564">
        <f>cleaneddata[[#This Row],[Unit Price]]-cleaneddata[[#This Row],[Discount]]</f>
        <v>5.4300000000000006</v>
      </c>
      <c r="Z56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5" spans="1:26" x14ac:dyDescent="0.3">
      <c r="A565">
        <v>2141</v>
      </c>
      <c r="B565" t="s">
        <v>1217</v>
      </c>
      <c r="C565" t="s">
        <v>13</v>
      </c>
      <c r="D565">
        <v>0.02</v>
      </c>
      <c r="E565">
        <v>549.99</v>
      </c>
      <c r="F565">
        <v>49</v>
      </c>
      <c r="G565" t="s">
        <v>2</v>
      </c>
      <c r="H565" t="s">
        <v>47</v>
      </c>
      <c r="I565" t="s">
        <v>16</v>
      </c>
      <c r="J565" t="s">
        <v>39</v>
      </c>
      <c r="K565" t="s">
        <v>33</v>
      </c>
      <c r="L565" t="s">
        <v>1220</v>
      </c>
      <c r="M565">
        <v>0.35</v>
      </c>
      <c r="N565" t="s">
        <v>8</v>
      </c>
      <c r="O565" t="s">
        <v>35</v>
      </c>
      <c r="P565" t="s">
        <v>36</v>
      </c>
      <c r="Q565" t="s">
        <v>1219</v>
      </c>
      <c r="R565">
        <v>81301</v>
      </c>
      <c r="S565" s="1">
        <v>42053</v>
      </c>
      <c r="T565" s="1">
        <v>42055</v>
      </c>
      <c r="U565">
        <v>-381.84120000000001</v>
      </c>
      <c r="V565">
        <v>18</v>
      </c>
      <c r="W565">
        <v>9798.84</v>
      </c>
      <c r="X565">
        <v>87570</v>
      </c>
      <c r="Y565">
        <f>cleaneddata[[#This Row],[Unit Price]]-cleaneddata[[#This Row],[Discount]]</f>
        <v>549.97</v>
      </c>
      <c r="Z56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6" spans="1:26" x14ac:dyDescent="0.3">
      <c r="A566">
        <v>2141</v>
      </c>
      <c r="B566" t="s">
        <v>1217</v>
      </c>
      <c r="C566" t="s">
        <v>13</v>
      </c>
      <c r="D566">
        <v>0.03</v>
      </c>
      <c r="E566">
        <v>22.01</v>
      </c>
      <c r="F566">
        <v>5.53</v>
      </c>
      <c r="G566" t="s">
        <v>63</v>
      </c>
      <c r="H566" t="s">
        <v>47</v>
      </c>
      <c r="I566" t="s">
        <v>24</v>
      </c>
      <c r="J566" t="s">
        <v>25</v>
      </c>
      <c r="K566" t="s">
        <v>18</v>
      </c>
      <c r="L566" t="s">
        <v>472</v>
      </c>
      <c r="M566">
        <v>0.59</v>
      </c>
      <c r="N566" t="s">
        <v>8</v>
      </c>
      <c r="O566" t="s">
        <v>35</v>
      </c>
      <c r="P566" t="s">
        <v>36</v>
      </c>
      <c r="Q566" t="s">
        <v>1219</v>
      </c>
      <c r="R566">
        <v>81301</v>
      </c>
      <c r="S566" s="1">
        <v>42053</v>
      </c>
      <c r="T566" s="1">
        <v>42054</v>
      </c>
      <c r="U566">
        <v>12.5504</v>
      </c>
      <c r="V566">
        <v>7</v>
      </c>
      <c r="W566">
        <v>154.11000000000001</v>
      </c>
      <c r="X566">
        <v>87570</v>
      </c>
      <c r="Y566">
        <f>cleaneddata[[#This Row],[Unit Price]]-cleaneddata[[#This Row],[Discount]]</f>
        <v>21.98</v>
      </c>
      <c r="Z56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7" spans="1:26" x14ac:dyDescent="0.3">
      <c r="A567">
        <v>2141</v>
      </c>
      <c r="B567" t="s">
        <v>1217</v>
      </c>
      <c r="C567" t="s">
        <v>13</v>
      </c>
      <c r="D567">
        <v>0.09</v>
      </c>
      <c r="E567">
        <v>34.76</v>
      </c>
      <c r="F567">
        <v>8.2200000000000006</v>
      </c>
      <c r="G567" t="s">
        <v>14</v>
      </c>
      <c r="H567" t="s">
        <v>47</v>
      </c>
      <c r="I567" t="s">
        <v>24</v>
      </c>
      <c r="J567" t="s">
        <v>54</v>
      </c>
      <c r="K567" t="s">
        <v>49</v>
      </c>
      <c r="L567" t="s">
        <v>1221</v>
      </c>
      <c r="M567">
        <v>0.56999999999999995</v>
      </c>
      <c r="N567" t="s">
        <v>8</v>
      </c>
      <c r="O567" t="s">
        <v>35</v>
      </c>
      <c r="P567" t="s">
        <v>36</v>
      </c>
      <c r="Q567" t="s">
        <v>1219</v>
      </c>
      <c r="R567">
        <v>81301</v>
      </c>
      <c r="S567" s="1">
        <v>42053</v>
      </c>
      <c r="T567" s="1">
        <v>42055</v>
      </c>
      <c r="U567">
        <v>45.3324</v>
      </c>
      <c r="V567">
        <v>7</v>
      </c>
      <c r="W567">
        <v>242.97</v>
      </c>
      <c r="X567">
        <v>87570</v>
      </c>
      <c r="Y567">
        <f>cleaneddata[[#This Row],[Unit Price]]-cleaneddata[[#This Row],[Discount]]</f>
        <v>34.669999999999995</v>
      </c>
      <c r="Z56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8" spans="1:26" x14ac:dyDescent="0.3">
      <c r="A568">
        <v>91</v>
      </c>
      <c r="B568" t="s">
        <v>1222</v>
      </c>
      <c r="C568" t="s">
        <v>92</v>
      </c>
      <c r="D568">
        <v>0.05</v>
      </c>
      <c r="E568">
        <v>5.18</v>
      </c>
      <c r="F568">
        <v>2.04</v>
      </c>
      <c r="G568" t="s">
        <v>14</v>
      </c>
      <c r="H568" t="s">
        <v>47</v>
      </c>
      <c r="I568" t="s">
        <v>24</v>
      </c>
      <c r="J568" t="s">
        <v>64</v>
      </c>
      <c r="K568" t="s">
        <v>26</v>
      </c>
      <c r="L568" t="s">
        <v>809</v>
      </c>
      <c r="M568">
        <v>0.36</v>
      </c>
      <c r="N568" t="s">
        <v>8</v>
      </c>
      <c r="O568" t="s">
        <v>35</v>
      </c>
      <c r="P568" t="s">
        <v>66</v>
      </c>
      <c r="Q568" t="s">
        <v>1223</v>
      </c>
      <c r="R568">
        <v>94591</v>
      </c>
      <c r="S568" s="1">
        <v>42053</v>
      </c>
      <c r="T568" s="1">
        <v>42055</v>
      </c>
      <c r="U568">
        <v>34.010399999999997</v>
      </c>
      <c r="V568">
        <v>10</v>
      </c>
      <c r="W568">
        <v>53.54</v>
      </c>
      <c r="X568">
        <v>87176</v>
      </c>
      <c r="Y568">
        <f>cleaneddata[[#This Row],[Unit Price]]-cleaneddata[[#This Row],[Discount]]</f>
        <v>5.13</v>
      </c>
      <c r="Z5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69" spans="1:26" x14ac:dyDescent="0.3">
      <c r="A569">
        <v>2521</v>
      </c>
      <c r="B569" t="s">
        <v>1224</v>
      </c>
      <c r="C569" t="s">
        <v>92</v>
      </c>
      <c r="D569">
        <v>0</v>
      </c>
      <c r="E569">
        <v>175.99</v>
      </c>
      <c r="F569">
        <v>4.99</v>
      </c>
      <c r="G569" t="s">
        <v>14</v>
      </c>
      <c r="H569" t="s">
        <v>47</v>
      </c>
      <c r="I569" t="s">
        <v>16</v>
      </c>
      <c r="J569" t="s">
        <v>111</v>
      </c>
      <c r="K569" t="s">
        <v>49</v>
      </c>
      <c r="L569" t="s">
        <v>1225</v>
      </c>
      <c r="M569">
        <v>0.59</v>
      </c>
      <c r="N569" t="s">
        <v>8</v>
      </c>
      <c r="O569" t="s">
        <v>28</v>
      </c>
      <c r="P569" t="s">
        <v>163</v>
      </c>
      <c r="Q569" t="s">
        <v>1226</v>
      </c>
      <c r="R569">
        <v>75109</v>
      </c>
      <c r="S569" s="1">
        <v>42053</v>
      </c>
      <c r="T569" s="1">
        <v>42056</v>
      </c>
      <c r="U569">
        <v>1656.6555000000001</v>
      </c>
      <c r="V569">
        <v>15</v>
      </c>
      <c r="W569">
        <v>2400.9499999999998</v>
      </c>
      <c r="X569">
        <v>87032</v>
      </c>
      <c r="Y569">
        <f>cleaneddata[[#This Row],[Unit Price]]-cleaneddata[[#This Row],[Discount]]</f>
        <v>175.99</v>
      </c>
      <c r="Z56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70" spans="1:26" x14ac:dyDescent="0.3">
      <c r="A570">
        <v>2498</v>
      </c>
      <c r="B570" t="s">
        <v>905</v>
      </c>
      <c r="C570" t="s">
        <v>46</v>
      </c>
      <c r="D570">
        <v>0.09</v>
      </c>
      <c r="E570">
        <v>355.98</v>
      </c>
      <c r="F570">
        <v>58.92</v>
      </c>
      <c r="G570" t="s">
        <v>2</v>
      </c>
      <c r="H570" t="s">
        <v>70</v>
      </c>
      <c r="I570" t="s">
        <v>4</v>
      </c>
      <c r="J570" t="s">
        <v>85</v>
      </c>
      <c r="K570" t="s">
        <v>33</v>
      </c>
      <c r="L570" t="s">
        <v>670</v>
      </c>
      <c r="M570">
        <v>0.64</v>
      </c>
      <c r="N570" t="s">
        <v>8</v>
      </c>
      <c r="O570" t="s">
        <v>35</v>
      </c>
      <c r="P570" t="s">
        <v>66</v>
      </c>
      <c r="Q570" t="s">
        <v>866</v>
      </c>
      <c r="R570">
        <v>92024</v>
      </c>
      <c r="S570" s="1">
        <v>42053</v>
      </c>
      <c r="T570" s="1">
        <v>42055</v>
      </c>
      <c r="U570">
        <v>1240.25</v>
      </c>
      <c r="V570">
        <v>30</v>
      </c>
      <c r="W570">
        <v>10554.63</v>
      </c>
      <c r="X570">
        <v>16547</v>
      </c>
      <c r="Y570">
        <f>cleaneddata[[#This Row],[Unit Price]]-cleaneddata[[#This Row],[Discount]]</f>
        <v>355.89000000000004</v>
      </c>
      <c r="Z5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71" spans="1:26" x14ac:dyDescent="0.3">
      <c r="A571">
        <v>2498</v>
      </c>
      <c r="B571" t="s">
        <v>905</v>
      </c>
      <c r="C571" t="s">
        <v>46</v>
      </c>
      <c r="D571">
        <v>0.04</v>
      </c>
      <c r="E571">
        <v>218.75</v>
      </c>
      <c r="F571">
        <v>69.64</v>
      </c>
      <c r="G571" t="s">
        <v>2</v>
      </c>
      <c r="H571" t="s">
        <v>70</v>
      </c>
      <c r="I571" t="s">
        <v>4</v>
      </c>
      <c r="J571" t="s">
        <v>5</v>
      </c>
      <c r="K571" t="s">
        <v>6</v>
      </c>
      <c r="L571" t="s">
        <v>850</v>
      </c>
      <c r="M571">
        <v>0.77</v>
      </c>
      <c r="N571" t="s">
        <v>8</v>
      </c>
      <c r="O571" t="s">
        <v>35</v>
      </c>
      <c r="P571" t="s">
        <v>66</v>
      </c>
      <c r="Q571" t="s">
        <v>866</v>
      </c>
      <c r="R571">
        <v>92024</v>
      </c>
      <c r="S571" s="1">
        <v>42053</v>
      </c>
      <c r="T571" s="1">
        <v>42053</v>
      </c>
      <c r="U571">
        <v>-533.23199999999997</v>
      </c>
      <c r="V571">
        <v>8</v>
      </c>
      <c r="W571">
        <v>1749.64</v>
      </c>
      <c r="X571">
        <v>16547</v>
      </c>
      <c r="Y571">
        <f>cleaneddata[[#This Row],[Unit Price]]-cleaneddata[[#This Row],[Discount]]</f>
        <v>218.71</v>
      </c>
      <c r="Z5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72" spans="1:26" x14ac:dyDescent="0.3">
      <c r="A572">
        <v>2499</v>
      </c>
      <c r="B572" t="s">
        <v>1227</v>
      </c>
      <c r="C572" t="s">
        <v>46</v>
      </c>
      <c r="D572">
        <v>0.09</v>
      </c>
      <c r="E572">
        <v>355.98</v>
      </c>
      <c r="F572">
        <v>58.92</v>
      </c>
      <c r="G572" t="s">
        <v>2</v>
      </c>
      <c r="H572" t="s">
        <v>70</v>
      </c>
      <c r="I572" t="s">
        <v>4</v>
      </c>
      <c r="J572" t="s">
        <v>85</v>
      </c>
      <c r="K572" t="s">
        <v>33</v>
      </c>
      <c r="L572" t="s">
        <v>670</v>
      </c>
      <c r="M572">
        <v>0.64</v>
      </c>
      <c r="N572" t="s">
        <v>8</v>
      </c>
      <c r="O572" t="s">
        <v>28</v>
      </c>
      <c r="P572" t="s">
        <v>79</v>
      </c>
      <c r="Q572" t="s">
        <v>1228</v>
      </c>
      <c r="R572">
        <v>60901</v>
      </c>
      <c r="S572" s="1">
        <v>42053</v>
      </c>
      <c r="T572" s="1">
        <v>42055</v>
      </c>
      <c r="U572">
        <v>1240.25</v>
      </c>
      <c r="V572">
        <v>8</v>
      </c>
      <c r="W572">
        <v>2814.57</v>
      </c>
      <c r="X572">
        <v>88319</v>
      </c>
      <c r="Y572">
        <f>cleaneddata[[#This Row],[Unit Price]]-cleaneddata[[#This Row],[Discount]]</f>
        <v>355.89000000000004</v>
      </c>
      <c r="Z5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73" spans="1:26" x14ac:dyDescent="0.3">
      <c r="A573">
        <v>993</v>
      </c>
      <c r="B573" t="s">
        <v>1229</v>
      </c>
      <c r="C573" t="s">
        <v>13</v>
      </c>
      <c r="D573">
        <v>0.05</v>
      </c>
      <c r="E573">
        <v>4.28</v>
      </c>
      <c r="F573">
        <v>5.17</v>
      </c>
      <c r="G573" t="s">
        <v>14</v>
      </c>
      <c r="H573" t="s">
        <v>3</v>
      </c>
      <c r="I573" t="s">
        <v>24</v>
      </c>
      <c r="J573" t="s">
        <v>64</v>
      </c>
      <c r="K573" t="s">
        <v>49</v>
      </c>
      <c r="L573" t="s">
        <v>1230</v>
      </c>
      <c r="M573">
        <v>0.4</v>
      </c>
      <c r="N573" t="s">
        <v>8</v>
      </c>
      <c r="O573" t="s">
        <v>35</v>
      </c>
      <c r="P573" t="s">
        <v>66</v>
      </c>
      <c r="Q573" t="s">
        <v>1231</v>
      </c>
      <c r="R573">
        <v>93030</v>
      </c>
      <c r="S573" s="1">
        <v>42054</v>
      </c>
      <c r="T573" s="1">
        <v>42054</v>
      </c>
      <c r="U573">
        <v>-104.57</v>
      </c>
      <c r="V573">
        <v>9</v>
      </c>
      <c r="W573">
        <v>38.58</v>
      </c>
      <c r="X573">
        <v>89432</v>
      </c>
      <c r="Y573">
        <f>cleaneddata[[#This Row],[Unit Price]]-cleaneddata[[#This Row],[Discount]]</f>
        <v>4.2300000000000004</v>
      </c>
      <c r="Z57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74" spans="1:26" x14ac:dyDescent="0.3">
      <c r="A574">
        <v>1303</v>
      </c>
      <c r="B574" t="s">
        <v>1232</v>
      </c>
      <c r="C574" t="s">
        <v>13</v>
      </c>
      <c r="D574">
        <v>0.03</v>
      </c>
      <c r="E574">
        <v>39.479999999999997</v>
      </c>
      <c r="F574">
        <v>1.99</v>
      </c>
      <c r="G574" t="s">
        <v>14</v>
      </c>
      <c r="H574" t="s">
        <v>15</v>
      </c>
      <c r="I574" t="s">
        <v>16</v>
      </c>
      <c r="J574" t="s">
        <v>17</v>
      </c>
      <c r="K574" t="s">
        <v>18</v>
      </c>
      <c r="L574" t="s">
        <v>1233</v>
      </c>
      <c r="M574">
        <v>0.54</v>
      </c>
      <c r="N574" t="s">
        <v>8</v>
      </c>
      <c r="O574" t="s">
        <v>35</v>
      </c>
      <c r="P574" t="s">
        <v>122</v>
      </c>
      <c r="Q574" t="s">
        <v>1234</v>
      </c>
      <c r="R574">
        <v>84074</v>
      </c>
      <c r="S574" s="1">
        <v>42054</v>
      </c>
      <c r="T574" s="1">
        <v>42056</v>
      </c>
      <c r="U574">
        <v>317.08949999999999</v>
      </c>
      <c r="V574">
        <v>12</v>
      </c>
      <c r="W574">
        <v>459.55</v>
      </c>
      <c r="X574">
        <v>87003</v>
      </c>
      <c r="Y574">
        <f>cleaneddata[[#This Row],[Unit Price]]-cleaneddata[[#This Row],[Discount]]</f>
        <v>39.449999999999996</v>
      </c>
      <c r="Z5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75" spans="1:26" x14ac:dyDescent="0.3">
      <c r="A575">
        <v>2828</v>
      </c>
      <c r="B575" t="s">
        <v>1235</v>
      </c>
      <c r="C575" t="s">
        <v>13</v>
      </c>
      <c r="D575">
        <v>0.05</v>
      </c>
      <c r="E575">
        <v>11.29</v>
      </c>
      <c r="F575">
        <v>5.03</v>
      </c>
      <c r="G575" t="s">
        <v>14</v>
      </c>
      <c r="H575" t="s">
        <v>70</v>
      </c>
      <c r="I575" t="s">
        <v>24</v>
      </c>
      <c r="J575" t="s">
        <v>54</v>
      </c>
      <c r="K575" t="s">
        <v>49</v>
      </c>
      <c r="L575" t="s">
        <v>1236</v>
      </c>
      <c r="M575">
        <v>0.59</v>
      </c>
      <c r="N575" t="s">
        <v>8</v>
      </c>
      <c r="O575" t="s">
        <v>35</v>
      </c>
      <c r="P575" t="s">
        <v>66</v>
      </c>
      <c r="Q575" t="s">
        <v>1237</v>
      </c>
      <c r="R575">
        <v>92243</v>
      </c>
      <c r="S575" s="1">
        <v>42054</v>
      </c>
      <c r="T575" s="1">
        <v>42056</v>
      </c>
      <c r="U575">
        <v>-35.26</v>
      </c>
      <c r="V575">
        <v>8</v>
      </c>
      <c r="W575">
        <v>90.46</v>
      </c>
      <c r="X575">
        <v>87720</v>
      </c>
      <c r="Y575">
        <f>cleaneddata[[#This Row],[Unit Price]]-cleaneddata[[#This Row],[Discount]]</f>
        <v>11.239999999999998</v>
      </c>
      <c r="Z5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76" spans="1:26" x14ac:dyDescent="0.3">
      <c r="A576">
        <v>1303</v>
      </c>
      <c r="B576" t="s">
        <v>1232</v>
      </c>
      <c r="C576" t="s">
        <v>23</v>
      </c>
      <c r="D576">
        <v>0.01</v>
      </c>
      <c r="E576">
        <v>65.989999999999995</v>
      </c>
      <c r="F576">
        <v>5.31</v>
      </c>
      <c r="G576" t="s">
        <v>14</v>
      </c>
      <c r="H576" t="s">
        <v>15</v>
      </c>
      <c r="I576" t="s">
        <v>16</v>
      </c>
      <c r="J576" t="s">
        <v>111</v>
      </c>
      <c r="K576" t="s">
        <v>49</v>
      </c>
      <c r="L576" t="s">
        <v>1238</v>
      </c>
      <c r="M576">
        <v>0.56999999999999995</v>
      </c>
      <c r="N576" t="s">
        <v>8</v>
      </c>
      <c r="O576" t="s">
        <v>35</v>
      </c>
      <c r="P576" t="s">
        <v>122</v>
      </c>
      <c r="Q576" t="s">
        <v>1234</v>
      </c>
      <c r="R576">
        <v>84074</v>
      </c>
      <c r="S576" s="1">
        <v>42054</v>
      </c>
      <c r="T576" s="1">
        <v>42061</v>
      </c>
      <c r="U576">
        <v>250.36272</v>
      </c>
      <c r="V576">
        <v>9</v>
      </c>
      <c r="W576">
        <v>536.9</v>
      </c>
      <c r="X576">
        <v>87005</v>
      </c>
      <c r="Y576">
        <f>cleaneddata[[#This Row],[Unit Price]]-cleaneddata[[#This Row],[Discount]]</f>
        <v>65.97999999999999</v>
      </c>
      <c r="Z5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77" spans="1:26" x14ac:dyDescent="0.3">
      <c r="A577">
        <v>2287</v>
      </c>
      <c r="B577" t="s">
        <v>1239</v>
      </c>
      <c r="C577" t="s">
        <v>23</v>
      </c>
      <c r="D577">
        <v>0.1</v>
      </c>
      <c r="E577">
        <v>54.1</v>
      </c>
      <c r="F577">
        <v>19.989999999999998</v>
      </c>
      <c r="G577" t="s">
        <v>14</v>
      </c>
      <c r="H577" t="s">
        <v>70</v>
      </c>
      <c r="I577" t="s">
        <v>24</v>
      </c>
      <c r="J577" t="s">
        <v>54</v>
      </c>
      <c r="K577" t="s">
        <v>49</v>
      </c>
      <c r="L577" t="s">
        <v>1240</v>
      </c>
      <c r="M577">
        <v>0.59</v>
      </c>
      <c r="N577" t="s">
        <v>8</v>
      </c>
      <c r="O577" t="s">
        <v>9</v>
      </c>
      <c r="P577" t="s">
        <v>247</v>
      </c>
      <c r="Q577" t="s">
        <v>1241</v>
      </c>
      <c r="R577">
        <v>29483</v>
      </c>
      <c r="S577" s="1">
        <v>42054</v>
      </c>
      <c r="T577" s="1">
        <v>42059</v>
      </c>
      <c r="U577">
        <v>34.067999999999998</v>
      </c>
      <c r="V577">
        <v>9</v>
      </c>
      <c r="W577">
        <v>469.59</v>
      </c>
      <c r="X577">
        <v>90147</v>
      </c>
      <c r="Y577">
        <f>cleaneddata[[#This Row],[Unit Price]]-cleaneddata[[#This Row],[Discount]]</f>
        <v>54</v>
      </c>
      <c r="Z5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78" spans="1:26" x14ac:dyDescent="0.3">
      <c r="A578">
        <v>1827</v>
      </c>
      <c r="B578" t="s">
        <v>1242</v>
      </c>
      <c r="C578" t="s">
        <v>46</v>
      </c>
      <c r="D578">
        <v>0</v>
      </c>
      <c r="E578">
        <v>5.98</v>
      </c>
      <c r="F578">
        <v>0.96</v>
      </c>
      <c r="G578" t="s">
        <v>14</v>
      </c>
      <c r="H578" t="s">
        <v>70</v>
      </c>
      <c r="I578" t="s">
        <v>24</v>
      </c>
      <c r="J578" t="s">
        <v>25</v>
      </c>
      <c r="K578" t="s">
        <v>26</v>
      </c>
      <c r="L578" t="s">
        <v>1243</v>
      </c>
      <c r="M578">
        <v>0.6</v>
      </c>
      <c r="N578" t="s">
        <v>8</v>
      </c>
      <c r="O578" t="s">
        <v>28</v>
      </c>
      <c r="P578" t="s">
        <v>189</v>
      </c>
      <c r="Q578" t="s">
        <v>904</v>
      </c>
      <c r="R578">
        <v>52601</v>
      </c>
      <c r="S578" s="1">
        <v>42054</v>
      </c>
      <c r="T578" s="1">
        <v>42055</v>
      </c>
      <c r="U578">
        <v>38.039700000000003</v>
      </c>
      <c r="V578">
        <v>9</v>
      </c>
      <c r="W578">
        <v>55.13</v>
      </c>
      <c r="X578">
        <v>86956</v>
      </c>
      <c r="Y578">
        <f>cleaneddata[[#This Row],[Unit Price]]-cleaneddata[[#This Row],[Discount]]</f>
        <v>5.98</v>
      </c>
      <c r="Z57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79" spans="1:26" x14ac:dyDescent="0.3">
      <c r="A579">
        <v>1828</v>
      </c>
      <c r="B579" t="s">
        <v>226</v>
      </c>
      <c r="C579" t="s">
        <v>46</v>
      </c>
      <c r="D579">
        <v>0.02</v>
      </c>
      <c r="E579">
        <v>5.98</v>
      </c>
      <c r="F579">
        <v>5.46</v>
      </c>
      <c r="G579" t="s">
        <v>14</v>
      </c>
      <c r="H579" t="s">
        <v>70</v>
      </c>
      <c r="I579" t="s">
        <v>24</v>
      </c>
      <c r="J579" t="s">
        <v>64</v>
      </c>
      <c r="K579" t="s">
        <v>49</v>
      </c>
      <c r="L579" t="s">
        <v>1132</v>
      </c>
      <c r="M579">
        <v>0.36</v>
      </c>
      <c r="N579" t="s">
        <v>8</v>
      </c>
      <c r="O579" t="s">
        <v>28</v>
      </c>
      <c r="P579" t="s">
        <v>189</v>
      </c>
      <c r="Q579" t="s">
        <v>228</v>
      </c>
      <c r="R579">
        <v>50613</v>
      </c>
      <c r="S579" s="1">
        <v>42054</v>
      </c>
      <c r="T579" s="1">
        <v>42055</v>
      </c>
      <c r="U579">
        <v>-47.12</v>
      </c>
      <c r="V579">
        <v>7</v>
      </c>
      <c r="W579">
        <v>44.8</v>
      </c>
      <c r="X579">
        <v>86956</v>
      </c>
      <c r="Y579">
        <f>cleaneddata[[#This Row],[Unit Price]]-cleaneddata[[#This Row],[Discount]]</f>
        <v>5.9600000000000009</v>
      </c>
      <c r="Z57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80" spans="1:26" x14ac:dyDescent="0.3">
      <c r="A580">
        <v>2052</v>
      </c>
      <c r="B580" t="s">
        <v>1244</v>
      </c>
      <c r="C580" t="s">
        <v>46</v>
      </c>
      <c r="D580">
        <v>7.0000000000000007E-2</v>
      </c>
      <c r="E580">
        <v>31.78</v>
      </c>
      <c r="F580">
        <v>1.99</v>
      </c>
      <c r="G580" t="s">
        <v>14</v>
      </c>
      <c r="H580" t="s">
        <v>47</v>
      </c>
      <c r="I580" t="s">
        <v>16</v>
      </c>
      <c r="J580" t="s">
        <v>17</v>
      </c>
      <c r="K580" t="s">
        <v>18</v>
      </c>
      <c r="L580" t="s">
        <v>846</v>
      </c>
      <c r="M580">
        <v>0.42</v>
      </c>
      <c r="N580" t="s">
        <v>8</v>
      </c>
      <c r="O580" t="s">
        <v>35</v>
      </c>
      <c r="P580" t="s">
        <v>616</v>
      </c>
      <c r="Q580" t="s">
        <v>1245</v>
      </c>
      <c r="R580">
        <v>87105</v>
      </c>
      <c r="S580" s="1">
        <v>42054</v>
      </c>
      <c r="T580" s="1">
        <v>42056</v>
      </c>
      <c r="U580">
        <v>265.11180000000002</v>
      </c>
      <c r="V580">
        <v>13</v>
      </c>
      <c r="W580">
        <v>384.22</v>
      </c>
      <c r="X580">
        <v>87234</v>
      </c>
      <c r="Y580">
        <f>cleaneddata[[#This Row],[Unit Price]]-cleaneddata[[#This Row],[Discount]]</f>
        <v>31.71</v>
      </c>
      <c r="Z58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81" spans="1:26" x14ac:dyDescent="0.3">
      <c r="A581">
        <v>2052</v>
      </c>
      <c r="B581" t="s">
        <v>1244</v>
      </c>
      <c r="C581" t="s">
        <v>46</v>
      </c>
      <c r="D581">
        <v>0</v>
      </c>
      <c r="E581">
        <v>5.98</v>
      </c>
      <c r="F581">
        <v>2.5</v>
      </c>
      <c r="G581" t="s">
        <v>14</v>
      </c>
      <c r="H581" t="s">
        <v>47</v>
      </c>
      <c r="I581" t="s">
        <v>24</v>
      </c>
      <c r="J581" t="s">
        <v>321</v>
      </c>
      <c r="K581" t="s">
        <v>49</v>
      </c>
      <c r="L581" t="s">
        <v>1246</v>
      </c>
      <c r="M581">
        <v>0.36</v>
      </c>
      <c r="N581" t="s">
        <v>8</v>
      </c>
      <c r="O581" t="s">
        <v>35</v>
      </c>
      <c r="P581" t="s">
        <v>616</v>
      </c>
      <c r="Q581" t="s">
        <v>1245</v>
      </c>
      <c r="R581">
        <v>87105</v>
      </c>
      <c r="S581" s="1">
        <v>42054</v>
      </c>
      <c r="T581" s="1">
        <v>42055</v>
      </c>
      <c r="U581">
        <v>9.5608000000000004</v>
      </c>
      <c r="V581">
        <v>5</v>
      </c>
      <c r="W581">
        <v>31.64</v>
      </c>
      <c r="X581">
        <v>87234</v>
      </c>
      <c r="Y581">
        <f>cleaneddata[[#This Row],[Unit Price]]-cleaneddata[[#This Row],[Discount]]</f>
        <v>5.98</v>
      </c>
      <c r="Z5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82" spans="1:26" x14ac:dyDescent="0.3">
      <c r="A582">
        <v>2052</v>
      </c>
      <c r="B582" t="s">
        <v>1244</v>
      </c>
      <c r="C582" t="s">
        <v>46</v>
      </c>
      <c r="D582">
        <v>0.1</v>
      </c>
      <c r="E582">
        <v>35.99</v>
      </c>
      <c r="F582">
        <v>1.1000000000000001</v>
      </c>
      <c r="G582" t="s">
        <v>63</v>
      </c>
      <c r="H582" t="s">
        <v>47</v>
      </c>
      <c r="I582" t="s">
        <v>16</v>
      </c>
      <c r="J582" t="s">
        <v>111</v>
      </c>
      <c r="K582" t="s">
        <v>49</v>
      </c>
      <c r="L582" t="s">
        <v>250</v>
      </c>
      <c r="M582">
        <v>0.55000000000000004</v>
      </c>
      <c r="N582" t="s">
        <v>8</v>
      </c>
      <c r="O582" t="s">
        <v>35</v>
      </c>
      <c r="P582" t="s">
        <v>616</v>
      </c>
      <c r="Q582" t="s">
        <v>1245</v>
      </c>
      <c r="R582">
        <v>87105</v>
      </c>
      <c r="S582" s="1">
        <v>42054</v>
      </c>
      <c r="T582" s="1">
        <v>42055</v>
      </c>
      <c r="U582">
        <v>390.09840000000003</v>
      </c>
      <c r="V582">
        <v>19</v>
      </c>
      <c r="W582">
        <v>565.36</v>
      </c>
      <c r="X582">
        <v>87234</v>
      </c>
      <c r="Y582">
        <f>cleaneddata[[#This Row],[Unit Price]]-cleaneddata[[#This Row],[Discount]]</f>
        <v>35.89</v>
      </c>
      <c r="Z58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83" spans="1:26" x14ac:dyDescent="0.3">
      <c r="A583">
        <v>2882</v>
      </c>
      <c r="B583" t="s">
        <v>647</v>
      </c>
      <c r="C583" t="s">
        <v>13</v>
      </c>
      <c r="D583">
        <v>0.03</v>
      </c>
      <c r="E583">
        <v>4.0599999999999996</v>
      </c>
      <c r="F583">
        <v>6.89</v>
      </c>
      <c r="G583" t="s">
        <v>14</v>
      </c>
      <c r="H583" t="s">
        <v>15</v>
      </c>
      <c r="I583" t="s">
        <v>24</v>
      </c>
      <c r="J583" t="s">
        <v>71</v>
      </c>
      <c r="K583" t="s">
        <v>49</v>
      </c>
      <c r="L583" t="s">
        <v>1247</v>
      </c>
      <c r="M583">
        <v>0.6</v>
      </c>
      <c r="N583" t="s">
        <v>8</v>
      </c>
      <c r="O583" t="s">
        <v>9</v>
      </c>
      <c r="P583" t="s">
        <v>73</v>
      </c>
      <c r="Q583" t="s">
        <v>649</v>
      </c>
      <c r="R583">
        <v>28206</v>
      </c>
      <c r="S583" s="1">
        <v>42055</v>
      </c>
      <c r="T583" s="1">
        <v>42057</v>
      </c>
      <c r="U583">
        <v>-246.27610000000001</v>
      </c>
      <c r="V583">
        <v>37</v>
      </c>
      <c r="W583">
        <v>159.88999999999999</v>
      </c>
      <c r="X583">
        <v>55300</v>
      </c>
      <c r="Y583">
        <f>cleaneddata[[#This Row],[Unit Price]]-cleaneddata[[#This Row],[Discount]]</f>
        <v>4.0299999999999994</v>
      </c>
      <c r="Z5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84" spans="1:26" x14ac:dyDescent="0.3">
      <c r="A584">
        <v>2882</v>
      </c>
      <c r="B584" t="s">
        <v>647</v>
      </c>
      <c r="C584" t="s">
        <v>13</v>
      </c>
      <c r="D584">
        <v>0.01</v>
      </c>
      <c r="E584">
        <v>3.75</v>
      </c>
      <c r="F584">
        <v>0.5</v>
      </c>
      <c r="G584" t="s">
        <v>14</v>
      </c>
      <c r="H584" t="s">
        <v>15</v>
      </c>
      <c r="I584" t="s">
        <v>24</v>
      </c>
      <c r="J584" t="s">
        <v>128</v>
      </c>
      <c r="K584" t="s">
        <v>49</v>
      </c>
      <c r="L584" t="s">
        <v>1248</v>
      </c>
      <c r="M584">
        <v>0.37</v>
      </c>
      <c r="N584" t="s">
        <v>8</v>
      </c>
      <c r="O584" t="s">
        <v>9</v>
      </c>
      <c r="P584" t="s">
        <v>73</v>
      </c>
      <c r="Q584" t="s">
        <v>649</v>
      </c>
      <c r="R584">
        <v>28206</v>
      </c>
      <c r="S584" s="1">
        <v>42055</v>
      </c>
      <c r="T584" s="1">
        <v>42056</v>
      </c>
      <c r="U584">
        <v>55.194600000000001</v>
      </c>
      <c r="V584">
        <v>48</v>
      </c>
      <c r="W584">
        <v>180.48</v>
      </c>
      <c r="X584">
        <v>55300</v>
      </c>
      <c r="Y584">
        <f>cleaneddata[[#This Row],[Unit Price]]-cleaneddata[[#This Row],[Discount]]</f>
        <v>3.74</v>
      </c>
      <c r="Z58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85" spans="1:26" x14ac:dyDescent="0.3">
      <c r="A585">
        <v>2882</v>
      </c>
      <c r="B585" t="s">
        <v>647</v>
      </c>
      <c r="C585" t="s">
        <v>13</v>
      </c>
      <c r="D585">
        <v>0.02</v>
      </c>
      <c r="E585">
        <v>10.68</v>
      </c>
      <c r="F585">
        <v>13.04</v>
      </c>
      <c r="G585" t="s">
        <v>14</v>
      </c>
      <c r="H585" t="s">
        <v>15</v>
      </c>
      <c r="I585" t="s">
        <v>4</v>
      </c>
      <c r="J585" t="s">
        <v>102</v>
      </c>
      <c r="K585" t="s">
        <v>40</v>
      </c>
      <c r="L585" t="s">
        <v>1249</v>
      </c>
      <c r="M585">
        <v>0.6</v>
      </c>
      <c r="N585" t="s">
        <v>8</v>
      </c>
      <c r="O585" t="s">
        <v>9</v>
      </c>
      <c r="P585" t="s">
        <v>73</v>
      </c>
      <c r="Q585" t="s">
        <v>649</v>
      </c>
      <c r="R585">
        <v>28206</v>
      </c>
      <c r="S585" s="1">
        <v>42055</v>
      </c>
      <c r="T585" s="1">
        <v>42057</v>
      </c>
      <c r="U585">
        <v>-307.29649999999998</v>
      </c>
      <c r="V585">
        <v>31</v>
      </c>
      <c r="W585">
        <v>350.48</v>
      </c>
      <c r="X585">
        <v>55300</v>
      </c>
      <c r="Y585">
        <f>cleaneddata[[#This Row],[Unit Price]]-cleaneddata[[#This Row],[Discount]]</f>
        <v>10.66</v>
      </c>
      <c r="Z58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86" spans="1:26" x14ac:dyDescent="0.3">
      <c r="A586">
        <v>2886</v>
      </c>
      <c r="B586" t="s">
        <v>1250</v>
      </c>
      <c r="C586" t="s">
        <v>13</v>
      </c>
      <c r="D586">
        <v>0.03</v>
      </c>
      <c r="E586">
        <v>4.0599999999999996</v>
      </c>
      <c r="F586">
        <v>6.89</v>
      </c>
      <c r="G586" t="s">
        <v>14</v>
      </c>
      <c r="H586" t="s">
        <v>15</v>
      </c>
      <c r="I586" t="s">
        <v>24</v>
      </c>
      <c r="J586" t="s">
        <v>71</v>
      </c>
      <c r="K586" t="s">
        <v>49</v>
      </c>
      <c r="L586" t="s">
        <v>1247</v>
      </c>
      <c r="M586">
        <v>0.6</v>
      </c>
      <c r="N586" t="s">
        <v>8</v>
      </c>
      <c r="O586" t="s">
        <v>87</v>
      </c>
      <c r="P586" t="s">
        <v>293</v>
      </c>
      <c r="Q586" t="s">
        <v>1251</v>
      </c>
      <c r="R586">
        <v>44134</v>
      </c>
      <c r="S586" s="1">
        <v>42055</v>
      </c>
      <c r="T586" s="1">
        <v>42057</v>
      </c>
      <c r="U586">
        <v>-185.17</v>
      </c>
      <c r="V586">
        <v>9</v>
      </c>
      <c r="W586">
        <v>38.89</v>
      </c>
      <c r="X586">
        <v>87630</v>
      </c>
      <c r="Y586">
        <f>cleaneddata[[#This Row],[Unit Price]]-cleaneddata[[#This Row],[Discount]]</f>
        <v>4.0299999999999994</v>
      </c>
      <c r="Z58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87" spans="1:26" x14ac:dyDescent="0.3">
      <c r="A587">
        <v>2886</v>
      </c>
      <c r="B587" t="s">
        <v>1250</v>
      </c>
      <c r="C587" t="s">
        <v>13</v>
      </c>
      <c r="D587">
        <v>0.01</v>
      </c>
      <c r="E587">
        <v>3.75</v>
      </c>
      <c r="F587">
        <v>0.5</v>
      </c>
      <c r="G587" t="s">
        <v>14</v>
      </c>
      <c r="H587" t="s">
        <v>15</v>
      </c>
      <c r="I587" t="s">
        <v>24</v>
      </c>
      <c r="J587" t="s">
        <v>128</v>
      </c>
      <c r="K587" t="s">
        <v>49</v>
      </c>
      <c r="L587" t="s">
        <v>1248</v>
      </c>
      <c r="M587">
        <v>0.37</v>
      </c>
      <c r="N587" t="s">
        <v>8</v>
      </c>
      <c r="O587" t="s">
        <v>87</v>
      </c>
      <c r="P587" t="s">
        <v>293</v>
      </c>
      <c r="Q587" t="s">
        <v>1251</v>
      </c>
      <c r="R587">
        <v>44134</v>
      </c>
      <c r="S587" s="1">
        <v>42055</v>
      </c>
      <c r="T587" s="1">
        <v>42056</v>
      </c>
      <c r="U587">
        <v>31.1328</v>
      </c>
      <c r="V587">
        <v>12</v>
      </c>
      <c r="W587">
        <v>45.12</v>
      </c>
      <c r="X587">
        <v>87630</v>
      </c>
      <c r="Y587">
        <f>cleaneddata[[#This Row],[Unit Price]]-cleaneddata[[#This Row],[Discount]]</f>
        <v>3.74</v>
      </c>
      <c r="Z58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88" spans="1:26" x14ac:dyDescent="0.3">
      <c r="A588">
        <v>2886</v>
      </c>
      <c r="B588" t="s">
        <v>1250</v>
      </c>
      <c r="C588" t="s">
        <v>13</v>
      </c>
      <c r="D588">
        <v>0.02</v>
      </c>
      <c r="E588">
        <v>10.68</v>
      </c>
      <c r="F588">
        <v>13.04</v>
      </c>
      <c r="G588" t="s">
        <v>14</v>
      </c>
      <c r="H588" t="s">
        <v>15</v>
      </c>
      <c r="I588" t="s">
        <v>4</v>
      </c>
      <c r="J588" t="s">
        <v>102</v>
      </c>
      <c r="K588" t="s">
        <v>40</v>
      </c>
      <c r="L588" t="s">
        <v>1249</v>
      </c>
      <c r="M588">
        <v>0.6</v>
      </c>
      <c r="N588" t="s">
        <v>8</v>
      </c>
      <c r="O588" t="s">
        <v>87</v>
      </c>
      <c r="P588" t="s">
        <v>293</v>
      </c>
      <c r="Q588" t="s">
        <v>1251</v>
      </c>
      <c r="R588">
        <v>44134</v>
      </c>
      <c r="S588" s="1">
        <v>42055</v>
      </c>
      <c r="T588" s="1">
        <v>42057</v>
      </c>
      <c r="U588">
        <v>-231.05</v>
      </c>
      <c r="V588">
        <v>8</v>
      </c>
      <c r="W588">
        <v>90.45</v>
      </c>
      <c r="X588">
        <v>87630</v>
      </c>
      <c r="Y588">
        <f>cleaneddata[[#This Row],[Unit Price]]-cleaneddata[[#This Row],[Discount]]</f>
        <v>10.66</v>
      </c>
      <c r="Z5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89" spans="1:26" x14ac:dyDescent="0.3">
      <c r="A589">
        <v>3284</v>
      </c>
      <c r="B589" t="s">
        <v>1252</v>
      </c>
      <c r="C589" t="s">
        <v>13</v>
      </c>
      <c r="D589">
        <v>0.05</v>
      </c>
      <c r="E589">
        <v>19.23</v>
      </c>
      <c r="F589">
        <v>6.15</v>
      </c>
      <c r="G589" t="s">
        <v>63</v>
      </c>
      <c r="H589" t="s">
        <v>70</v>
      </c>
      <c r="I589" t="s">
        <v>4</v>
      </c>
      <c r="J589" t="s">
        <v>102</v>
      </c>
      <c r="K589" t="s">
        <v>18</v>
      </c>
      <c r="L589" t="s">
        <v>1253</v>
      </c>
      <c r="M589">
        <v>0.44</v>
      </c>
      <c r="N589" t="s">
        <v>8</v>
      </c>
      <c r="O589" t="s">
        <v>9</v>
      </c>
      <c r="P589" t="s">
        <v>99</v>
      </c>
      <c r="Q589" t="s">
        <v>1254</v>
      </c>
      <c r="R589">
        <v>34741</v>
      </c>
      <c r="S589" s="1">
        <v>42055</v>
      </c>
      <c r="T589" s="1">
        <v>42057</v>
      </c>
      <c r="U589">
        <v>-2133.2779999999998</v>
      </c>
      <c r="V589">
        <v>6</v>
      </c>
      <c r="W589">
        <v>119.78</v>
      </c>
      <c r="X589">
        <v>90751</v>
      </c>
      <c r="Y589">
        <f>cleaneddata[[#This Row],[Unit Price]]-cleaneddata[[#This Row],[Discount]]</f>
        <v>19.18</v>
      </c>
      <c r="Z5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590" spans="1:26" x14ac:dyDescent="0.3">
      <c r="A590">
        <v>233</v>
      </c>
      <c r="B590" t="s">
        <v>1255</v>
      </c>
      <c r="C590" t="s">
        <v>92</v>
      </c>
      <c r="D590">
        <v>7.0000000000000007E-2</v>
      </c>
      <c r="E590">
        <v>5.81</v>
      </c>
      <c r="F590">
        <v>8.49</v>
      </c>
      <c r="G590" t="s">
        <v>14</v>
      </c>
      <c r="H590" t="s">
        <v>3</v>
      </c>
      <c r="I590" t="s">
        <v>24</v>
      </c>
      <c r="J590" t="s">
        <v>48</v>
      </c>
      <c r="K590" t="s">
        <v>49</v>
      </c>
      <c r="L590" t="s">
        <v>306</v>
      </c>
      <c r="M590">
        <v>0.39</v>
      </c>
      <c r="N590" t="s">
        <v>8</v>
      </c>
      <c r="O590" t="s">
        <v>28</v>
      </c>
      <c r="P590" t="s">
        <v>79</v>
      </c>
      <c r="Q590" t="s">
        <v>1256</v>
      </c>
      <c r="R590">
        <v>60462</v>
      </c>
      <c r="S590" s="1">
        <v>42055</v>
      </c>
      <c r="T590" s="1">
        <v>42057</v>
      </c>
      <c r="U590">
        <v>-243.23650000000001</v>
      </c>
      <c r="V590">
        <v>10</v>
      </c>
      <c r="W590">
        <v>58.8</v>
      </c>
      <c r="X590">
        <v>90237</v>
      </c>
      <c r="Y590">
        <f>cleaneddata[[#This Row],[Unit Price]]-cleaneddata[[#This Row],[Discount]]</f>
        <v>5.7399999999999993</v>
      </c>
      <c r="Z59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91" spans="1:26" x14ac:dyDescent="0.3">
      <c r="A591">
        <v>233</v>
      </c>
      <c r="B591" t="s">
        <v>1255</v>
      </c>
      <c r="C591" t="s">
        <v>92</v>
      </c>
      <c r="D591">
        <v>0.04</v>
      </c>
      <c r="E591">
        <v>9.65</v>
      </c>
      <c r="F591">
        <v>6.22</v>
      </c>
      <c r="G591" t="s">
        <v>14</v>
      </c>
      <c r="H591" t="s">
        <v>3</v>
      </c>
      <c r="I591" t="s">
        <v>4</v>
      </c>
      <c r="J591" t="s">
        <v>102</v>
      </c>
      <c r="K591" t="s">
        <v>49</v>
      </c>
      <c r="L591" t="s">
        <v>1257</v>
      </c>
      <c r="M591">
        <v>0.55000000000000004</v>
      </c>
      <c r="N591" t="s">
        <v>8</v>
      </c>
      <c r="O591" t="s">
        <v>28</v>
      </c>
      <c r="P591" t="s">
        <v>79</v>
      </c>
      <c r="Q591" t="s">
        <v>1256</v>
      </c>
      <c r="R591">
        <v>60462</v>
      </c>
      <c r="S591" s="1">
        <v>42055</v>
      </c>
      <c r="T591" s="1">
        <v>42056</v>
      </c>
      <c r="U591">
        <v>-53.62</v>
      </c>
      <c r="V591">
        <v>12</v>
      </c>
      <c r="W591">
        <v>120.47</v>
      </c>
      <c r="X591">
        <v>90237</v>
      </c>
      <c r="Y591">
        <f>cleaneddata[[#This Row],[Unit Price]]-cleaneddata[[#This Row],[Discount]]</f>
        <v>9.6100000000000012</v>
      </c>
      <c r="Z59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92" spans="1:26" x14ac:dyDescent="0.3">
      <c r="A592">
        <v>1485</v>
      </c>
      <c r="B592" t="s">
        <v>1258</v>
      </c>
      <c r="C592" t="s">
        <v>46</v>
      </c>
      <c r="D592">
        <v>0.04</v>
      </c>
      <c r="E592">
        <v>11.5</v>
      </c>
      <c r="F592">
        <v>7.19</v>
      </c>
      <c r="G592" t="s">
        <v>14</v>
      </c>
      <c r="H592" t="s">
        <v>47</v>
      </c>
      <c r="I592" t="s">
        <v>24</v>
      </c>
      <c r="J592" t="s">
        <v>48</v>
      </c>
      <c r="K592" t="s">
        <v>49</v>
      </c>
      <c r="L592" t="s">
        <v>1259</v>
      </c>
      <c r="M592">
        <v>0.4</v>
      </c>
      <c r="N592" t="s">
        <v>8</v>
      </c>
      <c r="O592" t="s">
        <v>28</v>
      </c>
      <c r="P592" t="s">
        <v>79</v>
      </c>
      <c r="Q592" t="s">
        <v>1260</v>
      </c>
      <c r="R592">
        <v>60516</v>
      </c>
      <c r="S592" s="1">
        <v>42055</v>
      </c>
      <c r="T592" s="1">
        <v>42058</v>
      </c>
      <c r="U592">
        <v>-23.357880000000002</v>
      </c>
      <c r="V592">
        <v>14</v>
      </c>
      <c r="W592">
        <v>157.81</v>
      </c>
      <c r="X592">
        <v>91236</v>
      </c>
      <c r="Y592">
        <f>cleaneddata[[#This Row],[Unit Price]]-cleaneddata[[#This Row],[Discount]]</f>
        <v>11.46</v>
      </c>
      <c r="Z5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93" spans="1:26" x14ac:dyDescent="0.3">
      <c r="A593">
        <v>1485</v>
      </c>
      <c r="B593" t="s">
        <v>1258</v>
      </c>
      <c r="C593" t="s">
        <v>46</v>
      </c>
      <c r="D593">
        <v>0.02</v>
      </c>
      <c r="E593">
        <v>15.7</v>
      </c>
      <c r="F593">
        <v>11.25</v>
      </c>
      <c r="G593" t="s">
        <v>14</v>
      </c>
      <c r="H593" t="s">
        <v>47</v>
      </c>
      <c r="I593" t="s">
        <v>24</v>
      </c>
      <c r="J593" t="s">
        <v>54</v>
      </c>
      <c r="K593" t="s">
        <v>49</v>
      </c>
      <c r="L593" t="s">
        <v>1261</v>
      </c>
      <c r="M593">
        <v>0.6</v>
      </c>
      <c r="N593" t="s">
        <v>8</v>
      </c>
      <c r="O593" t="s">
        <v>28</v>
      </c>
      <c r="P593" t="s">
        <v>79</v>
      </c>
      <c r="Q593" t="s">
        <v>1260</v>
      </c>
      <c r="R593">
        <v>60516</v>
      </c>
      <c r="S593" s="1">
        <v>42055</v>
      </c>
      <c r="T593" s="1">
        <v>42056</v>
      </c>
      <c r="U593">
        <v>-18.241599999999998</v>
      </c>
      <c r="V593">
        <v>1</v>
      </c>
      <c r="W593">
        <v>19.440000000000001</v>
      </c>
      <c r="X593">
        <v>91236</v>
      </c>
      <c r="Y593">
        <f>cleaneddata[[#This Row],[Unit Price]]-cleaneddata[[#This Row],[Discount]]</f>
        <v>15.68</v>
      </c>
      <c r="Z5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94" spans="1:26" x14ac:dyDescent="0.3">
      <c r="A594">
        <v>1485</v>
      </c>
      <c r="B594" t="s">
        <v>1258</v>
      </c>
      <c r="C594" t="s">
        <v>46</v>
      </c>
      <c r="D594">
        <v>0.05</v>
      </c>
      <c r="E594">
        <v>225.02</v>
      </c>
      <c r="F594">
        <v>28.66</v>
      </c>
      <c r="G594" t="s">
        <v>2</v>
      </c>
      <c r="H594" t="s">
        <v>47</v>
      </c>
      <c r="I594" t="s">
        <v>24</v>
      </c>
      <c r="J594" t="s">
        <v>54</v>
      </c>
      <c r="K594" t="s">
        <v>33</v>
      </c>
      <c r="L594" t="s">
        <v>1262</v>
      </c>
      <c r="M594">
        <v>0.72</v>
      </c>
      <c r="N594" t="s">
        <v>8</v>
      </c>
      <c r="O594" t="s">
        <v>28</v>
      </c>
      <c r="P594" t="s">
        <v>79</v>
      </c>
      <c r="Q594" t="s">
        <v>1260</v>
      </c>
      <c r="R594">
        <v>60516</v>
      </c>
      <c r="S594" s="1">
        <v>42055</v>
      </c>
      <c r="T594" s="1">
        <v>42057</v>
      </c>
      <c r="U594">
        <v>1428.9104</v>
      </c>
      <c r="V594">
        <v>21</v>
      </c>
      <c r="W594">
        <v>4636.63</v>
      </c>
      <c r="X594">
        <v>91236</v>
      </c>
      <c r="Y594">
        <f>cleaneddata[[#This Row],[Unit Price]]-cleaneddata[[#This Row],[Discount]]</f>
        <v>224.97</v>
      </c>
      <c r="Z5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595" spans="1:26" x14ac:dyDescent="0.3">
      <c r="A595">
        <v>181</v>
      </c>
      <c r="B595" t="s">
        <v>1263</v>
      </c>
      <c r="C595" t="s">
        <v>1</v>
      </c>
      <c r="D595">
        <v>0.02</v>
      </c>
      <c r="E595">
        <v>49.99</v>
      </c>
      <c r="F595">
        <v>19.989999999999998</v>
      </c>
      <c r="G595" t="s">
        <v>14</v>
      </c>
      <c r="H595" t="s">
        <v>3</v>
      </c>
      <c r="I595" t="s">
        <v>16</v>
      </c>
      <c r="J595" t="s">
        <v>17</v>
      </c>
      <c r="K595" t="s">
        <v>49</v>
      </c>
      <c r="L595" t="s">
        <v>1264</v>
      </c>
      <c r="M595">
        <v>0.41</v>
      </c>
      <c r="N595" t="s">
        <v>8</v>
      </c>
      <c r="O595" t="s">
        <v>35</v>
      </c>
      <c r="P595" t="s">
        <v>66</v>
      </c>
      <c r="Q595" t="s">
        <v>917</v>
      </c>
      <c r="R595">
        <v>94122</v>
      </c>
      <c r="S595" s="1">
        <v>42056</v>
      </c>
      <c r="T595" s="1">
        <v>42056</v>
      </c>
      <c r="U595">
        <v>-76.89</v>
      </c>
      <c r="V595">
        <v>18</v>
      </c>
      <c r="W595">
        <v>901.81</v>
      </c>
      <c r="X595">
        <v>38087</v>
      </c>
      <c r="Y595">
        <f>cleaneddata[[#This Row],[Unit Price]]-cleaneddata[[#This Row],[Discount]]</f>
        <v>49.97</v>
      </c>
      <c r="Z59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96" spans="1:26" x14ac:dyDescent="0.3">
      <c r="A596">
        <v>184</v>
      </c>
      <c r="B596" t="s">
        <v>1265</v>
      </c>
      <c r="C596" t="s">
        <v>1</v>
      </c>
      <c r="D596">
        <v>0.02</v>
      </c>
      <c r="E596">
        <v>49.99</v>
      </c>
      <c r="F596">
        <v>19.989999999999998</v>
      </c>
      <c r="G596" t="s">
        <v>14</v>
      </c>
      <c r="H596" t="s">
        <v>3</v>
      </c>
      <c r="I596" t="s">
        <v>16</v>
      </c>
      <c r="J596" t="s">
        <v>17</v>
      </c>
      <c r="K596" t="s">
        <v>49</v>
      </c>
      <c r="L596" t="s">
        <v>1264</v>
      </c>
      <c r="M596">
        <v>0.41</v>
      </c>
      <c r="N596" t="s">
        <v>8</v>
      </c>
      <c r="O596" t="s">
        <v>87</v>
      </c>
      <c r="P596" t="s">
        <v>379</v>
      </c>
      <c r="Q596" t="s">
        <v>1266</v>
      </c>
      <c r="R596">
        <v>2474</v>
      </c>
      <c r="S596" s="1">
        <v>42056</v>
      </c>
      <c r="T596" s="1">
        <v>42056</v>
      </c>
      <c r="U596">
        <v>-76.89</v>
      </c>
      <c r="V596">
        <v>5</v>
      </c>
      <c r="W596">
        <v>250.5</v>
      </c>
      <c r="X596">
        <v>88360</v>
      </c>
      <c r="Y596">
        <f>cleaneddata[[#This Row],[Unit Price]]-cleaneddata[[#This Row],[Discount]]</f>
        <v>49.97</v>
      </c>
      <c r="Z59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597" spans="1:26" x14ac:dyDescent="0.3">
      <c r="A597">
        <v>2225</v>
      </c>
      <c r="B597" t="s">
        <v>1267</v>
      </c>
      <c r="C597" t="s">
        <v>1</v>
      </c>
      <c r="D597">
        <v>0</v>
      </c>
      <c r="E597">
        <v>100.89</v>
      </c>
      <c r="F597">
        <v>42</v>
      </c>
      <c r="G597" t="s">
        <v>2</v>
      </c>
      <c r="H597" t="s">
        <v>3</v>
      </c>
      <c r="I597" t="s">
        <v>4</v>
      </c>
      <c r="J597" t="s">
        <v>85</v>
      </c>
      <c r="K597" t="s">
        <v>33</v>
      </c>
      <c r="L597" t="s">
        <v>1268</v>
      </c>
      <c r="M597">
        <v>0.61</v>
      </c>
      <c r="N597" t="s">
        <v>8</v>
      </c>
      <c r="O597" t="s">
        <v>35</v>
      </c>
      <c r="P597" t="s">
        <v>616</v>
      </c>
      <c r="Q597" t="s">
        <v>1269</v>
      </c>
      <c r="R597">
        <v>88240</v>
      </c>
      <c r="S597" s="1">
        <v>42056</v>
      </c>
      <c r="T597" s="1">
        <v>42057</v>
      </c>
      <c r="U597">
        <v>1500.12</v>
      </c>
      <c r="V597">
        <v>15</v>
      </c>
      <c r="W597">
        <v>1608.11</v>
      </c>
      <c r="X597">
        <v>89970</v>
      </c>
      <c r="Y597">
        <f>cleaneddata[[#This Row],[Unit Price]]-cleaneddata[[#This Row],[Discount]]</f>
        <v>100.89</v>
      </c>
      <c r="Z59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98" spans="1:26" x14ac:dyDescent="0.3">
      <c r="A598">
        <v>875</v>
      </c>
      <c r="B598" t="s">
        <v>1270</v>
      </c>
      <c r="C598" t="s">
        <v>13</v>
      </c>
      <c r="D598">
        <v>0.04</v>
      </c>
      <c r="E598">
        <v>4.37</v>
      </c>
      <c r="F598">
        <v>5.15</v>
      </c>
      <c r="G598" t="s">
        <v>14</v>
      </c>
      <c r="H598" t="s">
        <v>3</v>
      </c>
      <c r="I598" t="s">
        <v>24</v>
      </c>
      <c r="J598" t="s">
        <v>71</v>
      </c>
      <c r="K598" t="s">
        <v>49</v>
      </c>
      <c r="L598" t="s">
        <v>1271</v>
      </c>
      <c r="M598">
        <v>0.59</v>
      </c>
      <c r="N598" t="s">
        <v>8</v>
      </c>
      <c r="O598" t="s">
        <v>35</v>
      </c>
      <c r="P598" t="s">
        <v>122</v>
      </c>
      <c r="Q598" t="s">
        <v>1272</v>
      </c>
      <c r="R598">
        <v>84106</v>
      </c>
      <c r="S598" s="1">
        <v>42056</v>
      </c>
      <c r="T598" s="1">
        <v>42057</v>
      </c>
      <c r="U598">
        <v>-74.479600000000005</v>
      </c>
      <c r="V598">
        <v>18</v>
      </c>
      <c r="W598">
        <v>78.59</v>
      </c>
      <c r="X598">
        <v>89059</v>
      </c>
      <c r="Y598">
        <f>cleaneddata[[#This Row],[Unit Price]]-cleaneddata[[#This Row],[Discount]]</f>
        <v>4.33</v>
      </c>
      <c r="Z59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599" spans="1:26" x14ac:dyDescent="0.3">
      <c r="A599">
        <v>875</v>
      </c>
      <c r="B599" t="s">
        <v>1270</v>
      </c>
      <c r="C599" t="s">
        <v>13</v>
      </c>
      <c r="D599">
        <v>0.09</v>
      </c>
      <c r="E599">
        <v>155.99</v>
      </c>
      <c r="F599">
        <v>8.99</v>
      </c>
      <c r="G599" t="s">
        <v>14</v>
      </c>
      <c r="H599" t="s">
        <v>3</v>
      </c>
      <c r="I599" t="s">
        <v>16</v>
      </c>
      <c r="J599" t="s">
        <v>111</v>
      </c>
      <c r="K599" t="s">
        <v>49</v>
      </c>
      <c r="L599" t="s">
        <v>1273</v>
      </c>
      <c r="M599">
        <v>0.57999999999999996</v>
      </c>
      <c r="N599" t="s">
        <v>8</v>
      </c>
      <c r="O599" t="s">
        <v>35</v>
      </c>
      <c r="P599" t="s">
        <v>122</v>
      </c>
      <c r="Q599" t="s">
        <v>1272</v>
      </c>
      <c r="R599">
        <v>84106</v>
      </c>
      <c r="S599" s="1">
        <v>42056</v>
      </c>
      <c r="T599" s="1">
        <v>42058</v>
      </c>
      <c r="U599">
        <v>-232.22056000000001</v>
      </c>
      <c r="V599">
        <v>4</v>
      </c>
      <c r="W599">
        <v>497.11</v>
      </c>
      <c r="X599">
        <v>89059</v>
      </c>
      <c r="Y599">
        <f>cleaneddata[[#This Row],[Unit Price]]-cleaneddata[[#This Row],[Discount]]</f>
        <v>155.9</v>
      </c>
      <c r="Z59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0" spans="1:26" x14ac:dyDescent="0.3">
      <c r="A600">
        <v>2472</v>
      </c>
      <c r="B600" t="s">
        <v>1274</v>
      </c>
      <c r="C600" t="s">
        <v>23</v>
      </c>
      <c r="D600">
        <v>0.1</v>
      </c>
      <c r="E600">
        <v>4.91</v>
      </c>
      <c r="F600">
        <v>0.5</v>
      </c>
      <c r="G600" t="s">
        <v>63</v>
      </c>
      <c r="H600" t="s">
        <v>47</v>
      </c>
      <c r="I600" t="s">
        <v>24</v>
      </c>
      <c r="J600" t="s">
        <v>128</v>
      </c>
      <c r="K600" t="s">
        <v>49</v>
      </c>
      <c r="L600" t="s">
        <v>949</v>
      </c>
      <c r="M600">
        <v>0.36</v>
      </c>
      <c r="N600" t="s">
        <v>8</v>
      </c>
      <c r="O600" t="s">
        <v>28</v>
      </c>
      <c r="P600" t="s">
        <v>79</v>
      </c>
      <c r="Q600" t="s">
        <v>1275</v>
      </c>
      <c r="R600">
        <v>60432</v>
      </c>
      <c r="S600" s="1">
        <v>42056</v>
      </c>
      <c r="T600" s="1">
        <v>42056</v>
      </c>
      <c r="U600">
        <v>35.279699999999998</v>
      </c>
      <c r="V600">
        <v>10</v>
      </c>
      <c r="W600">
        <v>51.13</v>
      </c>
      <c r="X600">
        <v>86514</v>
      </c>
      <c r="Y600">
        <f>cleaneddata[[#This Row],[Unit Price]]-cleaneddata[[#This Row],[Discount]]</f>
        <v>4.8100000000000005</v>
      </c>
      <c r="Z6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01" spans="1:26" x14ac:dyDescent="0.3">
      <c r="A601">
        <v>553</v>
      </c>
      <c r="B601" t="s">
        <v>827</v>
      </c>
      <c r="C601" t="s">
        <v>46</v>
      </c>
      <c r="D601">
        <v>7.0000000000000007E-2</v>
      </c>
      <c r="E601">
        <v>2036.48</v>
      </c>
      <c r="F601">
        <v>14.7</v>
      </c>
      <c r="G601" t="s">
        <v>2</v>
      </c>
      <c r="H601" t="s">
        <v>70</v>
      </c>
      <c r="I601" t="s">
        <v>16</v>
      </c>
      <c r="J601" t="s">
        <v>32</v>
      </c>
      <c r="K601" t="s">
        <v>33</v>
      </c>
      <c r="L601" t="s">
        <v>34</v>
      </c>
      <c r="M601">
        <v>0.55000000000000004</v>
      </c>
      <c r="N601" t="s">
        <v>8</v>
      </c>
      <c r="O601" t="s">
        <v>35</v>
      </c>
      <c r="P601" t="s">
        <v>66</v>
      </c>
      <c r="Q601" t="s">
        <v>76</v>
      </c>
      <c r="R601">
        <v>90008</v>
      </c>
      <c r="S601" s="1">
        <v>42056</v>
      </c>
      <c r="T601" s="1">
        <v>42056</v>
      </c>
      <c r="U601">
        <v>4073.25</v>
      </c>
      <c r="V601">
        <v>25</v>
      </c>
      <c r="W601">
        <v>43046.2</v>
      </c>
      <c r="X601">
        <v>2433</v>
      </c>
      <c r="Y601">
        <f>cleaneddata[[#This Row],[Unit Price]]-cleaneddata[[#This Row],[Discount]]</f>
        <v>2036.41</v>
      </c>
      <c r="Z60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2" spans="1:26" x14ac:dyDescent="0.3">
      <c r="A602">
        <v>555</v>
      </c>
      <c r="B602" t="s">
        <v>1276</v>
      </c>
      <c r="C602" t="s">
        <v>46</v>
      </c>
      <c r="D602">
        <v>7.0000000000000007E-2</v>
      </c>
      <c r="E602">
        <v>2036.48</v>
      </c>
      <c r="F602">
        <v>14.7</v>
      </c>
      <c r="G602" t="s">
        <v>2</v>
      </c>
      <c r="H602" t="s">
        <v>70</v>
      </c>
      <c r="I602" t="s">
        <v>16</v>
      </c>
      <c r="J602" t="s">
        <v>32</v>
      </c>
      <c r="K602" t="s">
        <v>33</v>
      </c>
      <c r="L602" t="s">
        <v>34</v>
      </c>
      <c r="M602">
        <v>0.55000000000000004</v>
      </c>
      <c r="N602" t="s">
        <v>8</v>
      </c>
      <c r="O602" t="s">
        <v>35</v>
      </c>
      <c r="P602" t="s">
        <v>122</v>
      </c>
      <c r="Q602" t="s">
        <v>1277</v>
      </c>
      <c r="R602">
        <v>84062</v>
      </c>
      <c r="S602" s="1">
        <v>42056</v>
      </c>
      <c r="T602" s="1">
        <v>42056</v>
      </c>
      <c r="U602">
        <v>6028.41</v>
      </c>
      <c r="V602">
        <v>6</v>
      </c>
      <c r="W602">
        <v>10331.09</v>
      </c>
      <c r="X602">
        <v>86190</v>
      </c>
      <c r="Y602">
        <f>cleaneddata[[#This Row],[Unit Price]]-cleaneddata[[#This Row],[Discount]]</f>
        <v>2036.41</v>
      </c>
      <c r="Z60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3" spans="1:26" x14ac:dyDescent="0.3">
      <c r="A603">
        <v>3136</v>
      </c>
      <c r="B603" t="s">
        <v>1278</v>
      </c>
      <c r="C603" t="s">
        <v>1</v>
      </c>
      <c r="D603">
        <v>0.03</v>
      </c>
      <c r="E603">
        <v>150.88999999999999</v>
      </c>
      <c r="F603">
        <v>60.2</v>
      </c>
      <c r="G603" t="s">
        <v>2</v>
      </c>
      <c r="H603" t="s">
        <v>15</v>
      </c>
      <c r="I603" t="s">
        <v>4</v>
      </c>
      <c r="J603" t="s">
        <v>85</v>
      </c>
      <c r="K603" t="s">
        <v>33</v>
      </c>
      <c r="L603" t="s">
        <v>1279</v>
      </c>
      <c r="M603">
        <v>0.77</v>
      </c>
      <c r="N603" t="s">
        <v>8</v>
      </c>
      <c r="O603" t="s">
        <v>87</v>
      </c>
      <c r="P603" t="s">
        <v>307</v>
      </c>
      <c r="Q603" t="s">
        <v>308</v>
      </c>
      <c r="R603">
        <v>4073</v>
      </c>
      <c r="S603" s="1">
        <v>42057</v>
      </c>
      <c r="T603" s="1">
        <v>42057</v>
      </c>
      <c r="U603">
        <v>-677.87199999999996</v>
      </c>
      <c r="V603">
        <v>23</v>
      </c>
      <c r="W603">
        <v>3596.03</v>
      </c>
      <c r="X603">
        <v>86791</v>
      </c>
      <c r="Y603">
        <f>cleaneddata[[#This Row],[Unit Price]]-cleaneddata[[#This Row],[Discount]]</f>
        <v>150.85999999999999</v>
      </c>
      <c r="Z60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04" spans="1:26" x14ac:dyDescent="0.3">
      <c r="A604">
        <v>32</v>
      </c>
      <c r="B604" t="s">
        <v>620</v>
      </c>
      <c r="C604" t="s">
        <v>13</v>
      </c>
      <c r="D604">
        <v>0.08</v>
      </c>
      <c r="E604">
        <v>34.99</v>
      </c>
      <c r="F604">
        <v>7.73</v>
      </c>
      <c r="G604" t="s">
        <v>14</v>
      </c>
      <c r="H604" t="s">
        <v>70</v>
      </c>
      <c r="I604" t="s">
        <v>24</v>
      </c>
      <c r="J604" t="s">
        <v>25</v>
      </c>
      <c r="K604" t="s">
        <v>49</v>
      </c>
      <c r="L604" t="s">
        <v>1280</v>
      </c>
      <c r="M604">
        <v>0.59</v>
      </c>
      <c r="N604" t="s">
        <v>8</v>
      </c>
      <c r="O604" t="s">
        <v>35</v>
      </c>
      <c r="P604" t="s">
        <v>115</v>
      </c>
      <c r="Q604" t="s">
        <v>622</v>
      </c>
      <c r="R604">
        <v>97526</v>
      </c>
      <c r="S604" s="1">
        <v>42057</v>
      </c>
      <c r="T604" s="1">
        <v>42058</v>
      </c>
      <c r="U604">
        <v>144.69</v>
      </c>
      <c r="V604">
        <v>13</v>
      </c>
      <c r="W604">
        <v>424.68</v>
      </c>
      <c r="X604">
        <v>89199</v>
      </c>
      <c r="Y604">
        <f>cleaneddata[[#This Row],[Unit Price]]-cleaneddata[[#This Row],[Discount]]</f>
        <v>34.910000000000004</v>
      </c>
      <c r="Z60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5" spans="1:26" x14ac:dyDescent="0.3">
      <c r="A605">
        <v>1728</v>
      </c>
      <c r="B605" t="s">
        <v>1281</v>
      </c>
      <c r="C605" t="s">
        <v>13</v>
      </c>
      <c r="D605">
        <v>0.04</v>
      </c>
      <c r="E605">
        <v>55.48</v>
      </c>
      <c r="F605">
        <v>6.79</v>
      </c>
      <c r="G605" t="s">
        <v>14</v>
      </c>
      <c r="H605" t="s">
        <v>70</v>
      </c>
      <c r="I605" t="s">
        <v>24</v>
      </c>
      <c r="J605" t="s">
        <v>64</v>
      </c>
      <c r="K605" t="s">
        <v>49</v>
      </c>
      <c r="L605" t="s">
        <v>1282</v>
      </c>
      <c r="M605">
        <v>0.37</v>
      </c>
      <c r="N605" t="s">
        <v>8</v>
      </c>
      <c r="O605" t="s">
        <v>87</v>
      </c>
      <c r="P605" t="s">
        <v>293</v>
      </c>
      <c r="Q605" t="s">
        <v>1283</v>
      </c>
      <c r="R605">
        <v>45429</v>
      </c>
      <c r="S605" s="1">
        <v>42057</v>
      </c>
      <c r="T605" s="1">
        <v>42059</v>
      </c>
      <c r="U605">
        <v>376.88490000000002</v>
      </c>
      <c r="V605">
        <v>10</v>
      </c>
      <c r="W605">
        <v>546.21</v>
      </c>
      <c r="X605">
        <v>87195</v>
      </c>
      <c r="Y605">
        <f>cleaneddata[[#This Row],[Unit Price]]-cleaneddata[[#This Row],[Discount]]</f>
        <v>55.44</v>
      </c>
      <c r="Z60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06" spans="1:26" x14ac:dyDescent="0.3">
      <c r="A606">
        <v>1991</v>
      </c>
      <c r="B606" t="s">
        <v>1284</v>
      </c>
      <c r="C606" t="s">
        <v>92</v>
      </c>
      <c r="D606">
        <v>0</v>
      </c>
      <c r="E606">
        <v>47.9</v>
      </c>
      <c r="F606">
        <v>5.86</v>
      </c>
      <c r="G606" t="s">
        <v>14</v>
      </c>
      <c r="H606" t="s">
        <v>47</v>
      </c>
      <c r="I606" t="s">
        <v>24</v>
      </c>
      <c r="J606" t="s">
        <v>64</v>
      </c>
      <c r="K606" t="s">
        <v>49</v>
      </c>
      <c r="L606" t="s">
        <v>1285</v>
      </c>
      <c r="M606">
        <v>0.37</v>
      </c>
      <c r="N606" t="s">
        <v>8</v>
      </c>
      <c r="O606" t="s">
        <v>35</v>
      </c>
      <c r="P606" t="s">
        <v>122</v>
      </c>
      <c r="Q606" t="s">
        <v>1286</v>
      </c>
      <c r="R606">
        <v>84118</v>
      </c>
      <c r="S606" s="1">
        <v>42057</v>
      </c>
      <c r="T606" s="1">
        <v>42059</v>
      </c>
      <c r="U606">
        <v>638.38109999999995</v>
      </c>
      <c r="V606">
        <v>18</v>
      </c>
      <c r="W606">
        <v>925.19</v>
      </c>
      <c r="X606">
        <v>90002</v>
      </c>
      <c r="Y606">
        <f>cleaneddata[[#This Row],[Unit Price]]-cleaneddata[[#This Row],[Discount]]</f>
        <v>47.9</v>
      </c>
      <c r="Z60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7" spans="1:26" x14ac:dyDescent="0.3">
      <c r="A607">
        <v>236</v>
      </c>
      <c r="B607" t="s">
        <v>1287</v>
      </c>
      <c r="C607" t="s">
        <v>46</v>
      </c>
      <c r="D607">
        <v>0</v>
      </c>
      <c r="E607">
        <v>442.14</v>
      </c>
      <c r="F607">
        <v>14.7</v>
      </c>
      <c r="G607" t="s">
        <v>2</v>
      </c>
      <c r="H607" t="s">
        <v>70</v>
      </c>
      <c r="I607" t="s">
        <v>16</v>
      </c>
      <c r="J607" t="s">
        <v>32</v>
      </c>
      <c r="K607" t="s">
        <v>33</v>
      </c>
      <c r="L607" t="s">
        <v>1288</v>
      </c>
      <c r="M607">
        <v>0.56000000000000005</v>
      </c>
      <c r="N607" t="s">
        <v>8</v>
      </c>
      <c r="O607" t="s">
        <v>35</v>
      </c>
      <c r="P607" t="s">
        <v>36</v>
      </c>
      <c r="Q607" t="s">
        <v>1289</v>
      </c>
      <c r="R607">
        <v>80027</v>
      </c>
      <c r="S607" s="1">
        <v>42057</v>
      </c>
      <c r="T607" s="1">
        <v>42057</v>
      </c>
      <c r="U607">
        <v>3294.8258999999998</v>
      </c>
      <c r="V607">
        <v>10</v>
      </c>
      <c r="W607">
        <v>4775.1099999999997</v>
      </c>
      <c r="X607">
        <v>86621</v>
      </c>
      <c r="Y607">
        <f>cleaneddata[[#This Row],[Unit Price]]-cleaneddata[[#This Row],[Discount]]</f>
        <v>442.14</v>
      </c>
      <c r="Z60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08" spans="1:26" x14ac:dyDescent="0.3">
      <c r="A608">
        <v>829</v>
      </c>
      <c r="B608" t="s">
        <v>1290</v>
      </c>
      <c r="C608" t="s">
        <v>46</v>
      </c>
      <c r="D608">
        <v>0.01</v>
      </c>
      <c r="E608">
        <v>5.18</v>
      </c>
      <c r="F608">
        <v>2.04</v>
      </c>
      <c r="G608" t="s">
        <v>14</v>
      </c>
      <c r="H608" t="s">
        <v>70</v>
      </c>
      <c r="I608" t="s">
        <v>24</v>
      </c>
      <c r="J608" t="s">
        <v>64</v>
      </c>
      <c r="K608" t="s">
        <v>26</v>
      </c>
      <c r="L608" t="s">
        <v>809</v>
      </c>
      <c r="M608">
        <v>0.36</v>
      </c>
      <c r="N608" t="s">
        <v>8</v>
      </c>
      <c r="O608" t="s">
        <v>9</v>
      </c>
      <c r="P608" t="s">
        <v>20</v>
      </c>
      <c r="Q608" t="s">
        <v>1291</v>
      </c>
      <c r="R608">
        <v>71854</v>
      </c>
      <c r="S608" s="1">
        <v>42057</v>
      </c>
      <c r="T608" s="1">
        <v>42059</v>
      </c>
      <c r="U608">
        <v>-17.654</v>
      </c>
      <c r="V608">
        <v>5</v>
      </c>
      <c r="W608">
        <v>28.46</v>
      </c>
      <c r="X608">
        <v>90271</v>
      </c>
      <c r="Y608">
        <f>cleaneddata[[#This Row],[Unit Price]]-cleaneddata[[#This Row],[Discount]]</f>
        <v>5.17</v>
      </c>
      <c r="Z6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09" spans="1:26" x14ac:dyDescent="0.3">
      <c r="A609">
        <v>2653</v>
      </c>
      <c r="B609" t="s">
        <v>1292</v>
      </c>
      <c r="C609" t="s">
        <v>46</v>
      </c>
      <c r="D609">
        <v>0.05</v>
      </c>
      <c r="E609">
        <v>4.9800000000000004</v>
      </c>
      <c r="F609">
        <v>4.62</v>
      </c>
      <c r="G609" t="s">
        <v>14</v>
      </c>
      <c r="H609" t="s">
        <v>15</v>
      </c>
      <c r="I609" t="s">
        <v>16</v>
      </c>
      <c r="J609" t="s">
        <v>17</v>
      </c>
      <c r="K609" t="s">
        <v>18</v>
      </c>
      <c r="L609" t="s">
        <v>1197</v>
      </c>
      <c r="M609">
        <v>0.64</v>
      </c>
      <c r="N609" t="s">
        <v>8</v>
      </c>
      <c r="O609" t="s">
        <v>28</v>
      </c>
      <c r="P609" t="s">
        <v>513</v>
      </c>
      <c r="Q609" t="s">
        <v>1293</v>
      </c>
      <c r="R609">
        <v>67037</v>
      </c>
      <c r="S609" s="1">
        <v>42057</v>
      </c>
      <c r="T609" s="1">
        <v>42058</v>
      </c>
      <c r="U609">
        <v>-98.35</v>
      </c>
      <c r="V609">
        <v>7</v>
      </c>
      <c r="W609">
        <v>34.32</v>
      </c>
      <c r="X609">
        <v>89360</v>
      </c>
      <c r="Y609">
        <f>cleaneddata[[#This Row],[Unit Price]]-cleaneddata[[#This Row],[Discount]]</f>
        <v>4.9300000000000006</v>
      </c>
      <c r="Z6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10" spans="1:26" x14ac:dyDescent="0.3">
      <c r="A610">
        <v>2653</v>
      </c>
      <c r="B610" t="s">
        <v>1292</v>
      </c>
      <c r="C610" t="s">
        <v>46</v>
      </c>
      <c r="D610">
        <v>0.02</v>
      </c>
      <c r="E610">
        <v>34.229999999999997</v>
      </c>
      <c r="F610">
        <v>5.0199999999999996</v>
      </c>
      <c r="G610" t="s">
        <v>14</v>
      </c>
      <c r="H610" t="s">
        <v>15</v>
      </c>
      <c r="I610" t="s">
        <v>4</v>
      </c>
      <c r="J610" t="s">
        <v>102</v>
      </c>
      <c r="K610" t="s">
        <v>49</v>
      </c>
      <c r="L610" t="s">
        <v>1294</v>
      </c>
      <c r="M610">
        <v>0.55000000000000004</v>
      </c>
      <c r="N610" t="s">
        <v>8</v>
      </c>
      <c r="O610" t="s">
        <v>28</v>
      </c>
      <c r="P610" t="s">
        <v>513</v>
      </c>
      <c r="Q610" t="s">
        <v>1293</v>
      </c>
      <c r="R610">
        <v>67037</v>
      </c>
      <c r="S610" s="1">
        <v>42057</v>
      </c>
      <c r="T610" s="1">
        <v>42059</v>
      </c>
      <c r="U610">
        <v>270.79050000000001</v>
      </c>
      <c r="V610">
        <v>11</v>
      </c>
      <c r="W610">
        <v>392.45</v>
      </c>
      <c r="X610">
        <v>89360</v>
      </c>
      <c r="Y610">
        <f>cleaneddata[[#This Row],[Unit Price]]-cleaneddata[[#This Row],[Discount]]</f>
        <v>34.209999999999994</v>
      </c>
      <c r="Z6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11" spans="1:26" x14ac:dyDescent="0.3">
      <c r="A611">
        <v>2968</v>
      </c>
      <c r="B611" t="s">
        <v>1295</v>
      </c>
      <c r="C611" t="s">
        <v>46</v>
      </c>
      <c r="D611">
        <v>0.08</v>
      </c>
      <c r="E611">
        <v>9.68</v>
      </c>
      <c r="F611">
        <v>2.0299999999999998</v>
      </c>
      <c r="G611" t="s">
        <v>14</v>
      </c>
      <c r="H611" t="s">
        <v>3</v>
      </c>
      <c r="I611" t="s">
        <v>24</v>
      </c>
      <c r="J611" t="s">
        <v>64</v>
      </c>
      <c r="K611" t="s">
        <v>26</v>
      </c>
      <c r="L611" t="s">
        <v>1296</v>
      </c>
      <c r="M611">
        <v>0.37</v>
      </c>
      <c r="N611" t="s">
        <v>8</v>
      </c>
      <c r="O611" t="s">
        <v>9</v>
      </c>
      <c r="P611" t="s">
        <v>99</v>
      </c>
      <c r="Q611" t="s">
        <v>1297</v>
      </c>
      <c r="R611">
        <v>33021</v>
      </c>
      <c r="S611" s="1">
        <v>42057</v>
      </c>
      <c r="T611" s="1">
        <v>42059</v>
      </c>
      <c r="U611">
        <v>-536.24199999999996</v>
      </c>
      <c r="V611">
        <v>1</v>
      </c>
      <c r="W611">
        <v>10.94</v>
      </c>
      <c r="X611">
        <v>86085</v>
      </c>
      <c r="Y611">
        <f>cleaneddata[[#This Row],[Unit Price]]-cleaneddata[[#This Row],[Discount]]</f>
        <v>9.6</v>
      </c>
      <c r="Z61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12" spans="1:26" x14ac:dyDescent="0.3">
      <c r="A612">
        <v>2968</v>
      </c>
      <c r="B612" t="s">
        <v>1295</v>
      </c>
      <c r="C612" t="s">
        <v>46</v>
      </c>
      <c r="D612">
        <v>0.04</v>
      </c>
      <c r="E612">
        <v>150.97999999999999</v>
      </c>
      <c r="F612">
        <v>16.010000000000002</v>
      </c>
      <c r="G612" t="s">
        <v>2</v>
      </c>
      <c r="H612" t="s">
        <v>3</v>
      </c>
      <c r="I612" t="s">
        <v>4</v>
      </c>
      <c r="J612" t="s">
        <v>5</v>
      </c>
      <c r="K612" t="s">
        <v>6</v>
      </c>
      <c r="L612" t="s">
        <v>1298</v>
      </c>
      <c r="M612">
        <v>0.7</v>
      </c>
      <c r="N612" t="s">
        <v>8</v>
      </c>
      <c r="O612" t="s">
        <v>9</v>
      </c>
      <c r="P612" t="s">
        <v>99</v>
      </c>
      <c r="Q612" t="s">
        <v>1297</v>
      </c>
      <c r="R612">
        <v>33021</v>
      </c>
      <c r="S612" s="1">
        <v>42057</v>
      </c>
      <c r="T612" s="1">
        <v>42058</v>
      </c>
      <c r="U612">
        <v>-125.86</v>
      </c>
      <c r="V612">
        <v>5</v>
      </c>
      <c r="W612">
        <v>731.38</v>
      </c>
      <c r="X612">
        <v>86085</v>
      </c>
      <c r="Y612">
        <f>cleaneddata[[#This Row],[Unit Price]]-cleaneddata[[#This Row],[Discount]]</f>
        <v>150.94</v>
      </c>
      <c r="Z61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13" spans="1:26" x14ac:dyDescent="0.3">
      <c r="A613">
        <v>2697</v>
      </c>
      <c r="B613" t="s">
        <v>1299</v>
      </c>
      <c r="C613" t="s">
        <v>1</v>
      </c>
      <c r="D613">
        <v>0.04</v>
      </c>
      <c r="E613">
        <v>1.74</v>
      </c>
      <c r="F613">
        <v>4.08</v>
      </c>
      <c r="G613" t="s">
        <v>14</v>
      </c>
      <c r="H613" t="s">
        <v>70</v>
      </c>
      <c r="I613" t="s">
        <v>4</v>
      </c>
      <c r="J613" t="s">
        <v>102</v>
      </c>
      <c r="K613" t="s">
        <v>18</v>
      </c>
      <c r="L613" t="s">
        <v>746</v>
      </c>
      <c r="M613">
        <v>0.53</v>
      </c>
      <c r="N613" t="s">
        <v>8</v>
      </c>
      <c r="O613" t="s">
        <v>9</v>
      </c>
      <c r="P613" t="s">
        <v>140</v>
      </c>
      <c r="Q613" t="s">
        <v>1300</v>
      </c>
      <c r="R613">
        <v>35216</v>
      </c>
      <c r="S613" s="1">
        <v>42058</v>
      </c>
      <c r="T613" s="1">
        <v>42060</v>
      </c>
      <c r="U613">
        <v>9.2520000000000007</v>
      </c>
      <c r="V613">
        <v>16</v>
      </c>
      <c r="W613">
        <v>29.08</v>
      </c>
      <c r="X613">
        <v>87678</v>
      </c>
      <c r="Y613">
        <f>cleaneddata[[#This Row],[Unit Price]]-cleaneddata[[#This Row],[Discount]]</f>
        <v>1.7</v>
      </c>
      <c r="Z6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14" spans="1:26" x14ac:dyDescent="0.3">
      <c r="A614">
        <v>2697</v>
      </c>
      <c r="B614" t="s">
        <v>1299</v>
      </c>
      <c r="C614" t="s">
        <v>1</v>
      </c>
      <c r="D614">
        <v>0.01</v>
      </c>
      <c r="E614">
        <v>119.99</v>
      </c>
      <c r="F614">
        <v>56.14</v>
      </c>
      <c r="G614" t="s">
        <v>2</v>
      </c>
      <c r="H614" t="s">
        <v>70</v>
      </c>
      <c r="I614" t="s">
        <v>16</v>
      </c>
      <c r="J614" t="s">
        <v>32</v>
      </c>
      <c r="K614" t="s">
        <v>6</v>
      </c>
      <c r="L614" t="s">
        <v>563</v>
      </c>
      <c r="M614">
        <v>0.39</v>
      </c>
      <c r="N614" t="s">
        <v>8</v>
      </c>
      <c r="O614" t="s">
        <v>9</v>
      </c>
      <c r="P614" t="s">
        <v>140</v>
      </c>
      <c r="Q614" t="s">
        <v>1300</v>
      </c>
      <c r="R614">
        <v>35216</v>
      </c>
      <c r="S614" s="1">
        <v>42058</v>
      </c>
      <c r="T614" s="1">
        <v>42059</v>
      </c>
      <c r="U614">
        <v>-1197.0419999999999</v>
      </c>
      <c r="V614">
        <v>21</v>
      </c>
      <c r="W614">
        <v>2569.5700000000002</v>
      </c>
      <c r="X614">
        <v>87678</v>
      </c>
      <c r="Y614">
        <f>cleaneddata[[#This Row],[Unit Price]]-cleaneddata[[#This Row],[Discount]]</f>
        <v>119.97999999999999</v>
      </c>
      <c r="Z61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15" spans="1:26" x14ac:dyDescent="0.3">
      <c r="A615">
        <v>2865</v>
      </c>
      <c r="B615" t="s">
        <v>1301</v>
      </c>
      <c r="C615" t="s">
        <v>1</v>
      </c>
      <c r="D615">
        <v>0.01</v>
      </c>
      <c r="E615">
        <v>13.79</v>
      </c>
      <c r="F615">
        <v>8.7799999999999994</v>
      </c>
      <c r="G615" t="s">
        <v>14</v>
      </c>
      <c r="H615" t="s">
        <v>70</v>
      </c>
      <c r="I615" t="s">
        <v>4</v>
      </c>
      <c r="J615" t="s">
        <v>102</v>
      </c>
      <c r="K615" t="s">
        <v>49</v>
      </c>
      <c r="L615" t="s">
        <v>1302</v>
      </c>
      <c r="M615">
        <v>0.43</v>
      </c>
      <c r="N615" t="s">
        <v>8</v>
      </c>
      <c r="O615" t="s">
        <v>28</v>
      </c>
      <c r="P615" t="s">
        <v>163</v>
      </c>
      <c r="Q615" t="s">
        <v>1303</v>
      </c>
      <c r="R615">
        <v>75460</v>
      </c>
      <c r="S615" s="1">
        <v>42058</v>
      </c>
      <c r="T615" s="1">
        <v>42060</v>
      </c>
      <c r="U615">
        <v>-36.770000000000003</v>
      </c>
      <c r="V615">
        <v>4</v>
      </c>
      <c r="W615">
        <v>56.68</v>
      </c>
      <c r="X615">
        <v>90871</v>
      </c>
      <c r="Y615">
        <f>cleaneddata[[#This Row],[Unit Price]]-cleaneddata[[#This Row],[Discount]]</f>
        <v>13.78</v>
      </c>
      <c r="Z6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16" spans="1:26" x14ac:dyDescent="0.3">
      <c r="A616">
        <v>2865</v>
      </c>
      <c r="B616" t="s">
        <v>1301</v>
      </c>
      <c r="C616" t="s">
        <v>1</v>
      </c>
      <c r="D616">
        <v>0.04</v>
      </c>
      <c r="E616">
        <v>33.29</v>
      </c>
      <c r="F616">
        <v>8.74</v>
      </c>
      <c r="G616" t="s">
        <v>14</v>
      </c>
      <c r="H616" t="s">
        <v>70</v>
      </c>
      <c r="I616" t="s">
        <v>24</v>
      </c>
      <c r="J616" t="s">
        <v>54</v>
      </c>
      <c r="K616" t="s">
        <v>49</v>
      </c>
      <c r="L616" t="s">
        <v>1304</v>
      </c>
      <c r="M616">
        <v>0.61</v>
      </c>
      <c r="N616" t="s">
        <v>8</v>
      </c>
      <c r="O616" t="s">
        <v>28</v>
      </c>
      <c r="P616" t="s">
        <v>163</v>
      </c>
      <c r="Q616" t="s">
        <v>1303</v>
      </c>
      <c r="R616">
        <v>75460</v>
      </c>
      <c r="S616" s="1">
        <v>42058</v>
      </c>
      <c r="T616" s="1">
        <v>42059</v>
      </c>
      <c r="U616">
        <v>87.03</v>
      </c>
      <c r="V616">
        <v>8</v>
      </c>
      <c r="W616">
        <v>273.33999999999997</v>
      </c>
      <c r="X616">
        <v>90871</v>
      </c>
      <c r="Y616">
        <f>cleaneddata[[#This Row],[Unit Price]]-cleaneddata[[#This Row],[Discount]]</f>
        <v>33.25</v>
      </c>
      <c r="Z61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17" spans="1:26" x14ac:dyDescent="0.3">
      <c r="A617">
        <v>508</v>
      </c>
      <c r="B617" t="s">
        <v>1305</v>
      </c>
      <c r="C617" t="s">
        <v>13</v>
      </c>
      <c r="D617">
        <v>0.01</v>
      </c>
      <c r="E617">
        <v>20.98</v>
      </c>
      <c r="F617">
        <v>53.03</v>
      </c>
      <c r="G617" t="s">
        <v>2</v>
      </c>
      <c r="H617" t="s">
        <v>70</v>
      </c>
      <c r="I617" t="s">
        <v>24</v>
      </c>
      <c r="J617" t="s">
        <v>54</v>
      </c>
      <c r="K617" t="s">
        <v>33</v>
      </c>
      <c r="L617" t="s">
        <v>1066</v>
      </c>
      <c r="M617">
        <v>0.78</v>
      </c>
      <c r="N617" t="s">
        <v>8</v>
      </c>
      <c r="O617" t="s">
        <v>9</v>
      </c>
      <c r="P617" t="s">
        <v>364</v>
      </c>
      <c r="Q617" t="s">
        <v>1306</v>
      </c>
      <c r="R617">
        <v>41011</v>
      </c>
      <c r="S617" s="1">
        <v>42058</v>
      </c>
      <c r="T617" s="1">
        <v>42058</v>
      </c>
      <c r="U617">
        <v>-282.08179999999999</v>
      </c>
      <c r="V617">
        <v>5</v>
      </c>
      <c r="W617">
        <v>123</v>
      </c>
      <c r="X617">
        <v>87356</v>
      </c>
      <c r="Y617">
        <f>cleaneddata[[#This Row],[Unit Price]]-cleaneddata[[#This Row],[Discount]]</f>
        <v>20.97</v>
      </c>
      <c r="Z61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18" spans="1:26" x14ac:dyDescent="0.3">
      <c r="A618">
        <v>2892</v>
      </c>
      <c r="B618" t="s">
        <v>1307</v>
      </c>
      <c r="C618" t="s">
        <v>13</v>
      </c>
      <c r="D618">
        <v>0.1</v>
      </c>
      <c r="E618">
        <v>209.37</v>
      </c>
      <c r="F618">
        <v>69</v>
      </c>
      <c r="G618" t="s">
        <v>14</v>
      </c>
      <c r="H618" t="s">
        <v>15</v>
      </c>
      <c r="I618" t="s">
        <v>4</v>
      </c>
      <c r="J618" t="s">
        <v>5</v>
      </c>
      <c r="K618" t="s">
        <v>40</v>
      </c>
      <c r="L618" t="s">
        <v>1200</v>
      </c>
      <c r="M618">
        <v>0.79</v>
      </c>
      <c r="N618" t="s">
        <v>8</v>
      </c>
      <c r="O618" t="s">
        <v>28</v>
      </c>
      <c r="P618" t="s">
        <v>265</v>
      </c>
      <c r="Q618" t="s">
        <v>1308</v>
      </c>
      <c r="R618">
        <v>48154</v>
      </c>
      <c r="S618" s="1">
        <v>42058</v>
      </c>
      <c r="T618" s="1">
        <v>42060</v>
      </c>
      <c r="U618">
        <v>-165.59492040000001</v>
      </c>
      <c r="V618">
        <v>11</v>
      </c>
      <c r="W618">
        <v>2125.12</v>
      </c>
      <c r="X618">
        <v>90011</v>
      </c>
      <c r="Y618">
        <f>cleaneddata[[#This Row],[Unit Price]]-cleaneddata[[#This Row],[Discount]]</f>
        <v>209.27</v>
      </c>
      <c r="Z61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19" spans="1:26" x14ac:dyDescent="0.3">
      <c r="A619">
        <v>2893</v>
      </c>
      <c r="B619" t="s">
        <v>1309</v>
      </c>
      <c r="C619" t="s">
        <v>13</v>
      </c>
      <c r="D619">
        <v>7.0000000000000007E-2</v>
      </c>
      <c r="E619">
        <v>4.9800000000000004</v>
      </c>
      <c r="F619">
        <v>4.7</v>
      </c>
      <c r="G619" t="s">
        <v>14</v>
      </c>
      <c r="H619" t="s">
        <v>15</v>
      </c>
      <c r="I619" t="s">
        <v>24</v>
      </c>
      <c r="J619" t="s">
        <v>64</v>
      </c>
      <c r="K619" t="s">
        <v>49</v>
      </c>
      <c r="L619" t="s">
        <v>1310</v>
      </c>
      <c r="M619">
        <v>0.38</v>
      </c>
      <c r="N619" t="s">
        <v>8</v>
      </c>
      <c r="O619" t="s">
        <v>28</v>
      </c>
      <c r="P619" t="s">
        <v>265</v>
      </c>
      <c r="Q619" t="s">
        <v>486</v>
      </c>
      <c r="R619">
        <v>48071</v>
      </c>
      <c r="S619" s="1">
        <v>42058</v>
      </c>
      <c r="T619" s="1">
        <v>42059</v>
      </c>
      <c r="U619">
        <v>-21.684000000000001</v>
      </c>
      <c r="V619">
        <v>9</v>
      </c>
      <c r="W619">
        <v>45.05</v>
      </c>
      <c r="X619">
        <v>90011</v>
      </c>
      <c r="Y619">
        <f>cleaneddata[[#This Row],[Unit Price]]-cleaneddata[[#This Row],[Discount]]</f>
        <v>4.91</v>
      </c>
      <c r="Z61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20" spans="1:26" x14ac:dyDescent="0.3">
      <c r="A620">
        <v>247</v>
      </c>
      <c r="B620" t="s">
        <v>1311</v>
      </c>
      <c r="C620" t="s">
        <v>92</v>
      </c>
      <c r="D620">
        <v>0.02</v>
      </c>
      <c r="E620">
        <v>146.05000000000001</v>
      </c>
      <c r="F620">
        <v>80.2</v>
      </c>
      <c r="G620" t="s">
        <v>2</v>
      </c>
      <c r="H620" t="s">
        <v>70</v>
      </c>
      <c r="I620" t="s">
        <v>4</v>
      </c>
      <c r="J620" t="s">
        <v>5</v>
      </c>
      <c r="K620" t="s">
        <v>6</v>
      </c>
      <c r="L620" t="s">
        <v>947</v>
      </c>
      <c r="M620">
        <v>0.71</v>
      </c>
      <c r="N620" t="s">
        <v>8</v>
      </c>
      <c r="O620" t="s">
        <v>9</v>
      </c>
      <c r="P620" t="s">
        <v>376</v>
      </c>
      <c r="Q620" t="s">
        <v>1312</v>
      </c>
      <c r="R620">
        <v>37804</v>
      </c>
      <c r="S620" s="1">
        <v>42058</v>
      </c>
      <c r="T620" s="1">
        <v>42058</v>
      </c>
      <c r="U620">
        <v>-101.19199999999999</v>
      </c>
      <c r="V620">
        <v>5</v>
      </c>
      <c r="W620">
        <v>798.69</v>
      </c>
      <c r="X620">
        <v>89139</v>
      </c>
      <c r="Y620">
        <f>cleaneddata[[#This Row],[Unit Price]]-cleaneddata[[#This Row],[Discount]]</f>
        <v>146.03</v>
      </c>
      <c r="Z62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21" spans="1:26" x14ac:dyDescent="0.3">
      <c r="A621">
        <v>247</v>
      </c>
      <c r="B621" t="s">
        <v>1311</v>
      </c>
      <c r="C621" t="s">
        <v>92</v>
      </c>
      <c r="D621">
        <v>0.06</v>
      </c>
      <c r="E621">
        <v>65.989999999999995</v>
      </c>
      <c r="F621">
        <v>5.92</v>
      </c>
      <c r="G621" t="s">
        <v>14</v>
      </c>
      <c r="H621" t="s">
        <v>70</v>
      </c>
      <c r="I621" t="s">
        <v>16</v>
      </c>
      <c r="J621" t="s">
        <v>111</v>
      </c>
      <c r="K621" t="s">
        <v>49</v>
      </c>
      <c r="L621" t="s">
        <v>240</v>
      </c>
      <c r="M621">
        <v>0.55000000000000004</v>
      </c>
      <c r="N621" t="s">
        <v>8</v>
      </c>
      <c r="O621" t="s">
        <v>9</v>
      </c>
      <c r="P621" t="s">
        <v>376</v>
      </c>
      <c r="Q621" t="s">
        <v>1312</v>
      </c>
      <c r="R621">
        <v>37804</v>
      </c>
      <c r="S621" s="1">
        <v>42058</v>
      </c>
      <c r="T621" s="1">
        <v>42059</v>
      </c>
      <c r="U621">
        <v>-3.3319999999999999</v>
      </c>
      <c r="V621">
        <v>14</v>
      </c>
      <c r="W621">
        <v>792.11</v>
      </c>
      <c r="X621">
        <v>89139</v>
      </c>
      <c r="Y621">
        <f>cleaneddata[[#This Row],[Unit Price]]-cleaneddata[[#This Row],[Discount]]</f>
        <v>65.929999999999993</v>
      </c>
      <c r="Z62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22" spans="1:26" x14ac:dyDescent="0.3">
      <c r="A622">
        <v>1649</v>
      </c>
      <c r="B622" t="s">
        <v>1313</v>
      </c>
      <c r="C622" t="s">
        <v>1</v>
      </c>
      <c r="D622">
        <v>0.03</v>
      </c>
      <c r="E622">
        <v>48.58</v>
      </c>
      <c r="F622">
        <v>3.99</v>
      </c>
      <c r="G622" t="s">
        <v>63</v>
      </c>
      <c r="H622" t="s">
        <v>70</v>
      </c>
      <c r="I622" t="s">
        <v>24</v>
      </c>
      <c r="J622" t="s">
        <v>71</v>
      </c>
      <c r="K622" t="s">
        <v>49</v>
      </c>
      <c r="L622" t="s">
        <v>1314</v>
      </c>
      <c r="M622">
        <v>0.56000000000000005</v>
      </c>
      <c r="N622" t="s">
        <v>8</v>
      </c>
      <c r="O622" t="s">
        <v>87</v>
      </c>
      <c r="P622" t="s">
        <v>88</v>
      </c>
      <c r="Q622" t="s">
        <v>518</v>
      </c>
      <c r="R622">
        <v>11598</v>
      </c>
      <c r="S622" s="1">
        <v>42059</v>
      </c>
      <c r="T622" s="1">
        <v>42061</v>
      </c>
      <c r="U622">
        <v>100.1328</v>
      </c>
      <c r="V622">
        <v>3</v>
      </c>
      <c r="W622">
        <v>145.12</v>
      </c>
      <c r="X622">
        <v>91041</v>
      </c>
      <c r="Y622">
        <f>cleaneddata[[#This Row],[Unit Price]]-cleaneddata[[#This Row],[Discount]]</f>
        <v>48.55</v>
      </c>
      <c r="Z62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23" spans="1:26" x14ac:dyDescent="0.3">
      <c r="A623">
        <v>1894</v>
      </c>
      <c r="B623" t="s">
        <v>1315</v>
      </c>
      <c r="C623" t="s">
        <v>1</v>
      </c>
      <c r="D623">
        <v>0</v>
      </c>
      <c r="E623">
        <v>300.98</v>
      </c>
      <c r="F623">
        <v>164.73</v>
      </c>
      <c r="G623" t="s">
        <v>2</v>
      </c>
      <c r="H623" t="s">
        <v>47</v>
      </c>
      <c r="I623" t="s">
        <v>4</v>
      </c>
      <c r="J623" t="s">
        <v>85</v>
      </c>
      <c r="K623" t="s">
        <v>33</v>
      </c>
      <c r="L623" t="s">
        <v>1316</v>
      </c>
      <c r="M623">
        <v>0.56000000000000005</v>
      </c>
      <c r="N623" t="s">
        <v>8</v>
      </c>
      <c r="O623" t="s">
        <v>28</v>
      </c>
      <c r="P623" t="s">
        <v>333</v>
      </c>
      <c r="Q623" t="s">
        <v>1317</v>
      </c>
      <c r="R623">
        <v>54915</v>
      </c>
      <c r="S623" s="1">
        <v>42059</v>
      </c>
      <c r="T623" s="1">
        <v>42060</v>
      </c>
      <c r="U623">
        <v>2653.2914999999998</v>
      </c>
      <c r="V623">
        <v>12</v>
      </c>
      <c r="W623">
        <v>3845.35</v>
      </c>
      <c r="X623">
        <v>91261</v>
      </c>
      <c r="Y623">
        <f>cleaneddata[[#This Row],[Unit Price]]-cleaneddata[[#This Row],[Discount]]</f>
        <v>300.98</v>
      </c>
      <c r="Z62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24" spans="1:26" x14ac:dyDescent="0.3">
      <c r="A624">
        <v>1894</v>
      </c>
      <c r="B624" t="s">
        <v>1315</v>
      </c>
      <c r="C624" t="s">
        <v>1</v>
      </c>
      <c r="D624">
        <v>0.09</v>
      </c>
      <c r="E624">
        <v>2.94</v>
      </c>
      <c r="F624">
        <v>0.96</v>
      </c>
      <c r="G624" t="s">
        <v>14</v>
      </c>
      <c r="H624" t="s">
        <v>47</v>
      </c>
      <c r="I624" t="s">
        <v>24</v>
      </c>
      <c r="J624" t="s">
        <v>25</v>
      </c>
      <c r="K624" t="s">
        <v>26</v>
      </c>
      <c r="L624" t="s">
        <v>805</v>
      </c>
      <c r="M624">
        <v>0.57999999999999996</v>
      </c>
      <c r="N624" t="s">
        <v>8</v>
      </c>
      <c r="O624" t="s">
        <v>28</v>
      </c>
      <c r="P624" t="s">
        <v>333</v>
      </c>
      <c r="Q624" t="s">
        <v>1317</v>
      </c>
      <c r="R624">
        <v>54915</v>
      </c>
      <c r="S624" s="1">
        <v>42059</v>
      </c>
      <c r="T624" s="1">
        <v>42061</v>
      </c>
      <c r="U624">
        <v>-1.84</v>
      </c>
      <c r="V624">
        <v>1</v>
      </c>
      <c r="W624">
        <v>3.77</v>
      </c>
      <c r="X624">
        <v>91261</v>
      </c>
      <c r="Y624">
        <f>cleaneddata[[#This Row],[Unit Price]]-cleaneddata[[#This Row],[Discount]]</f>
        <v>2.85</v>
      </c>
      <c r="Z6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25" spans="1:26" x14ac:dyDescent="0.3">
      <c r="A625">
        <v>1919</v>
      </c>
      <c r="B625" t="s">
        <v>1318</v>
      </c>
      <c r="C625" t="s">
        <v>13</v>
      </c>
      <c r="D625">
        <v>0</v>
      </c>
      <c r="E625">
        <v>195.99</v>
      </c>
      <c r="F625">
        <v>8.99</v>
      </c>
      <c r="G625" t="s">
        <v>14</v>
      </c>
      <c r="H625" t="s">
        <v>47</v>
      </c>
      <c r="I625" t="s">
        <v>16</v>
      </c>
      <c r="J625" t="s">
        <v>111</v>
      </c>
      <c r="K625" t="s">
        <v>49</v>
      </c>
      <c r="L625" t="s">
        <v>1319</v>
      </c>
      <c r="M625">
        <v>0.6</v>
      </c>
      <c r="N625" t="s">
        <v>8</v>
      </c>
      <c r="O625" t="s">
        <v>9</v>
      </c>
      <c r="P625" t="s">
        <v>20</v>
      </c>
      <c r="Q625" t="s">
        <v>1320</v>
      </c>
      <c r="R625">
        <v>71603</v>
      </c>
      <c r="S625" s="1">
        <v>42059</v>
      </c>
      <c r="T625" s="1">
        <v>42060</v>
      </c>
      <c r="U625">
        <v>114.88200000000001</v>
      </c>
      <c r="V625">
        <v>5</v>
      </c>
      <c r="W625">
        <v>882.93</v>
      </c>
      <c r="X625">
        <v>85896</v>
      </c>
      <c r="Y625">
        <f>cleaneddata[[#This Row],[Unit Price]]-cleaneddata[[#This Row],[Discount]]</f>
        <v>195.99</v>
      </c>
      <c r="Z62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26" spans="1:26" x14ac:dyDescent="0.3">
      <c r="A626">
        <v>1127</v>
      </c>
      <c r="B626" t="s">
        <v>1321</v>
      </c>
      <c r="C626" t="s">
        <v>92</v>
      </c>
      <c r="D626">
        <v>0.02</v>
      </c>
      <c r="E626">
        <v>4.0599999999999996</v>
      </c>
      <c r="F626">
        <v>6.89</v>
      </c>
      <c r="G626" t="s">
        <v>14</v>
      </c>
      <c r="H626" t="s">
        <v>15</v>
      </c>
      <c r="I626" t="s">
        <v>24</v>
      </c>
      <c r="J626" t="s">
        <v>71</v>
      </c>
      <c r="K626" t="s">
        <v>49</v>
      </c>
      <c r="L626" t="s">
        <v>1247</v>
      </c>
      <c r="M626">
        <v>0.6</v>
      </c>
      <c r="N626" t="s">
        <v>8</v>
      </c>
      <c r="O626" t="s">
        <v>28</v>
      </c>
      <c r="P626" t="s">
        <v>163</v>
      </c>
      <c r="Q626" t="s">
        <v>1322</v>
      </c>
      <c r="R626">
        <v>78852</v>
      </c>
      <c r="S626" s="1">
        <v>42059</v>
      </c>
      <c r="T626" s="1">
        <v>42061</v>
      </c>
      <c r="U626">
        <v>-93.735200000000006</v>
      </c>
      <c r="V626">
        <v>16</v>
      </c>
      <c r="W626">
        <v>66.81</v>
      </c>
      <c r="X626">
        <v>87221</v>
      </c>
      <c r="Y626">
        <f>cleaneddata[[#This Row],[Unit Price]]-cleaneddata[[#This Row],[Discount]]</f>
        <v>4.04</v>
      </c>
      <c r="Z62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27" spans="1:26" x14ac:dyDescent="0.3">
      <c r="A627">
        <v>961</v>
      </c>
      <c r="B627" t="s">
        <v>1323</v>
      </c>
      <c r="C627" t="s">
        <v>46</v>
      </c>
      <c r="D627">
        <v>0.05</v>
      </c>
      <c r="E627">
        <v>124.49</v>
      </c>
      <c r="F627">
        <v>51.94</v>
      </c>
      <c r="G627" t="s">
        <v>2</v>
      </c>
      <c r="H627" t="s">
        <v>47</v>
      </c>
      <c r="I627" t="s">
        <v>4</v>
      </c>
      <c r="J627" t="s">
        <v>5</v>
      </c>
      <c r="K627" t="s">
        <v>6</v>
      </c>
      <c r="L627" t="s">
        <v>1125</v>
      </c>
      <c r="M627">
        <v>0.63</v>
      </c>
      <c r="N627" t="s">
        <v>8</v>
      </c>
      <c r="O627" t="s">
        <v>35</v>
      </c>
      <c r="P627" t="s">
        <v>66</v>
      </c>
      <c r="Q627" t="s">
        <v>1324</v>
      </c>
      <c r="R627">
        <v>94061</v>
      </c>
      <c r="S627" s="1">
        <v>42059</v>
      </c>
      <c r="T627" s="1">
        <v>42059</v>
      </c>
      <c r="U627">
        <v>-44.163600000000002</v>
      </c>
      <c r="V627">
        <v>1</v>
      </c>
      <c r="W627">
        <v>120.12</v>
      </c>
      <c r="X627">
        <v>89402</v>
      </c>
      <c r="Y627">
        <f>cleaneddata[[#This Row],[Unit Price]]-cleaneddata[[#This Row],[Discount]]</f>
        <v>124.44</v>
      </c>
      <c r="Z6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28" spans="1:26" x14ac:dyDescent="0.3">
      <c r="A628">
        <v>2398</v>
      </c>
      <c r="B628" t="s">
        <v>1325</v>
      </c>
      <c r="C628" t="s">
        <v>46</v>
      </c>
      <c r="D628">
        <v>0.03</v>
      </c>
      <c r="E628">
        <v>7.64</v>
      </c>
      <c r="F628">
        <v>5.83</v>
      </c>
      <c r="G628" t="s">
        <v>14</v>
      </c>
      <c r="H628" t="s">
        <v>70</v>
      </c>
      <c r="I628" t="s">
        <v>24</v>
      </c>
      <c r="J628" t="s">
        <v>64</v>
      </c>
      <c r="K628" t="s">
        <v>26</v>
      </c>
      <c r="L628" t="s">
        <v>208</v>
      </c>
      <c r="M628">
        <v>0.36</v>
      </c>
      <c r="N628" t="s">
        <v>8</v>
      </c>
      <c r="O628" t="s">
        <v>28</v>
      </c>
      <c r="P628" t="s">
        <v>79</v>
      </c>
      <c r="Q628" t="s">
        <v>1326</v>
      </c>
      <c r="R628">
        <v>60103</v>
      </c>
      <c r="S628" s="1">
        <v>42059</v>
      </c>
      <c r="T628" s="1">
        <v>42061</v>
      </c>
      <c r="U628">
        <v>-15.090400000000001</v>
      </c>
      <c r="V628">
        <v>12</v>
      </c>
      <c r="W628">
        <v>96.86</v>
      </c>
      <c r="X628">
        <v>86373</v>
      </c>
      <c r="Y628">
        <f>cleaneddata[[#This Row],[Unit Price]]-cleaneddata[[#This Row],[Discount]]</f>
        <v>7.6099999999999994</v>
      </c>
      <c r="Z6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29" spans="1:26" x14ac:dyDescent="0.3">
      <c r="A629">
        <v>1193</v>
      </c>
      <c r="B629" t="s">
        <v>1327</v>
      </c>
      <c r="C629" t="s">
        <v>13</v>
      </c>
      <c r="D629">
        <v>0.05</v>
      </c>
      <c r="E629">
        <v>52.4</v>
      </c>
      <c r="F629">
        <v>16.11</v>
      </c>
      <c r="G629" t="s">
        <v>14</v>
      </c>
      <c r="H629" t="s">
        <v>15</v>
      </c>
      <c r="I629" t="s">
        <v>24</v>
      </c>
      <c r="J629" t="s">
        <v>48</v>
      </c>
      <c r="K629" t="s">
        <v>49</v>
      </c>
      <c r="L629" t="s">
        <v>1328</v>
      </c>
      <c r="M629">
        <v>0.39</v>
      </c>
      <c r="N629" t="s">
        <v>8</v>
      </c>
      <c r="O629" t="s">
        <v>87</v>
      </c>
      <c r="P629" t="s">
        <v>350</v>
      </c>
      <c r="Q629" t="s">
        <v>42</v>
      </c>
      <c r="R629">
        <v>20016</v>
      </c>
      <c r="S629" s="1">
        <v>42060</v>
      </c>
      <c r="T629" s="1">
        <v>42062</v>
      </c>
      <c r="U629">
        <v>592.52650000000006</v>
      </c>
      <c r="V629">
        <v>85</v>
      </c>
      <c r="W629">
        <v>4556.63</v>
      </c>
      <c r="X629">
        <v>29350</v>
      </c>
      <c r="Y629">
        <f>cleaneddata[[#This Row],[Unit Price]]-cleaneddata[[#This Row],[Discount]]</f>
        <v>52.35</v>
      </c>
      <c r="Z62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30" spans="1:26" x14ac:dyDescent="0.3">
      <c r="A630">
        <v>1193</v>
      </c>
      <c r="B630" t="s">
        <v>1327</v>
      </c>
      <c r="C630" t="s">
        <v>13</v>
      </c>
      <c r="D630">
        <v>0.05</v>
      </c>
      <c r="E630">
        <v>36.549999999999997</v>
      </c>
      <c r="F630">
        <v>13.89</v>
      </c>
      <c r="G630" t="s">
        <v>63</v>
      </c>
      <c r="H630" t="s">
        <v>15</v>
      </c>
      <c r="I630" t="s">
        <v>24</v>
      </c>
      <c r="J630" t="s">
        <v>25</v>
      </c>
      <c r="K630" t="s">
        <v>26</v>
      </c>
      <c r="L630" t="s">
        <v>1329</v>
      </c>
      <c r="M630">
        <v>0.41</v>
      </c>
      <c r="N630" t="s">
        <v>8</v>
      </c>
      <c r="O630" t="s">
        <v>87</v>
      </c>
      <c r="P630" t="s">
        <v>350</v>
      </c>
      <c r="Q630" t="s">
        <v>42</v>
      </c>
      <c r="R630">
        <v>20016</v>
      </c>
      <c r="S630" s="1">
        <v>42060</v>
      </c>
      <c r="T630" s="1">
        <v>42061</v>
      </c>
      <c r="U630">
        <v>232.8</v>
      </c>
      <c r="V630">
        <v>83</v>
      </c>
      <c r="W630">
        <v>2948.61</v>
      </c>
      <c r="X630">
        <v>29350</v>
      </c>
      <c r="Y630">
        <f>cleaneddata[[#This Row],[Unit Price]]-cleaneddata[[#This Row],[Discount]]</f>
        <v>36.5</v>
      </c>
      <c r="Z63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31" spans="1:26" x14ac:dyDescent="0.3">
      <c r="A631">
        <v>1199</v>
      </c>
      <c r="B631" t="s">
        <v>1330</v>
      </c>
      <c r="C631" t="s">
        <v>13</v>
      </c>
      <c r="D631">
        <v>0.1</v>
      </c>
      <c r="E631">
        <v>15.14</v>
      </c>
      <c r="F631">
        <v>4.53</v>
      </c>
      <c r="G631" t="s">
        <v>14</v>
      </c>
      <c r="H631" t="s">
        <v>15</v>
      </c>
      <c r="I631" t="s">
        <v>24</v>
      </c>
      <c r="J631" t="s">
        <v>54</v>
      </c>
      <c r="K631" t="s">
        <v>49</v>
      </c>
      <c r="L631" t="s">
        <v>1331</v>
      </c>
      <c r="M631">
        <v>0.81</v>
      </c>
      <c r="N631" t="s">
        <v>8</v>
      </c>
      <c r="O631" t="s">
        <v>87</v>
      </c>
      <c r="P631" t="s">
        <v>1332</v>
      </c>
      <c r="Q631" t="s">
        <v>1333</v>
      </c>
      <c r="R631">
        <v>3060</v>
      </c>
      <c r="S631" s="1">
        <v>42060</v>
      </c>
      <c r="T631" s="1">
        <v>42063</v>
      </c>
      <c r="U631">
        <v>-24.897600000000001</v>
      </c>
      <c r="V631">
        <v>5</v>
      </c>
      <c r="W631">
        <v>75.17</v>
      </c>
      <c r="X631">
        <v>87585</v>
      </c>
      <c r="Y631">
        <f>cleaneddata[[#This Row],[Unit Price]]-cleaneddata[[#This Row],[Discount]]</f>
        <v>15.040000000000001</v>
      </c>
      <c r="Z63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32" spans="1:26" x14ac:dyDescent="0.3">
      <c r="A632">
        <v>1200</v>
      </c>
      <c r="B632" t="s">
        <v>1334</v>
      </c>
      <c r="C632" t="s">
        <v>13</v>
      </c>
      <c r="D632">
        <v>0.05</v>
      </c>
      <c r="E632">
        <v>52.4</v>
      </c>
      <c r="F632">
        <v>16.11</v>
      </c>
      <c r="G632" t="s">
        <v>14</v>
      </c>
      <c r="H632" t="s">
        <v>15</v>
      </c>
      <c r="I632" t="s">
        <v>24</v>
      </c>
      <c r="J632" t="s">
        <v>48</v>
      </c>
      <c r="K632" t="s">
        <v>49</v>
      </c>
      <c r="L632" t="s">
        <v>1328</v>
      </c>
      <c r="M632">
        <v>0.39</v>
      </c>
      <c r="N632" t="s">
        <v>8</v>
      </c>
      <c r="O632" t="s">
        <v>87</v>
      </c>
      <c r="P632" t="s">
        <v>373</v>
      </c>
      <c r="Q632" t="s">
        <v>1335</v>
      </c>
      <c r="R632">
        <v>7407</v>
      </c>
      <c r="S632" s="1">
        <v>42060</v>
      </c>
      <c r="T632" s="1">
        <v>42062</v>
      </c>
      <c r="U632">
        <v>776.77440000000001</v>
      </c>
      <c r="V632">
        <v>21</v>
      </c>
      <c r="W632">
        <v>1125.76</v>
      </c>
      <c r="X632">
        <v>87585</v>
      </c>
      <c r="Y632">
        <f>cleaneddata[[#This Row],[Unit Price]]-cleaneddata[[#This Row],[Discount]]</f>
        <v>52.35</v>
      </c>
      <c r="Z6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33" spans="1:26" x14ac:dyDescent="0.3">
      <c r="A633">
        <v>1202</v>
      </c>
      <c r="B633" t="s">
        <v>1336</v>
      </c>
      <c r="C633" t="s">
        <v>13</v>
      </c>
      <c r="D633">
        <v>0.05</v>
      </c>
      <c r="E633">
        <v>36.549999999999997</v>
      </c>
      <c r="F633">
        <v>13.89</v>
      </c>
      <c r="G633" t="s">
        <v>63</v>
      </c>
      <c r="H633" t="s">
        <v>15</v>
      </c>
      <c r="I633" t="s">
        <v>24</v>
      </c>
      <c r="J633" t="s">
        <v>25</v>
      </c>
      <c r="K633" t="s">
        <v>26</v>
      </c>
      <c r="L633" t="s">
        <v>1329</v>
      </c>
      <c r="M633">
        <v>0.41</v>
      </c>
      <c r="N633" t="s">
        <v>8</v>
      </c>
      <c r="O633" t="s">
        <v>87</v>
      </c>
      <c r="P633" t="s">
        <v>373</v>
      </c>
      <c r="Q633" t="s">
        <v>1337</v>
      </c>
      <c r="R633">
        <v>7079</v>
      </c>
      <c r="S633" s="1">
        <v>42060</v>
      </c>
      <c r="T633" s="1">
        <v>42061</v>
      </c>
      <c r="U633">
        <v>344.54399999999998</v>
      </c>
      <c r="V633">
        <v>21</v>
      </c>
      <c r="W633">
        <v>746.03</v>
      </c>
      <c r="X633">
        <v>87585</v>
      </c>
      <c r="Y633">
        <f>cleaneddata[[#This Row],[Unit Price]]-cleaneddata[[#This Row],[Discount]]</f>
        <v>36.5</v>
      </c>
      <c r="Z63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34" spans="1:26" x14ac:dyDescent="0.3">
      <c r="A634">
        <v>2361</v>
      </c>
      <c r="B634" t="s">
        <v>1338</v>
      </c>
      <c r="C634" t="s">
        <v>13</v>
      </c>
      <c r="D634">
        <v>0.06</v>
      </c>
      <c r="E634">
        <v>8.33</v>
      </c>
      <c r="F634">
        <v>1.99</v>
      </c>
      <c r="G634" t="s">
        <v>14</v>
      </c>
      <c r="H634" t="s">
        <v>70</v>
      </c>
      <c r="I634" t="s">
        <v>16</v>
      </c>
      <c r="J634" t="s">
        <v>17</v>
      </c>
      <c r="K634" t="s">
        <v>18</v>
      </c>
      <c r="L634" t="s">
        <v>1150</v>
      </c>
      <c r="M634">
        <v>0.52</v>
      </c>
      <c r="N634" t="s">
        <v>8</v>
      </c>
      <c r="O634" t="s">
        <v>9</v>
      </c>
      <c r="P634" t="s">
        <v>99</v>
      </c>
      <c r="Q634" t="s">
        <v>1339</v>
      </c>
      <c r="R634">
        <v>32259</v>
      </c>
      <c r="S634" s="1">
        <v>42060</v>
      </c>
      <c r="T634" s="1">
        <v>42061</v>
      </c>
      <c r="U634">
        <v>-344.82</v>
      </c>
      <c r="V634">
        <v>1</v>
      </c>
      <c r="W634">
        <v>8.49</v>
      </c>
      <c r="X634">
        <v>88266</v>
      </c>
      <c r="Y634">
        <f>cleaneddata[[#This Row],[Unit Price]]-cleaneddata[[#This Row],[Discount]]</f>
        <v>8.27</v>
      </c>
      <c r="Z63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35" spans="1:26" x14ac:dyDescent="0.3">
      <c r="A635">
        <v>851</v>
      </c>
      <c r="B635" t="s">
        <v>1340</v>
      </c>
      <c r="C635" t="s">
        <v>23</v>
      </c>
      <c r="D635">
        <v>0.1</v>
      </c>
      <c r="E635">
        <v>50.98</v>
      </c>
      <c r="F635">
        <v>22.24</v>
      </c>
      <c r="G635" t="s">
        <v>14</v>
      </c>
      <c r="H635" t="s">
        <v>70</v>
      </c>
      <c r="I635" t="s">
        <v>4</v>
      </c>
      <c r="J635" t="s">
        <v>102</v>
      </c>
      <c r="K635" t="s">
        <v>40</v>
      </c>
      <c r="L635" t="s">
        <v>1341</v>
      </c>
      <c r="M635">
        <v>0.55000000000000004</v>
      </c>
      <c r="N635" t="s">
        <v>8</v>
      </c>
      <c r="O635" t="s">
        <v>35</v>
      </c>
      <c r="P635" t="s">
        <v>66</v>
      </c>
      <c r="Q635" t="s">
        <v>1342</v>
      </c>
      <c r="R635">
        <v>91745</v>
      </c>
      <c r="S635" s="1">
        <v>42060</v>
      </c>
      <c r="T635" s="1">
        <v>42062</v>
      </c>
      <c r="U635">
        <v>98.12</v>
      </c>
      <c r="V635">
        <v>6</v>
      </c>
      <c r="W635">
        <v>300.63</v>
      </c>
      <c r="X635">
        <v>88568</v>
      </c>
      <c r="Y635">
        <f>cleaneddata[[#This Row],[Unit Price]]-cleaneddata[[#This Row],[Discount]]</f>
        <v>50.879999999999995</v>
      </c>
      <c r="Z63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36" spans="1:26" x14ac:dyDescent="0.3">
      <c r="A636">
        <v>2980</v>
      </c>
      <c r="B636" t="s">
        <v>797</v>
      </c>
      <c r="C636" t="s">
        <v>92</v>
      </c>
      <c r="D636">
        <v>7.0000000000000007E-2</v>
      </c>
      <c r="E636">
        <v>2.61</v>
      </c>
      <c r="F636">
        <v>0.5</v>
      </c>
      <c r="G636" t="s">
        <v>14</v>
      </c>
      <c r="H636" t="s">
        <v>70</v>
      </c>
      <c r="I636" t="s">
        <v>24</v>
      </c>
      <c r="J636" t="s">
        <v>128</v>
      </c>
      <c r="K636" t="s">
        <v>49</v>
      </c>
      <c r="L636" t="s">
        <v>1343</v>
      </c>
      <c r="M636">
        <v>0.39</v>
      </c>
      <c r="N636" t="s">
        <v>8</v>
      </c>
      <c r="O636" t="s">
        <v>87</v>
      </c>
      <c r="P636" t="s">
        <v>293</v>
      </c>
      <c r="Q636" t="s">
        <v>799</v>
      </c>
      <c r="R636">
        <v>44870</v>
      </c>
      <c r="S636" s="1">
        <v>42060</v>
      </c>
      <c r="T636" s="1">
        <v>42062</v>
      </c>
      <c r="U636">
        <v>10.798500000000001</v>
      </c>
      <c r="V636">
        <v>6</v>
      </c>
      <c r="W636">
        <v>15.65</v>
      </c>
      <c r="X636">
        <v>86547</v>
      </c>
      <c r="Y636">
        <f>cleaneddata[[#This Row],[Unit Price]]-cleaneddata[[#This Row],[Discount]]</f>
        <v>2.54</v>
      </c>
      <c r="Z6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37" spans="1:26" x14ac:dyDescent="0.3">
      <c r="A637">
        <v>868</v>
      </c>
      <c r="B637" t="s">
        <v>1344</v>
      </c>
      <c r="C637" t="s">
        <v>46</v>
      </c>
      <c r="D637">
        <v>0.04</v>
      </c>
      <c r="E637">
        <v>29.18</v>
      </c>
      <c r="F637">
        <v>8.5500000000000007</v>
      </c>
      <c r="G637" t="s">
        <v>63</v>
      </c>
      <c r="H637" t="s">
        <v>70</v>
      </c>
      <c r="I637" t="s">
        <v>4</v>
      </c>
      <c r="J637" t="s">
        <v>102</v>
      </c>
      <c r="K637" t="s">
        <v>49</v>
      </c>
      <c r="L637" t="s">
        <v>1345</v>
      </c>
      <c r="M637">
        <v>0.42</v>
      </c>
      <c r="N637" t="s">
        <v>8</v>
      </c>
      <c r="O637" t="s">
        <v>28</v>
      </c>
      <c r="P637" t="s">
        <v>60</v>
      </c>
      <c r="Q637" t="s">
        <v>1346</v>
      </c>
      <c r="R637">
        <v>55126</v>
      </c>
      <c r="S637" s="1">
        <v>42060</v>
      </c>
      <c r="T637" s="1">
        <v>42062</v>
      </c>
      <c r="U637">
        <v>201.7353</v>
      </c>
      <c r="V637">
        <v>10</v>
      </c>
      <c r="W637">
        <v>292.37</v>
      </c>
      <c r="X637">
        <v>91194</v>
      </c>
      <c r="Y637">
        <f>cleaneddata[[#This Row],[Unit Price]]-cleaneddata[[#This Row],[Discount]]</f>
        <v>29.14</v>
      </c>
      <c r="Z6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38" spans="1:26" x14ac:dyDescent="0.3">
      <c r="A638">
        <v>868</v>
      </c>
      <c r="B638" t="s">
        <v>1344</v>
      </c>
      <c r="C638" t="s">
        <v>46</v>
      </c>
      <c r="D638">
        <v>0</v>
      </c>
      <c r="E638">
        <v>80.98</v>
      </c>
      <c r="F638">
        <v>35</v>
      </c>
      <c r="G638" t="s">
        <v>14</v>
      </c>
      <c r="H638" t="s">
        <v>70</v>
      </c>
      <c r="I638" t="s">
        <v>24</v>
      </c>
      <c r="J638" t="s">
        <v>54</v>
      </c>
      <c r="K638" t="s">
        <v>40</v>
      </c>
      <c r="L638" t="s">
        <v>683</v>
      </c>
      <c r="M638">
        <v>0.83</v>
      </c>
      <c r="N638" t="s">
        <v>8</v>
      </c>
      <c r="O638" t="s">
        <v>28</v>
      </c>
      <c r="P638" t="s">
        <v>60</v>
      </c>
      <c r="Q638" t="s">
        <v>1346</v>
      </c>
      <c r="R638">
        <v>55126</v>
      </c>
      <c r="S638" s="1">
        <v>42060</v>
      </c>
      <c r="T638" s="1">
        <v>42062</v>
      </c>
      <c r="U638">
        <v>-684.78</v>
      </c>
      <c r="V638">
        <v>8</v>
      </c>
      <c r="W638">
        <v>682.79</v>
      </c>
      <c r="X638">
        <v>91194</v>
      </c>
      <c r="Y638">
        <f>cleaneddata[[#This Row],[Unit Price]]-cleaneddata[[#This Row],[Discount]]</f>
        <v>80.98</v>
      </c>
      <c r="Z63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39" spans="1:26" x14ac:dyDescent="0.3">
      <c r="A639">
        <v>907</v>
      </c>
      <c r="B639" t="s">
        <v>1347</v>
      </c>
      <c r="C639" t="s">
        <v>1</v>
      </c>
      <c r="D639">
        <v>0.09</v>
      </c>
      <c r="E639">
        <v>35.99</v>
      </c>
      <c r="F639">
        <v>5.99</v>
      </c>
      <c r="G639" t="s">
        <v>14</v>
      </c>
      <c r="H639" t="s">
        <v>47</v>
      </c>
      <c r="I639" t="s">
        <v>16</v>
      </c>
      <c r="J639" t="s">
        <v>111</v>
      </c>
      <c r="K639" t="s">
        <v>26</v>
      </c>
      <c r="L639" t="s">
        <v>1348</v>
      </c>
      <c r="M639">
        <v>0.38</v>
      </c>
      <c r="N639" t="s">
        <v>8</v>
      </c>
      <c r="O639" t="s">
        <v>9</v>
      </c>
      <c r="P639" t="s">
        <v>364</v>
      </c>
      <c r="Q639" t="s">
        <v>442</v>
      </c>
      <c r="R639">
        <v>42420</v>
      </c>
      <c r="S639" s="1">
        <v>42061</v>
      </c>
      <c r="T639" s="1">
        <v>42062</v>
      </c>
      <c r="U639">
        <v>114.3165</v>
      </c>
      <c r="V639">
        <v>5</v>
      </c>
      <c r="W639">
        <v>151.6</v>
      </c>
      <c r="X639">
        <v>86459</v>
      </c>
      <c r="Y639">
        <f>cleaneddata[[#This Row],[Unit Price]]-cleaneddata[[#This Row],[Discount]]</f>
        <v>35.9</v>
      </c>
      <c r="Z6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40" spans="1:26" x14ac:dyDescent="0.3">
      <c r="A640">
        <v>1639</v>
      </c>
      <c r="B640" t="s">
        <v>1349</v>
      </c>
      <c r="C640" t="s">
        <v>1</v>
      </c>
      <c r="D640">
        <v>0.08</v>
      </c>
      <c r="E640">
        <v>55.48</v>
      </c>
      <c r="F640">
        <v>6.79</v>
      </c>
      <c r="G640" t="s">
        <v>14</v>
      </c>
      <c r="H640" t="s">
        <v>47</v>
      </c>
      <c r="I640" t="s">
        <v>24</v>
      </c>
      <c r="J640" t="s">
        <v>64</v>
      </c>
      <c r="K640" t="s">
        <v>49</v>
      </c>
      <c r="L640" t="s">
        <v>1282</v>
      </c>
      <c r="M640">
        <v>0.37</v>
      </c>
      <c r="N640" t="s">
        <v>8</v>
      </c>
      <c r="O640" t="s">
        <v>87</v>
      </c>
      <c r="P640" t="s">
        <v>224</v>
      </c>
      <c r="Q640" t="s">
        <v>1350</v>
      </c>
      <c r="R640">
        <v>6901</v>
      </c>
      <c r="S640" s="1">
        <v>42061</v>
      </c>
      <c r="T640" s="1">
        <v>42063</v>
      </c>
      <c r="U640">
        <v>147.75659999999999</v>
      </c>
      <c r="V640">
        <v>4</v>
      </c>
      <c r="W640">
        <v>214.14</v>
      </c>
      <c r="X640">
        <v>89705</v>
      </c>
      <c r="Y640">
        <f>cleaneddata[[#This Row],[Unit Price]]-cleaneddata[[#This Row],[Discount]]</f>
        <v>55.4</v>
      </c>
      <c r="Z6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41" spans="1:26" x14ac:dyDescent="0.3">
      <c r="A641">
        <v>2114</v>
      </c>
      <c r="B641" t="s">
        <v>1351</v>
      </c>
      <c r="C641" t="s">
        <v>1</v>
      </c>
      <c r="D641">
        <v>7.0000000000000007E-2</v>
      </c>
      <c r="E641">
        <v>226.67</v>
      </c>
      <c r="F641">
        <v>28.16</v>
      </c>
      <c r="G641" t="s">
        <v>2</v>
      </c>
      <c r="H641" t="s">
        <v>70</v>
      </c>
      <c r="I641" t="s">
        <v>4</v>
      </c>
      <c r="J641" t="s">
        <v>85</v>
      </c>
      <c r="K641" t="s">
        <v>33</v>
      </c>
      <c r="L641" t="s">
        <v>1352</v>
      </c>
      <c r="M641">
        <v>0.59</v>
      </c>
      <c r="N641" t="s">
        <v>8</v>
      </c>
      <c r="O641" t="s">
        <v>9</v>
      </c>
      <c r="P641" t="s">
        <v>218</v>
      </c>
      <c r="Q641" t="s">
        <v>1353</v>
      </c>
      <c r="R641">
        <v>23518</v>
      </c>
      <c r="S641" s="1">
        <v>42061</v>
      </c>
      <c r="T641" s="1">
        <v>42062</v>
      </c>
      <c r="U641">
        <v>53.114400000000003</v>
      </c>
      <c r="V641">
        <v>1</v>
      </c>
      <c r="W641">
        <v>255.83</v>
      </c>
      <c r="X641">
        <v>88405</v>
      </c>
      <c r="Y641">
        <f>cleaneddata[[#This Row],[Unit Price]]-cleaneddata[[#This Row],[Discount]]</f>
        <v>226.6</v>
      </c>
      <c r="Z6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42" spans="1:26" x14ac:dyDescent="0.3">
      <c r="A642">
        <v>2114</v>
      </c>
      <c r="B642" t="s">
        <v>1351</v>
      </c>
      <c r="C642" t="s">
        <v>1</v>
      </c>
      <c r="D642">
        <v>0.08</v>
      </c>
      <c r="E642">
        <v>20.98</v>
      </c>
      <c r="F642">
        <v>53.03</v>
      </c>
      <c r="G642" t="s">
        <v>2</v>
      </c>
      <c r="H642" t="s">
        <v>70</v>
      </c>
      <c r="I642" t="s">
        <v>24</v>
      </c>
      <c r="J642" t="s">
        <v>54</v>
      </c>
      <c r="K642" t="s">
        <v>33</v>
      </c>
      <c r="L642" t="s">
        <v>1066</v>
      </c>
      <c r="M642">
        <v>0.78</v>
      </c>
      <c r="N642" t="s">
        <v>8</v>
      </c>
      <c r="O642" t="s">
        <v>9</v>
      </c>
      <c r="P642" t="s">
        <v>218</v>
      </c>
      <c r="Q642" t="s">
        <v>1353</v>
      </c>
      <c r="R642">
        <v>23518</v>
      </c>
      <c r="S642" s="1">
        <v>42061</v>
      </c>
      <c r="T642" s="1">
        <v>42063</v>
      </c>
      <c r="U642">
        <v>8.7420000000000009</v>
      </c>
      <c r="V642">
        <v>20</v>
      </c>
      <c r="W642">
        <v>421.18</v>
      </c>
      <c r="X642">
        <v>88405</v>
      </c>
      <c r="Y642">
        <f>cleaneddata[[#This Row],[Unit Price]]-cleaneddata[[#This Row],[Discount]]</f>
        <v>20.900000000000002</v>
      </c>
      <c r="Z6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43" spans="1:26" x14ac:dyDescent="0.3">
      <c r="A643">
        <v>2979</v>
      </c>
      <c r="B643" t="s">
        <v>794</v>
      </c>
      <c r="C643" t="s">
        <v>1</v>
      </c>
      <c r="D643">
        <v>0.02</v>
      </c>
      <c r="E643">
        <v>5.34</v>
      </c>
      <c r="F643">
        <v>2.99</v>
      </c>
      <c r="G643" t="s">
        <v>14</v>
      </c>
      <c r="H643" t="s">
        <v>70</v>
      </c>
      <c r="I643" t="s">
        <v>24</v>
      </c>
      <c r="J643" t="s">
        <v>48</v>
      </c>
      <c r="K643" t="s">
        <v>49</v>
      </c>
      <c r="L643" t="s">
        <v>1354</v>
      </c>
      <c r="M643">
        <v>0.38</v>
      </c>
      <c r="N643" t="s">
        <v>8</v>
      </c>
      <c r="O643" t="s">
        <v>28</v>
      </c>
      <c r="P643" t="s">
        <v>541</v>
      </c>
      <c r="Q643" t="s">
        <v>796</v>
      </c>
      <c r="R643">
        <v>58601</v>
      </c>
      <c r="S643" s="1">
        <v>42061</v>
      </c>
      <c r="T643" s="1">
        <v>42063</v>
      </c>
      <c r="U643">
        <v>5.2954999999999997</v>
      </c>
      <c r="V643">
        <v>6</v>
      </c>
      <c r="W643">
        <v>34.729999999999997</v>
      </c>
      <c r="X643">
        <v>86545</v>
      </c>
      <c r="Y643">
        <f>cleaneddata[[#This Row],[Unit Price]]-cleaneddata[[#This Row],[Discount]]</f>
        <v>5.32</v>
      </c>
      <c r="Z64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44" spans="1:26" x14ac:dyDescent="0.3">
      <c r="A644">
        <v>2979</v>
      </c>
      <c r="B644" t="s">
        <v>794</v>
      </c>
      <c r="C644" t="s">
        <v>1</v>
      </c>
      <c r="D644">
        <v>0.03</v>
      </c>
      <c r="E644">
        <v>40.98</v>
      </c>
      <c r="F644">
        <v>7.47</v>
      </c>
      <c r="G644" t="s">
        <v>14</v>
      </c>
      <c r="H644" t="s">
        <v>70</v>
      </c>
      <c r="I644" t="s">
        <v>24</v>
      </c>
      <c r="J644" t="s">
        <v>48</v>
      </c>
      <c r="K644" t="s">
        <v>49</v>
      </c>
      <c r="L644" t="s">
        <v>1355</v>
      </c>
      <c r="M644">
        <v>0.37</v>
      </c>
      <c r="N644" t="s">
        <v>8</v>
      </c>
      <c r="O644" t="s">
        <v>28</v>
      </c>
      <c r="P644" t="s">
        <v>541</v>
      </c>
      <c r="Q644" t="s">
        <v>796</v>
      </c>
      <c r="R644">
        <v>58601</v>
      </c>
      <c r="S644" s="1">
        <v>42061</v>
      </c>
      <c r="T644" s="1">
        <v>42062</v>
      </c>
      <c r="U644">
        <v>170.79570000000001</v>
      </c>
      <c r="V644">
        <v>6</v>
      </c>
      <c r="W644">
        <v>247.53</v>
      </c>
      <c r="X644">
        <v>86545</v>
      </c>
      <c r="Y644">
        <f>cleaneddata[[#This Row],[Unit Price]]-cleaneddata[[#This Row],[Discount]]</f>
        <v>40.949999999999996</v>
      </c>
      <c r="Z6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45" spans="1:26" x14ac:dyDescent="0.3">
      <c r="A645">
        <v>573</v>
      </c>
      <c r="B645" t="s">
        <v>1356</v>
      </c>
      <c r="C645" t="s">
        <v>13</v>
      </c>
      <c r="D645">
        <v>0.08</v>
      </c>
      <c r="E645">
        <v>415.88</v>
      </c>
      <c r="F645">
        <v>11.37</v>
      </c>
      <c r="G645" t="s">
        <v>14</v>
      </c>
      <c r="H645" t="s">
        <v>70</v>
      </c>
      <c r="I645" t="s">
        <v>24</v>
      </c>
      <c r="J645" t="s">
        <v>54</v>
      </c>
      <c r="K645" t="s">
        <v>49</v>
      </c>
      <c r="L645" t="s">
        <v>1357</v>
      </c>
      <c r="M645">
        <v>0.56999999999999995</v>
      </c>
      <c r="N645" t="s">
        <v>8</v>
      </c>
      <c r="O645" t="s">
        <v>28</v>
      </c>
      <c r="P645" t="s">
        <v>79</v>
      </c>
      <c r="Q645" t="s">
        <v>1358</v>
      </c>
      <c r="R645">
        <v>61554</v>
      </c>
      <c r="S645" s="1">
        <v>42061</v>
      </c>
      <c r="T645" s="1">
        <v>42062</v>
      </c>
      <c r="U645">
        <v>-269.08440000000002</v>
      </c>
      <c r="V645">
        <v>1</v>
      </c>
      <c r="W645">
        <v>405.57</v>
      </c>
      <c r="X645">
        <v>86556</v>
      </c>
      <c r="Y645">
        <f>cleaneddata[[#This Row],[Unit Price]]-cleaneddata[[#This Row],[Discount]]</f>
        <v>415.8</v>
      </c>
      <c r="Z64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46" spans="1:26" x14ac:dyDescent="0.3">
      <c r="A646">
        <v>1665</v>
      </c>
      <c r="B646" t="s">
        <v>1359</v>
      </c>
      <c r="C646" t="s">
        <v>13</v>
      </c>
      <c r="D646">
        <v>0.1</v>
      </c>
      <c r="E646">
        <v>3.6</v>
      </c>
      <c r="F646">
        <v>2.2000000000000002</v>
      </c>
      <c r="G646" t="s">
        <v>14</v>
      </c>
      <c r="H646" t="s">
        <v>15</v>
      </c>
      <c r="I646" t="s">
        <v>24</v>
      </c>
      <c r="J646" t="s">
        <v>64</v>
      </c>
      <c r="K646" t="s">
        <v>26</v>
      </c>
      <c r="L646" t="s">
        <v>1360</v>
      </c>
      <c r="M646">
        <v>0.39</v>
      </c>
      <c r="N646" t="s">
        <v>8</v>
      </c>
      <c r="O646" t="s">
        <v>35</v>
      </c>
      <c r="P646" t="s">
        <v>66</v>
      </c>
      <c r="Q646" t="s">
        <v>1361</v>
      </c>
      <c r="R646">
        <v>92653</v>
      </c>
      <c r="S646" s="1">
        <v>42061</v>
      </c>
      <c r="T646" s="1">
        <v>42062</v>
      </c>
      <c r="U646">
        <v>-8.2799999999999994</v>
      </c>
      <c r="V646">
        <v>2</v>
      </c>
      <c r="W646">
        <v>6.97</v>
      </c>
      <c r="X646">
        <v>90678</v>
      </c>
      <c r="Y646">
        <f>cleaneddata[[#This Row],[Unit Price]]-cleaneddata[[#This Row],[Discount]]</f>
        <v>3.5</v>
      </c>
      <c r="Z64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47" spans="1:26" x14ac:dyDescent="0.3">
      <c r="A647">
        <v>865</v>
      </c>
      <c r="B647" t="s">
        <v>1362</v>
      </c>
      <c r="C647" t="s">
        <v>23</v>
      </c>
      <c r="D647">
        <v>0.04</v>
      </c>
      <c r="E647">
        <v>6.48</v>
      </c>
      <c r="F647">
        <v>5.16</v>
      </c>
      <c r="G647" t="s">
        <v>63</v>
      </c>
      <c r="H647" t="s">
        <v>70</v>
      </c>
      <c r="I647" t="s">
        <v>24</v>
      </c>
      <c r="J647" t="s">
        <v>64</v>
      </c>
      <c r="K647" t="s">
        <v>49</v>
      </c>
      <c r="L647" t="s">
        <v>1363</v>
      </c>
      <c r="M647">
        <v>0.37</v>
      </c>
      <c r="N647" t="s">
        <v>8</v>
      </c>
      <c r="O647" t="s">
        <v>28</v>
      </c>
      <c r="P647" t="s">
        <v>29</v>
      </c>
      <c r="Q647" t="s">
        <v>1018</v>
      </c>
      <c r="R647">
        <v>46312</v>
      </c>
      <c r="S647" s="1">
        <v>42061</v>
      </c>
      <c r="T647" s="1">
        <v>42065</v>
      </c>
      <c r="U647">
        <v>-11.1332</v>
      </c>
      <c r="V647">
        <v>12</v>
      </c>
      <c r="W647">
        <v>86.79</v>
      </c>
      <c r="X647">
        <v>90675</v>
      </c>
      <c r="Y647">
        <f>cleaneddata[[#This Row],[Unit Price]]-cleaneddata[[#This Row],[Discount]]</f>
        <v>6.44</v>
      </c>
      <c r="Z64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48" spans="1:26" x14ac:dyDescent="0.3">
      <c r="A648">
        <v>621</v>
      </c>
      <c r="B648" t="s">
        <v>1364</v>
      </c>
      <c r="C648" t="s">
        <v>92</v>
      </c>
      <c r="D648">
        <v>0.1</v>
      </c>
      <c r="E648">
        <v>6.88</v>
      </c>
      <c r="F648">
        <v>2</v>
      </c>
      <c r="G648" t="s">
        <v>14</v>
      </c>
      <c r="H648" t="s">
        <v>47</v>
      </c>
      <c r="I648" t="s">
        <v>24</v>
      </c>
      <c r="J648" t="s">
        <v>64</v>
      </c>
      <c r="K648" t="s">
        <v>26</v>
      </c>
      <c r="L648" t="s">
        <v>828</v>
      </c>
      <c r="M648">
        <v>0.39</v>
      </c>
      <c r="N648" t="s">
        <v>8</v>
      </c>
      <c r="O648" t="s">
        <v>87</v>
      </c>
      <c r="P648" t="s">
        <v>224</v>
      </c>
      <c r="Q648" t="s">
        <v>1365</v>
      </c>
      <c r="R648">
        <v>6111</v>
      </c>
      <c r="S648" s="1">
        <v>42061</v>
      </c>
      <c r="T648" s="1">
        <v>42062</v>
      </c>
      <c r="U648">
        <v>18.420000000000002</v>
      </c>
      <c r="V648">
        <v>5</v>
      </c>
      <c r="W648">
        <v>31.46</v>
      </c>
      <c r="X648">
        <v>91432</v>
      </c>
      <c r="Y648">
        <f>cleaneddata[[#This Row],[Unit Price]]-cleaneddata[[#This Row],[Discount]]</f>
        <v>6.78</v>
      </c>
      <c r="Z6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49" spans="1:26" x14ac:dyDescent="0.3">
      <c r="A649">
        <v>622</v>
      </c>
      <c r="B649" t="s">
        <v>1366</v>
      </c>
      <c r="C649" t="s">
        <v>92</v>
      </c>
      <c r="D649">
        <v>0.06</v>
      </c>
      <c r="E649">
        <v>195.99</v>
      </c>
      <c r="F649">
        <v>8.99</v>
      </c>
      <c r="G649" t="s">
        <v>14</v>
      </c>
      <c r="H649" t="s">
        <v>47</v>
      </c>
      <c r="I649" t="s">
        <v>16</v>
      </c>
      <c r="J649" t="s">
        <v>111</v>
      </c>
      <c r="K649" t="s">
        <v>49</v>
      </c>
      <c r="L649" t="s">
        <v>1319</v>
      </c>
      <c r="M649">
        <v>0.6</v>
      </c>
      <c r="N649" t="s">
        <v>8</v>
      </c>
      <c r="O649" t="s">
        <v>87</v>
      </c>
      <c r="P649" t="s">
        <v>307</v>
      </c>
      <c r="Q649" t="s">
        <v>1180</v>
      </c>
      <c r="R649">
        <v>4210</v>
      </c>
      <c r="S649" s="1">
        <v>42061</v>
      </c>
      <c r="T649" s="1">
        <v>42063</v>
      </c>
      <c r="U649">
        <v>349.47</v>
      </c>
      <c r="V649">
        <v>6</v>
      </c>
      <c r="W649">
        <v>948.97</v>
      </c>
      <c r="X649">
        <v>91432</v>
      </c>
      <c r="Y649">
        <f>cleaneddata[[#This Row],[Unit Price]]-cleaneddata[[#This Row],[Discount]]</f>
        <v>195.93</v>
      </c>
      <c r="Z64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50" spans="1:26" x14ac:dyDescent="0.3">
      <c r="A650">
        <v>3063</v>
      </c>
      <c r="B650" t="s">
        <v>1367</v>
      </c>
      <c r="C650" t="s">
        <v>92</v>
      </c>
      <c r="D650">
        <v>7.0000000000000007E-2</v>
      </c>
      <c r="E650">
        <v>8.33</v>
      </c>
      <c r="F650">
        <v>1.99</v>
      </c>
      <c r="G650" t="s">
        <v>14</v>
      </c>
      <c r="H650" t="s">
        <v>15</v>
      </c>
      <c r="I650" t="s">
        <v>16</v>
      </c>
      <c r="J650" t="s">
        <v>17</v>
      </c>
      <c r="K650" t="s">
        <v>18</v>
      </c>
      <c r="L650" t="s">
        <v>1150</v>
      </c>
      <c r="M650">
        <v>0.52</v>
      </c>
      <c r="N650" t="s">
        <v>8</v>
      </c>
      <c r="O650" t="s">
        <v>35</v>
      </c>
      <c r="P650" t="s">
        <v>42</v>
      </c>
      <c r="Q650" t="s">
        <v>1368</v>
      </c>
      <c r="R650">
        <v>98034</v>
      </c>
      <c r="S650" s="1">
        <v>42061</v>
      </c>
      <c r="T650" s="1">
        <v>42063</v>
      </c>
      <c r="U650">
        <v>11.95</v>
      </c>
      <c r="V650">
        <v>6</v>
      </c>
      <c r="W650">
        <v>50.28</v>
      </c>
      <c r="X650">
        <v>88447</v>
      </c>
      <c r="Y650">
        <f>cleaneddata[[#This Row],[Unit Price]]-cleaneddata[[#This Row],[Discount]]</f>
        <v>8.26</v>
      </c>
      <c r="Z65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51" spans="1:26" x14ac:dyDescent="0.3">
      <c r="A651">
        <v>3063</v>
      </c>
      <c r="B651" t="s">
        <v>1367</v>
      </c>
      <c r="C651" t="s">
        <v>92</v>
      </c>
      <c r="D651">
        <v>0.03</v>
      </c>
      <c r="E651">
        <v>499.99</v>
      </c>
      <c r="F651">
        <v>24.49</v>
      </c>
      <c r="G651" t="s">
        <v>14</v>
      </c>
      <c r="H651" t="s">
        <v>15</v>
      </c>
      <c r="I651" t="s">
        <v>16</v>
      </c>
      <c r="J651" t="s">
        <v>39</v>
      </c>
      <c r="K651" t="s">
        <v>40</v>
      </c>
      <c r="L651" t="s">
        <v>1369</v>
      </c>
      <c r="M651">
        <v>0.36</v>
      </c>
      <c r="N651" t="s">
        <v>8</v>
      </c>
      <c r="O651" t="s">
        <v>35</v>
      </c>
      <c r="P651" t="s">
        <v>42</v>
      </c>
      <c r="Q651" t="s">
        <v>1368</v>
      </c>
      <c r="R651">
        <v>98034</v>
      </c>
      <c r="S651" s="1">
        <v>42061</v>
      </c>
      <c r="T651" s="1">
        <v>42062</v>
      </c>
      <c r="U651">
        <v>1773.6105</v>
      </c>
      <c r="V651">
        <v>5</v>
      </c>
      <c r="W651">
        <v>2570.4499999999998</v>
      </c>
      <c r="X651">
        <v>88447</v>
      </c>
      <c r="Y651">
        <f>cleaneddata[[#This Row],[Unit Price]]-cleaneddata[[#This Row],[Discount]]</f>
        <v>499.96000000000004</v>
      </c>
      <c r="Z65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52" spans="1:26" x14ac:dyDescent="0.3">
      <c r="A652">
        <v>1916</v>
      </c>
      <c r="B652" t="s">
        <v>1370</v>
      </c>
      <c r="C652" t="s">
        <v>1</v>
      </c>
      <c r="D652">
        <v>0.03</v>
      </c>
      <c r="E652">
        <v>11.99</v>
      </c>
      <c r="F652">
        <v>5.99</v>
      </c>
      <c r="G652" t="s">
        <v>14</v>
      </c>
      <c r="H652" t="s">
        <v>47</v>
      </c>
      <c r="I652" t="s">
        <v>16</v>
      </c>
      <c r="J652" t="s">
        <v>32</v>
      </c>
      <c r="K652" t="s">
        <v>120</v>
      </c>
      <c r="L652" t="s">
        <v>1371</v>
      </c>
      <c r="M652">
        <v>0.36</v>
      </c>
      <c r="N652" t="s">
        <v>8</v>
      </c>
      <c r="O652" t="s">
        <v>9</v>
      </c>
      <c r="P652" t="s">
        <v>20</v>
      </c>
      <c r="Q652" t="s">
        <v>1372</v>
      </c>
      <c r="R652">
        <v>72209</v>
      </c>
      <c r="S652" s="1">
        <v>42062</v>
      </c>
      <c r="T652" s="1">
        <v>42063</v>
      </c>
      <c r="U652">
        <v>-216.02979999999999</v>
      </c>
      <c r="V652">
        <v>7</v>
      </c>
      <c r="W652">
        <v>83.72</v>
      </c>
      <c r="X652">
        <v>85893</v>
      </c>
      <c r="Y652">
        <f>cleaneddata[[#This Row],[Unit Price]]-cleaneddata[[#This Row],[Discount]]</f>
        <v>11.96</v>
      </c>
      <c r="Z65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53" spans="1:26" x14ac:dyDescent="0.3">
      <c r="A653">
        <v>1005</v>
      </c>
      <c r="B653" t="s">
        <v>1373</v>
      </c>
      <c r="C653" t="s">
        <v>13</v>
      </c>
      <c r="D653">
        <v>0.02</v>
      </c>
      <c r="E653">
        <v>40.99</v>
      </c>
      <c r="F653">
        <v>17.48</v>
      </c>
      <c r="G653" t="s">
        <v>14</v>
      </c>
      <c r="H653" t="s">
        <v>3</v>
      </c>
      <c r="I653" t="s">
        <v>24</v>
      </c>
      <c r="J653" t="s">
        <v>64</v>
      </c>
      <c r="K653" t="s">
        <v>49</v>
      </c>
      <c r="L653" t="s">
        <v>1374</v>
      </c>
      <c r="M653">
        <v>0.36</v>
      </c>
      <c r="N653" t="s">
        <v>8</v>
      </c>
      <c r="O653" t="s">
        <v>28</v>
      </c>
      <c r="P653" t="s">
        <v>79</v>
      </c>
      <c r="Q653" t="s">
        <v>1375</v>
      </c>
      <c r="R653">
        <v>60089</v>
      </c>
      <c r="S653" s="1">
        <v>42062</v>
      </c>
      <c r="T653" s="1">
        <v>42063</v>
      </c>
      <c r="U653">
        <v>551.09280000000001</v>
      </c>
      <c r="V653">
        <v>23</v>
      </c>
      <c r="W653">
        <v>950.43</v>
      </c>
      <c r="X653">
        <v>90044</v>
      </c>
      <c r="Y653">
        <f>cleaneddata[[#This Row],[Unit Price]]-cleaneddata[[#This Row],[Discount]]</f>
        <v>40.97</v>
      </c>
      <c r="Z6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54" spans="1:26" x14ac:dyDescent="0.3">
      <c r="A654">
        <v>1044</v>
      </c>
      <c r="B654" t="s">
        <v>1376</v>
      </c>
      <c r="C654" t="s">
        <v>13</v>
      </c>
      <c r="D654">
        <v>0</v>
      </c>
      <c r="E654">
        <v>6.68</v>
      </c>
      <c r="F654">
        <v>5.66</v>
      </c>
      <c r="G654" t="s">
        <v>14</v>
      </c>
      <c r="H654" t="s">
        <v>47</v>
      </c>
      <c r="I654" t="s">
        <v>24</v>
      </c>
      <c r="J654" t="s">
        <v>64</v>
      </c>
      <c r="K654" t="s">
        <v>49</v>
      </c>
      <c r="L654" t="s">
        <v>1026</v>
      </c>
      <c r="M654">
        <v>0.37</v>
      </c>
      <c r="N654" t="s">
        <v>8</v>
      </c>
      <c r="O654" t="s">
        <v>35</v>
      </c>
      <c r="P654" t="s">
        <v>66</v>
      </c>
      <c r="Q654" t="s">
        <v>76</v>
      </c>
      <c r="R654">
        <v>90004</v>
      </c>
      <c r="S654" s="1">
        <v>42062</v>
      </c>
      <c r="T654" s="1">
        <v>42063</v>
      </c>
      <c r="U654">
        <v>-76.94</v>
      </c>
      <c r="V654">
        <v>90</v>
      </c>
      <c r="W654">
        <v>617.4</v>
      </c>
      <c r="X654">
        <v>47813</v>
      </c>
      <c r="Y654">
        <f>cleaneddata[[#This Row],[Unit Price]]-cleaneddata[[#This Row],[Discount]]</f>
        <v>6.68</v>
      </c>
      <c r="Z65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55" spans="1:26" x14ac:dyDescent="0.3">
      <c r="A655">
        <v>1047</v>
      </c>
      <c r="B655" t="s">
        <v>1377</v>
      </c>
      <c r="C655" t="s">
        <v>13</v>
      </c>
      <c r="D655">
        <v>0</v>
      </c>
      <c r="E655">
        <v>6.68</v>
      </c>
      <c r="F655">
        <v>5.66</v>
      </c>
      <c r="G655" t="s">
        <v>14</v>
      </c>
      <c r="H655" t="s">
        <v>47</v>
      </c>
      <c r="I655" t="s">
        <v>24</v>
      </c>
      <c r="J655" t="s">
        <v>64</v>
      </c>
      <c r="K655" t="s">
        <v>49</v>
      </c>
      <c r="L655" t="s">
        <v>1026</v>
      </c>
      <c r="M655">
        <v>0.37</v>
      </c>
      <c r="N655" t="s">
        <v>8</v>
      </c>
      <c r="O655" t="s">
        <v>87</v>
      </c>
      <c r="P655" t="s">
        <v>379</v>
      </c>
      <c r="Q655" t="s">
        <v>764</v>
      </c>
      <c r="R655">
        <v>2109</v>
      </c>
      <c r="S655" s="1">
        <v>42062</v>
      </c>
      <c r="T655" s="1">
        <v>42063</v>
      </c>
      <c r="U655">
        <v>-40.008800000000001</v>
      </c>
      <c r="V655">
        <v>23</v>
      </c>
      <c r="W655">
        <v>157.78</v>
      </c>
      <c r="X655">
        <v>89389</v>
      </c>
      <c r="Y655">
        <f>cleaneddata[[#This Row],[Unit Price]]-cleaneddata[[#This Row],[Discount]]</f>
        <v>6.68</v>
      </c>
      <c r="Z65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56" spans="1:26" x14ac:dyDescent="0.3">
      <c r="A656">
        <v>751</v>
      </c>
      <c r="B656" t="s">
        <v>1378</v>
      </c>
      <c r="C656" t="s">
        <v>23</v>
      </c>
      <c r="D656">
        <v>0.06</v>
      </c>
      <c r="E656">
        <v>130.97999999999999</v>
      </c>
      <c r="F656">
        <v>54.74</v>
      </c>
      <c r="G656" t="s">
        <v>2</v>
      </c>
      <c r="H656" t="s">
        <v>70</v>
      </c>
      <c r="I656" t="s">
        <v>4</v>
      </c>
      <c r="J656" t="s">
        <v>93</v>
      </c>
      <c r="K656" t="s">
        <v>6</v>
      </c>
      <c r="L656" t="s">
        <v>1379</v>
      </c>
      <c r="M656">
        <v>0.69</v>
      </c>
      <c r="N656" t="s">
        <v>8</v>
      </c>
      <c r="O656" t="s">
        <v>9</v>
      </c>
      <c r="P656" t="s">
        <v>364</v>
      </c>
      <c r="Q656" t="s">
        <v>1380</v>
      </c>
      <c r="R656">
        <v>40324</v>
      </c>
      <c r="S656" s="1">
        <v>42062</v>
      </c>
      <c r="T656" s="1">
        <v>42069</v>
      </c>
      <c r="U656">
        <v>14.76</v>
      </c>
      <c r="V656">
        <v>3</v>
      </c>
      <c r="W656">
        <v>411.64</v>
      </c>
      <c r="X656">
        <v>91201</v>
      </c>
      <c r="Y656">
        <f>cleaneddata[[#This Row],[Unit Price]]-cleaneddata[[#This Row],[Discount]]</f>
        <v>130.91999999999999</v>
      </c>
      <c r="Z65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57" spans="1:26" x14ac:dyDescent="0.3">
      <c r="A657">
        <v>1754</v>
      </c>
      <c r="B657" t="s">
        <v>1381</v>
      </c>
      <c r="C657" t="s">
        <v>23</v>
      </c>
      <c r="D657">
        <v>0.04</v>
      </c>
      <c r="E657">
        <v>8.5</v>
      </c>
      <c r="F657">
        <v>1.99</v>
      </c>
      <c r="G657" t="s">
        <v>14</v>
      </c>
      <c r="H657" t="s">
        <v>15</v>
      </c>
      <c r="I657" t="s">
        <v>16</v>
      </c>
      <c r="J657" t="s">
        <v>17</v>
      </c>
      <c r="K657" t="s">
        <v>18</v>
      </c>
      <c r="L657" t="s">
        <v>1382</v>
      </c>
      <c r="M657">
        <v>0.49</v>
      </c>
      <c r="N657" t="s">
        <v>8</v>
      </c>
      <c r="O657" t="s">
        <v>35</v>
      </c>
      <c r="P657" t="s">
        <v>66</v>
      </c>
      <c r="Q657" t="s">
        <v>1383</v>
      </c>
      <c r="R657">
        <v>90503</v>
      </c>
      <c r="S657" s="1">
        <v>42062</v>
      </c>
      <c r="T657" s="1">
        <v>42063</v>
      </c>
      <c r="U657">
        <v>43.275199999999998</v>
      </c>
      <c r="V657">
        <v>14</v>
      </c>
      <c r="W657">
        <v>118.57</v>
      </c>
      <c r="X657">
        <v>90178</v>
      </c>
      <c r="Y657">
        <f>cleaneddata[[#This Row],[Unit Price]]-cleaneddata[[#This Row],[Discount]]</f>
        <v>8.4600000000000009</v>
      </c>
      <c r="Z65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58" spans="1:26" x14ac:dyDescent="0.3">
      <c r="A658">
        <v>1754</v>
      </c>
      <c r="B658" t="s">
        <v>1381</v>
      </c>
      <c r="C658" t="s">
        <v>23</v>
      </c>
      <c r="D658">
        <v>0.1</v>
      </c>
      <c r="E658">
        <v>15.99</v>
      </c>
      <c r="F658">
        <v>9.4</v>
      </c>
      <c r="G658" t="s">
        <v>14</v>
      </c>
      <c r="H658" t="s">
        <v>15</v>
      </c>
      <c r="I658" t="s">
        <v>16</v>
      </c>
      <c r="J658" t="s">
        <v>32</v>
      </c>
      <c r="K658" t="s">
        <v>49</v>
      </c>
      <c r="L658" t="s">
        <v>604</v>
      </c>
      <c r="M658">
        <v>0.49</v>
      </c>
      <c r="N658" t="s">
        <v>8</v>
      </c>
      <c r="O658" t="s">
        <v>35</v>
      </c>
      <c r="P658" t="s">
        <v>66</v>
      </c>
      <c r="Q658" t="s">
        <v>1383</v>
      </c>
      <c r="R658">
        <v>90503</v>
      </c>
      <c r="S658" s="1">
        <v>42062</v>
      </c>
      <c r="T658" s="1">
        <v>42062</v>
      </c>
      <c r="U658">
        <v>-36.214619999999996</v>
      </c>
      <c r="V658">
        <v>5</v>
      </c>
      <c r="W658">
        <v>79.47</v>
      </c>
      <c r="X658">
        <v>90178</v>
      </c>
      <c r="Y658">
        <f>cleaneddata[[#This Row],[Unit Price]]-cleaneddata[[#This Row],[Discount]]</f>
        <v>15.89</v>
      </c>
      <c r="Z65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59" spans="1:26" x14ac:dyDescent="0.3">
      <c r="A659">
        <v>1754</v>
      </c>
      <c r="B659" t="s">
        <v>1381</v>
      </c>
      <c r="C659" t="s">
        <v>23</v>
      </c>
      <c r="D659">
        <v>0.09</v>
      </c>
      <c r="E659">
        <v>95.99</v>
      </c>
      <c r="F659">
        <v>8.99</v>
      </c>
      <c r="G659" t="s">
        <v>14</v>
      </c>
      <c r="H659" t="s">
        <v>15</v>
      </c>
      <c r="I659" t="s">
        <v>16</v>
      </c>
      <c r="J659" t="s">
        <v>111</v>
      </c>
      <c r="K659" t="s">
        <v>49</v>
      </c>
      <c r="L659" t="s">
        <v>1384</v>
      </c>
      <c r="M659">
        <v>0.56999999999999995</v>
      </c>
      <c r="N659" t="s">
        <v>8</v>
      </c>
      <c r="O659" t="s">
        <v>35</v>
      </c>
      <c r="P659" t="s">
        <v>66</v>
      </c>
      <c r="Q659" t="s">
        <v>1383</v>
      </c>
      <c r="R659">
        <v>90503</v>
      </c>
      <c r="S659" s="1">
        <v>42062</v>
      </c>
      <c r="T659" s="1">
        <v>42066</v>
      </c>
      <c r="U659">
        <v>7.0329600000000001</v>
      </c>
      <c r="V659">
        <v>8</v>
      </c>
      <c r="W659">
        <v>627.28</v>
      </c>
      <c r="X659">
        <v>90178</v>
      </c>
      <c r="Y659">
        <f>cleaneddata[[#This Row],[Unit Price]]-cleaneddata[[#This Row],[Discount]]</f>
        <v>95.899999999999991</v>
      </c>
      <c r="Z6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60" spans="1:26" x14ac:dyDescent="0.3">
      <c r="A660">
        <v>2466</v>
      </c>
      <c r="B660" t="s">
        <v>1385</v>
      </c>
      <c r="C660" t="s">
        <v>92</v>
      </c>
      <c r="D660">
        <v>0.04</v>
      </c>
      <c r="E660">
        <v>2.08</v>
      </c>
      <c r="F660">
        <v>1.49</v>
      </c>
      <c r="G660" t="s">
        <v>14</v>
      </c>
      <c r="H660" t="s">
        <v>70</v>
      </c>
      <c r="I660" t="s">
        <v>24</v>
      </c>
      <c r="J660" t="s">
        <v>48</v>
      </c>
      <c r="K660" t="s">
        <v>49</v>
      </c>
      <c r="L660" t="s">
        <v>1386</v>
      </c>
      <c r="M660">
        <v>0.36</v>
      </c>
      <c r="N660" t="s">
        <v>8</v>
      </c>
      <c r="O660" t="s">
        <v>28</v>
      </c>
      <c r="P660" t="s">
        <v>265</v>
      </c>
      <c r="Q660" t="s">
        <v>1387</v>
      </c>
      <c r="R660">
        <v>49783</v>
      </c>
      <c r="S660" s="1">
        <v>42062</v>
      </c>
      <c r="T660" s="1">
        <v>42063</v>
      </c>
      <c r="U660">
        <v>-3.71956</v>
      </c>
      <c r="V660">
        <v>7</v>
      </c>
      <c r="W660">
        <v>14.77</v>
      </c>
      <c r="X660">
        <v>88136</v>
      </c>
      <c r="Y660">
        <f>cleaneddata[[#This Row],[Unit Price]]-cleaneddata[[#This Row],[Discount]]</f>
        <v>2.04</v>
      </c>
      <c r="Z66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61" spans="1:26" x14ac:dyDescent="0.3">
      <c r="A661">
        <v>2466</v>
      </c>
      <c r="B661" t="s">
        <v>1385</v>
      </c>
      <c r="C661" t="s">
        <v>92</v>
      </c>
      <c r="D661">
        <v>0.02</v>
      </c>
      <c r="E661">
        <v>53.98</v>
      </c>
      <c r="F661">
        <v>5.5</v>
      </c>
      <c r="G661" t="s">
        <v>63</v>
      </c>
      <c r="H661" t="s">
        <v>70</v>
      </c>
      <c r="I661" t="s">
        <v>16</v>
      </c>
      <c r="J661" t="s">
        <v>17</v>
      </c>
      <c r="K661" t="s">
        <v>49</v>
      </c>
      <c r="L661" t="s">
        <v>1388</v>
      </c>
      <c r="M661">
        <v>0.62</v>
      </c>
      <c r="N661" t="s">
        <v>8</v>
      </c>
      <c r="O661" t="s">
        <v>28</v>
      </c>
      <c r="P661" t="s">
        <v>265</v>
      </c>
      <c r="Q661" t="s">
        <v>1387</v>
      </c>
      <c r="R661">
        <v>49783</v>
      </c>
      <c r="S661" s="1">
        <v>42062</v>
      </c>
      <c r="T661" s="1">
        <v>42063</v>
      </c>
      <c r="U661">
        <v>101.97199999999999</v>
      </c>
      <c r="V661">
        <v>8</v>
      </c>
      <c r="W661">
        <v>438.33</v>
      </c>
      <c r="X661">
        <v>88136</v>
      </c>
      <c r="Y661">
        <f>cleaneddata[[#This Row],[Unit Price]]-cleaneddata[[#This Row],[Discount]]</f>
        <v>53.959999999999994</v>
      </c>
      <c r="Z66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62" spans="1:26" x14ac:dyDescent="0.3">
      <c r="A662">
        <v>2466</v>
      </c>
      <c r="B662" t="s">
        <v>1385</v>
      </c>
      <c r="C662" t="s">
        <v>92</v>
      </c>
      <c r="D662">
        <v>0.05</v>
      </c>
      <c r="E662">
        <v>4.9800000000000004</v>
      </c>
      <c r="F662">
        <v>5.0199999999999996</v>
      </c>
      <c r="G662" t="s">
        <v>14</v>
      </c>
      <c r="H662" t="s">
        <v>70</v>
      </c>
      <c r="I662" t="s">
        <v>24</v>
      </c>
      <c r="J662" t="s">
        <v>64</v>
      </c>
      <c r="K662" t="s">
        <v>49</v>
      </c>
      <c r="L662" t="s">
        <v>1389</v>
      </c>
      <c r="M662">
        <v>0.38</v>
      </c>
      <c r="N662" t="s">
        <v>8</v>
      </c>
      <c r="O662" t="s">
        <v>28</v>
      </c>
      <c r="P662" t="s">
        <v>265</v>
      </c>
      <c r="Q662" t="s">
        <v>1387</v>
      </c>
      <c r="R662">
        <v>49783</v>
      </c>
      <c r="S662" s="1">
        <v>42062</v>
      </c>
      <c r="T662" s="1">
        <v>42062</v>
      </c>
      <c r="U662">
        <v>-16.634799999999998</v>
      </c>
      <c r="V662">
        <v>7</v>
      </c>
      <c r="W662">
        <v>38.11</v>
      </c>
      <c r="X662">
        <v>88136</v>
      </c>
      <c r="Y662">
        <f>cleaneddata[[#This Row],[Unit Price]]-cleaneddata[[#This Row],[Discount]]</f>
        <v>4.9300000000000006</v>
      </c>
      <c r="Z66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63" spans="1:26" x14ac:dyDescent="0.3">
      <c r="A663">
        <v>972</v>
      </c>
      <c r="B663" t="s">
        <v>1390</v>
      </c>
      <c r="C663" t="s">
        <v>23</v>
      </c>
      <c r="D663">
        <v>0.03</v>
      </c>
      <c r="E663">
        <v>284.98</v>
      </c>
      <c r="F663">
        <v>69.55</v>
      </c>
      <c r="G663" t="s">
        <v>2</v>
      </c>
      <c r="H663" t="s">
        <v>70</v>
      </c>
      <c r="I663" t="s">
        <v>4</v>
      </c>
      <c r="J663" t="s">
        <v>85</v>
      </c>
      <c r="K663" t="s">
        <v>33</v>
      </c>
      <c r="L663" t="s">
        <v>1391</v>
      </c>
      <c r="M663">
        <v>0.6</v>
      </c>
      <c r="N663" t="s">
        <v>8</v>
      </c>
      <c r="O663" t="s">
        <v>35</v>
      </c>
      <c r="P663" t="s">
        <v>66</v>
      </c>
      <c r="Q663" t="s">
        <v>1392</v>
      </c>
      <c r="R663">
        <v>92503</v>
      </c>
      <c r="S663" s="1">
        <v>42063</v>
      </c>
      <c r="T663" s="1">
        <v>42068</v>
      </c>
      <c r="U663">
        <v>-116.584</v>
      </c>
      <c r="V663">
        <v>2</v>
      </c>
      <c r="W663">
        <v>619.38</v>
      </c>
      <c r="X663">
        <v>87259</v>
      </c>
      <c r="Y663">
        <f>cleaneddata[[#This Row],[Unit Price]]-cleaneddata[[#This Row],[Discount]]</f>
        <v>284.95000000000005</v>
      </c>
      <c r="Z6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64" spans="1:26" x14ac:dyDescent="0.3">
      <c r="A664">
        <v>972</v>
      </c>
      <c r="B664" t="s">
        <v>1390</v>
      </c>
      <c r="C664" t="s">
        <v>23</v>
      </c>
      <c r="D664">
        <v>0</v>
      </c>
      <c r="E664">
        <v>12.99</v>
      </c>
      <c r="F664">
        <v>14.37</v>
      </c>
      <c r="G664" t="s">
        <v>14</v>
      </c>
      <c r="H664" t="s">
        <v>70</v>
      </c>
      <c r="I664" t="s">
        <v>4</v>
      </c>
      <c r="J664" t="s">
        <v>102</v>
      </c>
      <c r="K664" t="s">
        <v>40</v>
      </c>
      <c r="L664" t="s">
        <v>382</v>
      </c>
      <c r="M664">
        <v>0.73</v>
      </c>
      <c r="N664" t="s">
        <v>8</v>
      </c>
      <c r="O664" t="s">
        <v>35</v>
      </c>
      <c r="P664" t="s">
        <v>66</v>
      </c>
      <c r="Q664" t="s">
        <v>1392</v>
      </c>
      <c r="R664">
        <v>92503</v>
      </c>
      <c r="S664" s="1">
        <v>42063</v>
      </c>
      <c r="T664" s="1">
        <v>42063</v>
      </c>
      <c r="U664">
        <v>12.896100000000001</v>
      </c>
      <c r="V664">
        <v>1</v>
      </c>
      <c r="W664">
        <v>18.690000000000001</v>
      </c>
      <c r="X664">
        <v>87259</v>
      </c>
      <c r="Y664">
        <f>cleaneddata[[#This Row],[Unit Price]]-cleaneddata[[#This Row],[Discount]]</f>
        <v>12.99</v>
      </c>
      <c r="Z66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65" spans="1:26" x14ac:dyDescent="0.3">
      <c r="A665">
        <v>2220</v>
      </c>
      <c r="B665" t="s">
        <v>1393</v>
      </c>
      <c r="C665" t="s">
        <v>23</v>
      </c>
      <c r="D665">
        <v>0.09</v>
      </c>
      <c r="E665">
        <v>14.2</v>
      </c>
      <c r="F665">
        <v>5.3</v>
      </c>
      <c r="G665" t="s">
        <v>14</v>
      </c>
      <c r="H665" t="s">
        <v>15</v>
      </c>
      <c r="I665" t="s">
        <v>4</v>
      </c>
      <c r="J665" t="s">
        <v>102</v>
      </c>
      <c r="K665" t="s">
        <v>26</v>
      </c>
      <c r="L665" t="s">
        <v>264</v>
      </c>
      <c r="M665">
        <v>0.46</v>
      </c>
      <c r="N665" t="s">
        <v>8</v>
      </c>
      <c r="O665" t="s">
        <v>9</v>
      </c>
      <c r="P665" t="s">
        <v>99</v>
      </c>
      <c r="Q665" t="s">
        <v>1394</v>
      </c>
      <c r="R665">
        <v>34787</v>
      </c>
      <c r="S665" s="1">
        <v>42063</v>
      </c>
      <c r="T665" s="1">
        <v>42064</v>
      </c>
      <c r="U665">
        <v>-324.73</v>
      </c>
      <c r="V665">
        <v>4</v>
      </c>
      <c r="W665">
        <v>55.08</v>
      </c>
      <c r="X665">
        <v>91036</v>
      </c>
      <c r="Y665">
        <f>cleaneddata[[#This Row],[Unit Price]]-cleaneddata[[#This Row],[Discount]]</f>
        <v>14.11</v>
      </c>
      <c r="Z66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66" spans="1:26" x14ac:dyDescent="0.3">
      <c r="A666">
        <v>3075</v>
      </c>
      <c r="B666" t="s">
        <v>1395</v>
      </c>
      <c r="C666" t="s">
        <v>23</v>
      </c>
      <c r="D666">
        <v>0.06</v>
      </c>
      <c r="E666">
        <v>19.23</v>
      </c>
      <c r="F666">
        <v>6.15</v>
      </c>
      <c r="G666" t="s">
        <v>14</v>
      </c>
      <c r="H666" t="s">
        <v>70</v>
      </c>
      <c r="I666" t="s">
        <v>4</v>
      </c>
      <c r="J666" t="s">
        <v>102</v>
      </c>
      <c r="K666" t="s">
        <v>18</v>
      </c>
      <c r="L666" t="s">
        <v>1253</v>
      </c>
      <c r="M666">
        <v>0.44</v>
      </c>
      <c r="N666" t="s">
        <v>8</v>
      </c>
      <c r="O666" t="s">
        <v>35</v>
      </c>
      <c r="P666" t="s">
        <v>66</v>
      </c>
      <c r="Q666" t="s">
        <v>76</v>
      </c>
      <c r="R666">
        <v>90061</v>
      </c>
      <c r="S666" s="1">
        <v>42063</v>
      </c>
      <c r="T666" s="1">
        <v>42063</v>
      </c>
      <c r="U666">
        <v>-25.38</v>
      </c>
      <c r="V666">
        <v>4</v>
      </c>
      <c r="W666">
        <v>84.6</v>
      </c>
      <c r="X666">
        <v>14756</v>
      </c>
      <c r="Y666">
        <f>cleaneddata[[#This Row],[Unit Price]]-cleaneddata[[#This Row],[Discount]]</f>
        <v>19.170000000000002</v>
      </c>
      <c r="Z66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67" spans="1:26" x14ac:dyDescent="0.3">
      <c r="A667">
        <v>3098</v>
      </c>
      <c r="B667" t="s">
        <v>1396</v>
      </c>
      <c r="C667" t="s">
        <v>23</v>
      </c>
      <c r="D667">
        <v>0.06</v>
      </c>
      <c r="E667">
        <v>2.89</v>
      </c>
      <c r="F667">
        <v>0.5</v>
      </c>
      <c r="G667" t="s">
        <v>14</v>
      </c>
      <c r="H667" t="s">
        <v>15</v>
      </c>
      <c r="I667" t="s">
        <v>24</v>
      </c>
      <c r="J667" t="s">
        <v>128</v>
      </c>
      <c r="K667" t="s">
        <v>49</v>
      </c>
      <c r="L667" t="s">
        <v>705</v>
      </c>
      <c r="M667">
        <v>0.38</v>
      </c>
      <c r="N667" t="s">
        <v>8</v>
      </c>
      <c r="O667" t="s">
        <v>87</v>
      </c>
      <c r="P667" t="s">
        <v>88</v>
      </c>
      <c r="Q667" t="s">
        <v>1397</v>
      </c>
      <c r="R667">
        <v>11967</v>
      </c>
      <c r="S667" s="1">
        <v>42063</v>
      </c>
      <c r="T667" s="1">
        <v>42063</v>
      </c>
      <c r="U667">
        <v>9.6117000000000008</v>
      </c>
      <c r="V667">
        <v>5</v>
      </c>
      <c r="W667">
        <v>13.93</v>
      </c>
      <c r="X667">
        <v>89316</v>
      </c>
      <c r="Y667">
        <f>cleaneddata[[#This Row],[Unit Price]]-cleaneddata[[#This Row],[Discount]]</f>
        <v>2.83</v>
      </c>
      <c r="Z6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68" spans="1:26" x14ac:dyDescent="0.3">
      <c r="A668">
        <v>3355</v>
      </c>
      <c r="B668" t="s">
        <v>1398</v>
      </c>
      <c r="C668" t="s">
        <v>23</v>
      </c>
      <c r="D668">
        <v>0.1</v>
      </c>
      <c r="E668">
        <v>120.98</v>
      </c>
      <c r="F668">
        <v>9.07</v>
      </c>
      <c r="G668" t="s">
        <v>14</v>
      </c>
      <c r="H668" t="s">
        <v>70</v>
      </c>
      <c r="I668" t="s">
        <v>24</v>
      </c>
      <c r="J668" t="s">
        <v>48</v>
      </c>
      <c r="K668" t="s">
        <v>49</v>
      </c>
      <c r="L668" t="s">
        <v>1399</v>
      </c>
      <c r="M668">
        <v>0.35</v>
      </c>
      <c r="N668" t="s">
        <v>8</v>
      </c>
      <c r="O668" t="s">
        <v>35</v>
      </c>
      <c r="P668" t="s">
        <v>66</v>
      </c>
      <c r="Q668" t="s">
        <v>1400</v>
      </c>
      <c r="R668">
        <v>93010</v>
      </c>
      <c r="S668" s="1">
        <v>42063</v>
      </c>
      <c r="T668" s="1">
        <v>42072</v>
      </c>
      <c r="U668">
        <v>379.3965</v>
      </c>
      <c r="V668">
        <v>5</v>
      </c>
      <c r="W668">
        <v>549.85</v>
      </c>
      <c r="X668">
        <v>88587</v>
      </c>
      <c r="Y668">
        <f>cleaneddata[[#This Row],[Unit Price]]-cleaneddata[[#This Row],[Discount]]</f>
        <v>120.88000000000001</v>
      </c>
      <c r="Z6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69" spans="1:26" x14ac:dyDescent="0.3">
      <c r="A669">
        <v>3355</v>
      </c>
      <c r="B669" t="s">
        <v>1398</v>
      </c>
      <c r="C669" t="s">
        <v>23</v>
      </c>
      <c r="D669">
        <v>0.08</v>
      </c>
      <c r="E669">
        <v>8.32</v>
      </c>
      <c r="F669">
        <v>2.38</v>
      </c>
      <c r="G669" t="s">
        <v>63</v>
      </c>
      <c r="H669" t="s">
        <v>70</v>
      </c>
      <c r="I669" t="s">
        <v>16</v>
      </c>
      <c r="J669" t="s">
        <v>17</v>
      </c>
      <c r="K669" t="s">
        <v>18</v>
      </c>
      <c r="L669" t="s">
        <v>1401</v>
      </c>
      <c r="M669">
        <v>0.74</v>
      </c>
      <c r="N669" t="s">
        <v>8</v>
      </c>
      <c r="O669" t="s">
        <v>35</v>
      </c>
      <c r="P669" t="s">
        <v>66</v>
      </c>
      <c r="Q669" t="s">
        <v>1400</v>
      </c>
      <c r="R669">
        <v>93010</v>
      </c>
      <c r="S669" s="1">
        <v>42063</v>
      </c>
      <c r="T669" s="1">
        <v>42067</v>
      </c>
      <c r="U669">
        <v>-41.83</v>
      </c>
      <c r="V669">
        <v>6</v>
      </c>
      <c r="W669">
        <v>48.99</v>
      </c>
      <c r="X669">
        <v>88587</v>
      </c>
      <c r="Y669">
        <f>cleaneddata[[#This Row],[Unit Price]]-cleaneddata[[#This Row],[Discount]]</f>
        <v>8.24</v>
      </c>
      <c r="Z66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70" spans="1:26" x14ac:dyDescent="0.3">
      <c r="A670">
        <v>3355</v>
      </c>
      <c r="B670" t="s">
        <v>1398</v>
      </c>
      <c r="C670" t="s">
        <v>23</v>
      </c>
      <c r="D670">
        <v>0.1</v>
      </c>
      <c r="E670">
        <v>125.99</v>
      </c>
      <c r="F670">
        <v>4.2</v>
      </c>
      <c r="G670" t="s">
        <v>14</v>
      </c>
      <c r="H670" t="s">
        <v>70</v>
      </c>
      <c r="I670" t="s">
        <v>16</v>
      </c>
      <c r="J670" t="s">
        <v>111</v>
      </c>
      <c r="K670" t="s">
        <v>49</v>
      </c>
      <c r="L670" t="s">
        <v>1402</v>
      </c>
      <c r="M670">
        <v>0.59</v>
      </c>
      <c r="N670" t="s">
        <v>8</v>
      </c>
      <c r="O670" t="s">
        <v>35</v>
      </c>
      <c r="P670" t="s">
        <v>66</v>
      </c>
      <c r="Q670" t="s">
        <v>1400</v>
      </c>
      <c r="R670">
        <v>93010</v>
      </c>
      <c r="S670" s="1">
        <v>42063</v>
      </c>
      <c r="T670" s="1">
        <v>42063</v>
      </c>
      <c r="U670">
        <v>372.40199999999999</v>
      </c>
      <c r="V670">
        <v>7</v>
      </c>
      <c r="W670">
        <v>681.42</v>
      </c>
      <c r="X670">
        <v>88587</v>
      </c>
      <c r="Y670">
        <f>cleaneddata[[#This Row],[Unit Price]]-cleaneddata[[#This Row],[Discount]]</f>
        <v>125.89</v>
      </c>
      <c r="Z6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71" spans="1:26" x14ac:dyDescent="0.3">
      <c r="A671">
        <v>2587</v>
      </c>
      <c r="B671" t="s">
        <v>1403</v>
      </c>
      <c r="C671" t="s">
        <v>92</v>
      </c>
      <c r="D671">
        <v>0.01</v>
      </c>
      <c r="E671">
        <v>6.48</v>
      </c>
      <c r="F671">
        <v>6.57</v>
      </c>
      <c r="G671" t="s">
        <v>63</v>
      </c>
      <c r="H671" t="s">
        <v>47</v>
      </c>
      <c r="I671" t="s">
        <v>24</v>
      </c>
      <c r="J671" t="s">
        <v>64</v>
      </c>
      <c r="K671" t="s">
        <v>49</v>
      </c>
      <c r="L671" t="s">
        <v>1404</v>
      </c>
      <c r="M671">
        <v>0.37</v>
      </c>
      <c r="N671" t="s">
        <v>8</v>
      </c>
      <c r="O671" t="s">
        <v>28</v>
      </c>
      <c r="P671" t="s">
        <v>333</v>
      </c>
      <c r="Q671" t="s">
        <v>1405</v>
      </c>
      <c r="R671">
        <v>54220</v>
      </c>
      <c r="S671" s="1">
        <v>42063</v>
      </c>
      <c r="T671" s="1">
        <v>42063</v>
      </c>
      <c r="U671">
        <v>-46.5244</v>
      </c>
      <c r="V671">
        <v>18</v>
      </c>
      <c r="W671">
        <v>127.83</v>
      </c>
      <c r="X671">
        <v>91166</v>
      </c>
      <c r="Y671">
        <f>cleaneddata[[#This Row],[Unit Price]]-cleaneddata[[#This Row],[Discount]]</f>
        <v>6.4700000000000006</v>
      </c>
      <c r="Z67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72" spans="1:26" x14ac:dyDescent="0.3">
      <c r="A672">
        <v>2861</v>
      </c>
      <c r="B672" t="s">
        <v>1406</v>
      </c>
      <c r="C672" t="s">
        <v>92</v>
      </c>
      <c r="D672">
        <v>0.05</v>
      </c>
      <c r="E672">
        <v>20.99</v>
      </c>
      <c r="F672">
        <v>4.8099999999999996</v>
      </c>
      <c r="G672" t="s">
        <v>14</v>
      </c>
      <c r="H672" t="s">
        <v>70</v>
      </c>
      <c r="I672" t="s">
        <v>16</v>
      </c>
      <c r="J672" t="s">
        <v>111</v>
      </c>
      <c r="K672" t="s">
        <v>120</v>
      </c>
      <c r="L672" t="s">
        <v>1407</v>
      </c>
      <c r="M672">
        <v>0.57999999999999996</v>
      </c>
      <c r="N672" t="s">
        <v>8</v>
      </c>
      <c r="O672" t="s">
        <v>28</v>
      </c>
      <c r="P672" t="s">
        <v>513</v>
      </c>
      <c r="Q672" t="s">
        <v>1186</v>
      </c>
      <c r="R672">
        <v>67601</v>
      </c>
      <c r="S672" s="1">
        <v>42063</v>
      </c>
      <c r="T672" s="1">
        <v>42063</v>
      </c>
      <c r="U672">
        <v>4.9017600000000003</v>
      </c>
      <c r="V672">
        <v>11</v>
      </c>
      <c r="W672">
        <v>199.43</v>
      </c>
      <c r="X672">
        <v>88280</v>
      </c>
      <c r="Y672">
        <f>cleaneddata[[#This Row],[Unit Price]]-cleaneddata[[#This Row],[Discount]]</f>
        <v>20.939999999999998</v>
      </c>
      <c r="Z6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73" spans="1:26" x14ac:dyDescent="0.3">
      <c r="A673">
        <v>2923</v>
      </c>
      <c r="B673" t="s">
        <v>1408</v>
      </c>
      <c r="C673" t="s">
        <v>92</v>
      </c>
      <c r="D673">
        <v>0</v>
      </c>
      <c r="E673">
        <v>6.37</v>
      </c>
      <c r="F673">
        <v>5.19</v>
      </c>
      <c r="G673" t="s">
        <v>14</v>
      </c>
      <c r="H673" t="s">
        <v>15</v>
      </c>
      <c r="I673" t="s">
        <v>24</v>
      </c>
      <c r="J673" t="s">
        <v>48</v>
      </c>
      <c r="K673" t="s">
        <v>49</v>
      </c>
      <c r="L673" t="s">
        <v>883</v>
      </c>
      <c r="M673">
        <v>0.38</v>
      </c>
      <c r="N673" t="s">
        <v>8</v>
      </c>
      <c r="O673" t="s">
        <v>87</v>
      </c>
      <c r="P673" t="s">
        <v>394</v>
      </c>
      <c r="Q673" t="s">
        <v>1409</v>
      </c>
      <c r="R673">
        <v>21740</v>
      </c>
      <c r="S673" s="1">
        <v>42063</v>
      </c>
      <c r="T673" s="1">
        <v>42065</v>
      </c>
      <c r="U673">
        <v>-27.1492</v>
      </c>
      <c r="V673">
        <v>15</v>
      </c>
      <c r="W673">
        <v>99.75</v>
      </c>
      <c r="X673">
        <v>86592</v>
      </c>
      <c r="Y673">
        <f>cleaneddata[[#This Row],[Unit Price]]-cleaneddata[[#This Row],[Discount]]</f>
        <v>6.37</v>
      </c>
      <c r="Z67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74" spans="1:26" x14ac:dyDescent="0.3">
      <c r="A674">
        <v>3151</v>
      </c>
      <c r="B674" t="s">
        <v>929</v>
      </c>
      <c r="C674" t="s">
        <v>92</v>
      </c>
      <c r="D674">
        <v>0.04</v>
      </c>
      <c r="E674">
        <v>17.239999999999998</v>
      </c>
      <c r="F674">
        <v>3.26</v>
      </c>
      <c r="G674" t="s">
        <v>14</v>
      </c>
      <c r="H674" t="s">
        <v>47</v>
      </c>
      <c r="I674" t="s">
        <v>24</v>
      </c>
      <c r="J674" t="s">
        <v>544</v>
      </c>
      <c r="K674" t="s">
        <v>18</v>
      </c>
      <c r="L674" t="s">
        <v>1410</v>
      </c>
      <c r="M674">
        <v>0.56000000000000005</v>
      </c>
      <c r="N674" t="s">
        <v>8</v>
      </c>
      <c r="O674" t="s">
        <v>35</v>
      </c>
      <c r="P674" t="s">
        <v>66</v>
      </c>
      <c r="Q674" t="s">
        <v>930</v>
      </c>
      <c r="R674">
        <v>92277</v>
      </c>
      <c r="S674" s="1">
        <v>42063</v>
      </c>
      <c r="T674" s="1">
        <v>42063</v>
      </c>
      <c r="U674">
        <v>47.73</v>
      </c>
      <c r="V674">
        <v>7</v>
      </c>
      <c r="W674">
        <v>119.6</v>
      </c>
      <c r="X674">
        <v>88546</v>
      </c>
      <c r="Y674">
        <f>cleaneddata[[#This Row],[Unit Price]]-cleaneddata[[#This Row],[Discount]]</f>
        <v>17.2</v>
      </c>
      <c r="Z6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75" spans="1:26" x14ac:dyDescent="0.3">
      <c r="A675">
        <v>719</v>
      </c>
      <c r="B675" t="s">
        <v>1411</v>
      </c>
      <c r="C675" t="s">
        <v>46</v>
      </c>
      <c r="D675">
        <v>0</v>
      </c>
      <c r="E675">
        <v>8.5</v>
      </c>
      <c r="F675">
        <v>1.99</v>
      </c>
      <c r="G675" t="s">
        <v>14</v>
      </c>
      <c r="H675" t="s">
        <v>70</v>
      </c>
      <c r="I675" t="s">
        <v>16</v>
      </c>
      <c r="J675" t="s">
        <v>17</v>
      </c>
      <c r="K675" t="s">
        <v>18</v>
      </c>
      <c r="L675" t="s">
        <v>1382</v>
      </c>
      <c r="M675">
        <v>0.49</v>
      </c>
      <c r="N675" t="s">
        <v>8</v>
      </c>
      <c r="O675" t="s">
        <v>35</v>
      </c>
      <c r="P675" t="s">
        <v>272</v>
      </c>
      <c r="Q675" t="s">
        <v>1412</v>
      </c>
      <c r="R675">
        <v>89041</v>
      </c>
      <c r="S675" s="1">
        <v>42063</v>
      </c>
      <c r="T675" s="1">
        <v>42065</v>
      </c>
      <c r="U675">
        <v>71.735600000000005</v>
      </c>
      <c r="V675">
        <v>14</v>
      </c>
      <c r="W675">
        <v>122.25</v>
      </c>
      <c r="X675">
        <v>89344</v>
      </c>
      <c r="Y675">
        <f>cleaneddata[[#This Row],[Unit Price]]-cleaneddata[[#This Row],[Discount]]</f>
        <v>8.5</v>
      </c>
      <c r="Z6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76" spans="1:26" x14ac:dyDescent="0.3">
      <c r="A676">
        <v>719</v>
      </c>
      <c r="B676" t="s">
        <v>1411</v>
      </c>
      <c r="C676" t="s">
        <v>46</v>
      </c>
      <c r="D676">
        <v>0.03</v>
      </c>
      <c r="E676">
        <v>95.43</v>
      </c>
      <c r="F676">
        <v>19.989999999999998</v>
      </c>
      <c r="G676" t="s">
        <v>14</v>
      </c>
      <c r="H676" t="s">
        <v>70</v>
      </c>
      <c r="I676" t="s">
        <v>24</v>
      </c>
      <c r="J676" t="s">
        <v>54</v>
      </c>
      <c r="K676" t="s">
        <v>49</v>
      </c>
      <c r="L676" t="s">
        <v>1413</v>
      </c>
      <c r="M676">
        <v>0.79</v>
      </c>
      <c r="N676" t="s">
        <v>8</v>
      </c>
      <c r="O676" t="s">
        <v>35</v>
      </c>
      <c r="P676" t="s">
        <v>272</v>
      </c>
      <c r="Q676" t="s">
        <v>1412</v>
      </c>
      <c r="R676">
        <v>89041</v>
      </c>
      <c r="S676" s="1">
        <v>42063</v>
      </c>
      <c r="T676" s="1">
        <v>42065</v>
      </c>
      <c r="U676">
        <v>-79.320800000000006</v>
      </c>
      <c r="V676">
        <v>2</v>
      </c>
      <c r="W676">
        <v>206.09</v>
      </c>
      <c r="X676">
        <v>89344</v>
      </c>
      <c r="Y676">
        <f>cleaneddata[[#This Row],[Unit Price]]-cleaneddata[[#This Row],[Discount]]</f>
        <v>95.4</v>
      </c>
      <c r="Z6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77" spans="1:26" x14ac:dyDescent="0.3">
      <c r="A677">
        <v>1482</v>
      </c>
      <c r="B677" t="s">
        <v>1414</v>
      </c>
      <c r="C677" t="s">
        <v>46</v>
      </c>
      <c r="D677">
        <v>0.05</v>
      </c>
      <c r="E677">
        <v>9.65</v>
      </c>
      <c r="F677">
        <v>6.22</v>
      </c>
      <c r="G677" t="s">
        <v>14</v>
      </c>
      <c r="H677" t="s">
        <v>70</v>
      </c>
      <c r="I677" t="s">
        <v>4</v>
      </c>
      <c r="J677" t="s">
        <v>102</v>
      </c>
      <c r="K677" t="s">
        <v>49</v>
      </c>
      <c r="L677" t="s">
        <v>1257</v>
      </c>
      <c r="M677">
        <v>0.55000000000000004</v>
      </c>
      <c r="N677" t="s">
        <v>8</v>
      </c>
      <c r="O677" t="s">
        <v>28</v>
      </c>
      <c r="P677" t="s">
        <v>265</v>
      </c>
      <c r="Q677" t="s">
        <v>970</v>
      </c>
      <c r="R677">
        <v>48708</v>
      </c>
      <c r="S677" s="1">
        <v>42063</v>
      </c>
      <c r="T677" s="1">
        <v>42063</v>
      </c>
      <c r="U677">
        <v>-14.6432</v>
      </c>
      <c r="V677">
        <v>15</v>
      </c>
      <c r="W677">
        <v>151.34</v>
      </c>
      <c r="X677">
        <v>91363</v>
      </c>
      <c r="Y677">
        <f>cleaneddata[[#This Row],[Unit Price]]-cleaneddata[[#This Row],[Discount]]</f>
        <v>9.6</v>
      </c>
      <c r="Z67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78" spans="1:26" x14ac:dyDescent="0.3">
      <c r="A678">
        <v>2908</v>
      </c>
      <c r="B678" t="s">
        <v>301</v>
      </c>
      <c r="C678" t="s">
        <v>46</v>
      </c>
      <c r="D678">
        <v>0.05</v>
      </c>
      <c r="E678">
        <v>34.979999999999997</v>
      </c>
      <c r="F678">
        <v>7.53</v>
      </c>
      <c r="G678" t="s">
        <v>63</v>
      </c>
      <c r="H678" t="s">
        <v>47</v>
      </c>
      <c r="I678" t="s">
        <v>16</v>
      </c>
      <c r="J678" t="s">
        <v>17</v>
      </c>
      <c r="K678" t="s">
        <v>49</v>
      </c>
      <c r="L678" t="s">
        <v>1415</v>
      </c>
      <c r="M678">
        <v>0.76</v>
      </c>
      <c r="N678" t="s">
        <v>8</v>
      </c>
      <c r="O678" t="s">
        <v>87</v>
      </c>
      <c r="P678" t="s">
        <v>293</v>
      </c>
      <c r="Q678" t="s">
        <v>303</v>
      </c>
      <c r="R678">
        <v>44125</v>
      </c>
      <c r="S678" s="1">
        <v>42063</v>
      </c>
      <c r="T678" s="1">
        <v>42066</v>
      </c>
      <c r="U678">
        <v>-32.666400000000003</v>
      </c>
      <c r="V678">
        <v>16</v>
      </c>
      <c r="W678">
        <v>581.08000000000004</v>
      </c>
      <c r="X678">
        <v>88157</v>
      </c>
      <c r="Y678">
        <f>cleaneddata[[#This Row],[Unit Price]]-cleaneddata[[#This Row],[Discount]]</f>
        <v>34.93</v>
      </c>
      <c r="Z67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79" spans="1:26" x14ac:dyDescent="0.3">
      <c r="A679">
        <v>2908</v>
      </c>
      <c r="B679" t="s">
        <v>301</v>
      </c>
      <c r="C679" t="s">
        <v>46</v>
      </c>
      <c r="D679">
        <v>0</v>
      </c>
      <c r="E679">
        <v>3.14</v>
      </c>
      <c r="F679">
        <v>1.92</v>
      </c>
      <c r="G679" t="s">
        <v>14</v>
      </c>
      <c r="H679" t="s">
        <v>47</v>
      </c>
      <c r="I679" t="s">
        <v>24</v>
      </c>
      <c r="J679" t="s">
        <v>544</v>
      </c>
      <c r="K679" t="s">
        <v>26</v>
      </c>
      <c r="L679" t="s">
        <v>1416</v>
      </c>
      <c r="M679">
        <v>0.84</v>
      </c>
      <c r="N679" t="s">
        <v>8</v>
      </c>
      <c r="O679" t="s">
        <v>87</v>
      </c>
      <c r="P679" t="s">
        <v>293</v>
      </c>
      <c r="Q679" t="s">
        <v>303</v>
      </c>
      <c r="R679">
        <v>44125</v>
      </c>
      <c r="S679" s="1">
        <v>42063</v>
      </c>
      <c r="T679" s="1">
        <v>42065</v>
      </c>
      <c r="U679">
        <v>-13.135199999999999</v>
      </c>
      <c r="V679">
        <v>8</v>
      </c>
      <c r="W679">
        <v>27.53</v>
      </c>
      <c r="X679">
        <v>88157</v>
      </c>
      <c r="Y679">
        <f>cleaneddata[[#This Row],[Unit Price]]-cleaneddata[[#This Row],[Discount]]</f>
        <v>3.14</v>
      </c>
      <c r="Z67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80" spans="1:26" x14ac:dyDescent="0.3">
      <c r="A680">
        <v>2931</v>
      </c>
      <c r="B680" t="s">
        <v>1417</v>
      </c>
      <c r="C680" t="s">
        <v>46</v>
      </c>
      <c r="D680">
        <v>0.1</v>
      </c>
      <c r="E680">
        <v>11.55</v>
      </c>
      <c r="F680">
        <v>2.36</v>
      </c>
      <c r="G680" t="s">
        <v>14</v>
      </c>
      <c r="H680" t="s">
        <v>3</v>
      </c>
      <c r="I680" t="s">
        <v>24</v>
      </c>
      <c r="J680" t="s">
        <v>25</v>
      </c>
      <c r="K680" t="s">
        <v>26</v>
      </c>
      <c r="L680" t="s">
        <v>356</v>
      </c>
      <c r="M680">
        <v>0.55000000000000004</v>
      </c>
      <c r="N680" t="s">
        <v>8</v>
      </c>
      <c r="O680" t="s">
        <v>35</v>
      </c>
      <c r="P680" t="s">
        <v>66</v>
      </c>
      <c r="Q680" t="s">
        <v>1418</v>
      </c>
      <c r="R680">
        <v>95630</v>
      </c>
      <c r="S680" s="1">
        <v>42063</v>
      </c>
      <c r="T680" s="1">
        <v>42063</v>
      </c>
      <c r="U680">
        <v>69.767200000000003</v>
      </c>
      <c r="V680">
        <v>12</v>
      </c>
      <c r="W680">
        <v>135.77000000000001</v>
      </c>
      <c r="X680">
        <v>87619</v>
      </c>
      <c r="Y680">
        <f>cleaneddata[[#This Row],[Unit Price]]-cleaneddata[[#This Row],[Discount]]</f>
        <v>11.450000000000001</v>
      </c>
      <c r="Z68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81" spans="1:26" x14ac:dyDescent="0.3">
      <c r="A681">
        <v>946</v>
      </c>
      <c r="B681" t="s">
        <v>1419</v>
      </c>
      <c r="C681" t="s">
        <v>1</v>
      </c>
      <c r="D681">
        <v>0.09</v>
      </c>
      <c r="E681">
        <v>90.98</v>
      </c>
      <c r="F681">
        <v>56.2</v>
      </c>
      <c r="G681" t="s">
        <v>63</v>
      </c>
      <c r="H681" t="s">
        <v>47</v>
      </c>
      <c r="I681" t="s">
        <v>4</v>
      </c>
      <c r="J681" t="s">
        <v>102</v>
      </c>
      <c r="K681" t="s">
        <v>120</v>
      </c>
      <c r="L681" t="s">
        <v>783</v>
      </c>
      <c r="M681">
        <v>0.74</v>
      </c>
      <c r="N681" t="s">
        <v>8</v>
      </c>
      <c r="O681" t="s">
        <v>87</v>
      </c>
      <c r="P681" t="s">
        <v>307</v>
      </c>
      <c r="Q681" t="s">
        <v>1180</v>
      </c>
      <c r="R681">
        <v>4210</v>
      </c>
      <c r="S681" s="1">
        <v>42064</v>
      </c>
      <c r="T681" s="1">
        <v>42065</v>
      </c>
      <c r="U681">
        <v>-1570.32</v>
      </c>
      <c r="V681">
        <v>20</v>
      </c>
      <c r="W681">
        <v>1782.44</v>
      </c>
      <c r="X681">
        <v>86566</v>
      </c>
      <c r="Y681">
        <f>cleaneddata[[#This Row],[Unit Price]]-cleaneddata[[#This Row],[Discount]]</f>
        <v>90.89</v>
      </c>
      <c r="Z68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82" spans="1:26" x14ac:dyDescent="0.3">
      <c r="A682">
        <v>1014</v>
      </c>
      <c r="B682" t="s">
        <v>1420</v>
      </c>
      <c r="C682" t="s">
        <v>1</v>
      </c>
      <c r="D682">
        <v>0.09</v>
      </c>
      <c r="E682">
        <v>28.48</v>
      </c>
      <c r="F682">
        <v>1.99</v>
      </c>
      <c r="G682" t="s">
        <v>14</v>
      </c>
      <c r="H682" t="s">
        <v>47</v>
      </c>
      <c r="I682" t="s">
        <v>16</v>
      </c>
      <c r="J682" t="s">
        <v>17</v>
      </c>
      <c r="K682" t="s">
        <v>18</v>
      </c>
      <c r="L682" t="s">
        <v>188</v>
      </c>
      <c r="M682">
        <v>0.4</v>
      </c>
      <c r="N682" t="s">
        <v>8</v>
      </c>
      <c r="O682" t="s">
        <v>9</v>
      </c>
      <c r="P682" t="s">
        <v>20</v>
      </c>
      <c r="Q682" t="s">
        <v>1421</v>
      </c>
      <c r="R682">
        <v>72022</v>
      </c>
      <c r="S682" s="1">
        <v>42064</v>
      </c>
      <c r="T682" s="1">
        <v>42065</v>
      </c>
      <c r="U682">
        <v>-17.149999999999999</v>
      </c>
      <c r="V682">
        <v>6</v>
      </c>
      <c r="W682">
        <v>160.16999999999999</v>
      </c>
      <c r="X682">
        <v>88387</v>
      </c>
      <c r="Y682">
        <f>cleaneddata[[#This Row],[Unit Price]]-cleaneddata[[#This Row],[Discount]]</f>
        <v>28.39</v>
      </c>
      <c r="Z68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83" spans="1:26" x14ac:dyDescent="0.3">
      <c r="A683">
        <v>1014</v>
      </c>
      <c r="B683" t="s">
        <v>1420</v>
      </c>
      <c r="C683" t="s">
        <v>1</v>
      </c>
      <c r="D683">
        <v>0</v>
      </c>
      <c r="E683">
        <v>2.08</v>
      </c>
      <c r="F683">
        <v>5.33</v>
      </c>
      <c r="G683" t="s">
        <v>14</v>
      </c>
      <c r="H683" t="s">
        <v>47</v>
      </c>
      <c r="I683" t="s">
        <v>4</v>
      </c>
      <c r="J683" t="s">
        <v>102</v>
      </c>
      <c r="K683" t="s">
        <v>49</v>
      </c>
      <c r="L683" t="s">
        <v>435</v>
      </c>
      <c r="M683">
        <v>0.43</v>
      </c>
      <c r="N683" t="s">
        <v>8</v>
      </c>
      <c r="O683" t="s">
        <v>9</v>
      </c>
      <c r="P683" t="s">
        <v>20</v>
      </c>
      <c r="Q683" t="s">
        <v>1421</v>
      </c>
      <c r="R683">
        <v>72022</v>
      </c>
      <c r="S683" s="1">
        <v>42064</v>
      </c>
      <c r="T683" s="1">
        <v>42066</v>
      </c>
      <c r="U683">
        <v>-29.54</v>
      </c>
      <c r="V683">
        <v>3</v>
      </c>
      <c r="W683">
        <v>7.47</v>
      </c>
      <c r="X683">
        <v>88387</v>
      </c>
      <c r="Y683">
        <f>cleaneddata[[#This Row],[Unit Price]]-cleaneddata[[#This Row],[Discount]]</f>
        <v>2.08</v>
      </c>
      <c r="Z6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84" spans="1:26" x14ac:dyDescent="0.3">
      <c r="A684">
        <v>1014</v>
      </c>
      <c r="B684" t="s">
        <v>1420</v>
      </c>
      <c r="C684" t="s">
        <v>1</v>
      </c>
      <c r="D684">
        <v>0.06</v>
      </c>
      <c r="E684">
        <v>45.99</v>
      </c>
      <c r="F684">
        <v>4.99</v>
      </c>
      <c r="G684" t="s">
        <v>63</v>
      </c>
      <c r="H684" t="s">
        <v>47</v>
      </c>
      <c r="I684" t="s">
        <v>16</v>
      </c>
      <c r="J684" t="s">
        <v>111</v>
      </c>
      <c r="K684" t="s">
        <v>49</v>
      </c>
      <c r="L684" t="s">
        <v>1422</v>
      </c>
      <c r="M684">
        <v>0.56000000000000005</v>
      </c>
      <c r="N684" t="s">
        <v>8</v>
      </c>
      <c r="O684" t="s">
        <v>9</v>
      </c>
      <c r="P684" t="s">
        <v>20</v>
      </c>
      <c r="Q684" t="s">
        <v>1421</v>
      </c>
      <c r="R684">
        <v>72022</v>
      </c>
      <c r="S684" s="1">
        <v>42064</v>
      </c>
      <c r="T684" s="1">
        <v>42065</v>
      </c>
      <c r="U684">
        <v>-329.78399999999999</v>
      </c>
      <c r="V684">
        <v>10</v>
      </c>
      <c r="W684">
        <v>370.81</v>
      </c>
      <c r="X684">
        <v>88387</v>
      </c>
      <c r="Y684">
        <f>cleaneddata[[#This Row],[Unit Price]]-cleaneddata[[#This Row],[Discount]]</f>
        <v>45.93</v>
      </c>
      <c r="Z68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85" spans="1:26" x14ac:dyDescent="0.3">
      <c r="A685">
        <v>1279</v>
      </c>
      <c r="B685" t="s">
        <v>1423</v>
      </c>
      <c r="C685" t="s">
        <v>1</v>
      </c>
      <c r="D685">
        <v>7.0000000000000007E-2</v>
      </c>
      <c r="E685">
        <v>40.98</v>
      </c>
      <c r="F685">
        <v>7.47</v>
      </c>
      <c r="G685" t="s">
        <v>14</v>
      </c>
      <c r="H685" t="s">
        <v>70</v>
      </c>
      <c r="I685" t="s">
        <v>24</v>
      </c>
      <c r="J685" t="s">
        <v>48</v>
      </c>
      <c r="K685" t="s">
        <v>49</v>
      </c>
      <c r="L685" t="s">
        <v>1355</v>
      </c>
      <c r="M685">
        <v>0.37</v>
      </c>
      <c r="N685" t="s">
        <v>8</v>
      </c>
      <c r="O685" t="s">
        <v>28</v>
      </c>
      <c r="P685" t="s">
        <v>29</v>
      </c>
      <c r="Q685" t="s">
        <v>1424</v>
      </c>
      <c r="R685">
        <v>46324</v>
      </c>
      <c r="S685" s="1">
        <v>42064</v>
      </c>
      <c r="T685" s="1">
        <v>42065</v>
      </c>
      <c r="U685">
        <v>54.901499999999999</v>
      </c>
      <c r="V685">
        <v>2</v>
      </c>
      <c r="W685">
        <v>81.900000000000006</v>
      </c>
      <c r="X685">
        <v>90114</v>
      </c>
      <c r="Y685">
        <f>cleaneddata[[#This Row],[Unit Price]]-cleaneddata[[#This Row],[Discount]]</f>
        <v>40.909999999999997</v>
      </c>
      <c r="Z68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86" spans="1:26" x14ac:dyDescent="0.3">
      <c r="A686">
        <v>1280</v>
      </c>
      <c r="B686" t="s">
        <v>1425</v>
      </c>
      <c r="C686" t="s">
        <v>1</v>
      </c>
      <c r="D686">
        <v>7.0000000000000007E-2</v>
      </c>
      <c r="E686">
        <v>40.98</v>
      </c>
      <c r="F686">
        <v>7.47</v>
      </c>
      <c r="G686" t="s">
        <v>14</v>
      </c>
      <c r="H686" t="s">
        <v>70</v>
      </c>
      <c r="I686" t="s">
        <v>24</v>
      </c>
      <c r="J686" t="s">
        <v>48</v>
      </c>
      <c r="K686" t="s">
        <v>49</v>
      </c>
      <c r="L686" t="s">
        <v>1355</v>
      </c>
      <c r="M686">
        <v>0.37</v>
      </c>
      <c r="N686" t="s">
        <v>8</v>
      </c>
      <c r="O686" t="s">
        <v>35</v>
      </c>
      <c r="P686" t="s">
        <v>42</v>
      </c>
      <c r="Q686" t="s">
        <v>118</v>
      </c>
      <c r="R686">
        <v>98119</v>
      </c>
      <c r="S686" s="1">
        <v>42064</v>
      </c>
      <c r="T686" s="1">
        <v>42065</v>
      </c>
      <c r="U686">
        <v>54.901499999999999</v>
      </c>
      <c r="V686">
        <v>8</v>
      </c>
      <c r="W686">
        <v>327.61</v>
      </c>
      <c r="X686">
        <v>19042</v>
      </c>
      <c r="Y686">
        <f>cleaneddata[[#This Row],[Unit Price]]-cleaneddata[[#This Row],[Discount]]</f>
        <v>40.909999999999997</v>
      </c>
      <c r="Z68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687" spans="1:26" x14ac:dyDescent="0.3">
      <c r="A687">
        <v>2718</v>
      </c>
      <c r="B687" t="s">
        <v>1426</v>
      </c>
      <c r="C687" t="s">
        <v>1</v>
      </c>
      <c r="D687">
        <v>0.1</v>
      </c>
      <c r="E687">
        <v>6.74</v>
      </c>
      <c r="F687">
        <v>1.72</v>
      </c>
      <c r="G687" t="s">
        <v>14</v>
      </c>
      <c r="H687" t="s">
        <v>15</v>
      </c>
      <c r="I687" t="s">
        <v>24</v>
      </c>
      <c r="J687" t="s">
        <v>64</v>
      </c>
      <c r="K687" t="s">
        <v>26</v>
      </c>
      <c r="L687" t="s">
        <v>1427</v>
      </c>
      <c r="M687">
        <v>0.35</v>
      </c>
      <c r="N687" t="s">
        <v>8</v>
      </c>
      <c r="O687" t="s">
        <v>28</v>
      </c>
      <c r="P687" t="s">
        <v>79</v>
      </c>
      <c r="Q687" t="s">
        <v>420</v>
      </c>
      <c r="R687">
        <v>60438</v>
      </c>
      <c r="S687" s="1">
        <v>42064</v>
      </c>
      <c r="T687" s="1">
        <v>42066</v>
      </c>
      <c r="U687">
        <v>65.41</v>
      </c>
      <c r="V687">
        <v>15</v>
      </c>
      <c r="W687">
        <v>98.17</v>
      </c>
      <c r="X687">
        <v>89394</v>
      </c>
      <c r="Y687">
        <f>cleaneddata[[#This Row],[Unit Price]]-cleaneddata[[#This Row],[Discount]]</f>
        <v>6.6400000000000006</v>
      </c>
      <c r="Z6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88" spans="1:26" x14ac:dyDescent="0.3">
      <c r="A688">
        <v>1561</v>
      </c>
      <c r="B688" t="s">
        <v>1428</v>
      </c>
      <c r="C688" t="s">
        <v>13</v>
      </c>
      <c r="D688">
        <v>0.02</v>
      </c>
      <c r="E688">
        <v>11.34</v>
      </c>
      <c r="F688">
        <v>11.25</v>
      </c>
      <c r="G688" t="s">
        <v>14</v>
      </c>
      <c r="H688" t="s">
        <v>70</v>
      </c>
      <c r="I688" t="s">
        <v>24</v>
      </c>
      <c r="J688" t="s">
        <v>64</v>
      </c>
      <c r="K688" t="s">
        <v>49</v>
      </c>
      <c r="L688" t="s">
        <v>1429</v>
      </c>
      <c r="M688">
        <v>0.36</v>
      </c>
      <c r="N688" t="s">
        <v>8</v>
      </c>
      <c r="O688" t="s">
        <v>28</v>
      </c>
      <c r="P688" t="s">
        <v>163</v>
      </c>
      <c r="Q688" t="s">
        <v>1430</v>
      </c>
      <c r="R688">
        <v>76063</v>
      </c>
      <c r="S688" s="1">
        <v>42064</v>
      </c>
      <c r="T688" s="1">
        <v>42065</v>
      </c>
      <c r="U688">
        <v>-155.21</v>
      </c>
      <c r="V688">
        <v>9</v>
      </c>
      <c r="W688">
        <v>105.75</v>
      </c>
      <c r="X688">
        <v>88093</v>
      </c>
      <c r="Y688">
        <f>cleaneddata[[#This Row],[Unit Price]]-cleaneddata[[#This Row],[Discount]]</f>
        <v>11.32</v>
      </c>
      <c r="Z68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89" spans="1:26" x14ac:dyDescent="0.3">
      <c r="A689">
        <v>1764</v>
      </c>
      <c r="B689" t="s">
        <v>687</v>
      </c>
      <c r="C689" t="s">
        <v>13</v>
      </c>
      <c r="D689">
        <v>0.06</v>
      </c>
      <c r="E689">
        <v>19.98</v>
      </c>
      <c r="F689">
        <v>10.49</v>
      </c>
      <c r="G689" t="s">
        <v>14</v>
      </c>
      <c r="H689" t="s">
        <v>15</v>
      </c>
      <c r="I689" t="s">
        <v>4</v>
      </c>
      <c r="J689" t="s">
        <v>102</v>
      </c>
      <c r="K689" t="s">
        <v>49</v>
      </c>
      <c r="L689" t="s">
        <v>1431</v>
      </c>
      <c r="M689">
        <v>0.49</v>
      </c>
      <c r="N689" t="s">
        <v>8</v>
      </c>
      <c r="O689" t="s">
        <v>9</v>
      </c>
      <c r="P689" t="s">
        <v>99</v>
      </c>
      <c r="Q689" t="s">
        <v>689</v>
      </c>
      <c r="R689">
        <v>34698</v>
      </c>
      <c r="S689" s="1">
        <v>42064</v>
      </c>
      <c r="T689" s="1">
        <v>42066</v>
      </c>
      <c r="U689">
        <v>514.17719999999997</v>
      </c>
      <c r="V689">
        <v>5</v>
      </c>
      <c r="W689">
        <v>103.37</v>
      </c>
      <c r="X689">
        <v>89776</v>
      </c>
      <c r="Y689">
        <f>cleaneddata[[#This Row],[Unit Price]]-cleaneddata[[#This Row],[Discount]]</f>
        <v>19.920000000000002</v>
      </c>
      <c r="Z6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0" spans="1:26" x14ac:dyDescent="0.3">
      <c r="A690">
        <v>1764</v>
      </c>
      <c r="B690" t="s">
        <v>687</v>
      </c>
      <c r="C690" t="s">
        <v>13</v>
      </c>
      <c r="D690">
        <v>0.08</v>
      </c>
      <c r="E690">
        <v>1.76</v>
      </c>
      <c r="F690">
        <v>4.8600000000000003</v>
      </c>
      <c r="G690" t="s">
        <v>14</v>
      </c>
      <c r="H690" t="s">
        <v>15</v>
      </c>
      <c r="I690" t="s">
        <v>4</v>
      </c>
      <c r="J690" t="s">
        <v>102</v>
      </c>
      <c r="K690" t="s">
        <v>49</v>
      </c>
      <c r="L690" t="s">
        <v>582</v>
      </c>
      <c r="M690">
        <v>0.41</v>
      </c>
      <c r="N690" t="s">
        <v>8</v>
      </c>
      <c r="O690" t="s">
        <v>9</v>
      </c>
      <c r="P690" t="s">
        <v>99</v>
      </c>
      <c r="Q690" t="s">
        <v>689</v>
      </c>
      <c r="R690">
        <v>34698</v>
      </c>
      <c r="S690" s="1">
        <v>42064</v>
      </c>
      <c r="T690" s="1">
        <v>42065</v>
      </c>
      <c r="U690">
        <v>235.65600000000001</v>
      </c>
      <c r="V690">
        <v>23</v>
      </c>
      <c r="W690">
        <v>40.22</v>
      </c>
      <c r="X690">
        <v>89776</v>
      </c>
      <c r="Y690">
        <f>cleaneddata[[#This Row],[Unit Price]]-cleaneddata[[#This Row],[Discount]]</f>
        <v>1.68</v>
      </c>
      <c r="Z69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1" spans="1:26" x14ac:dyDescent="0.3">
      <c r="A691">
        <v>1917</v>
      </c>
      <c r="B691" t="s">
        <v>1432</v>
      </c>
      <c r="C691" t="s">
        <v>13</v>
      </c>
      <c r="D691">
        <v>0.08</v>
      </c>
      <c r="E691">
        <v>22.23</v>
      </c>
      <c r="F691">
        <v>3.63</v>
      </c>
      <c r="G691" t="s">
        <v>14</v>
      </c>
      <c r="H691" t="s">
        <v>47</v>
      </c>
      <c r="I691" t="s">
        <v>4</v>
      </c>
      <c r="J691" t="s">
        <v>102</v>
      </c>
      <c r="K691" t="s">
        <v>18</v>
      </c>
      <c r="L691" t="s">
        <v>1433</v>
      </c>
      <c r="M691">
        <v>0.52</v>
      </c>
      <c r="N691" t="s">
        <v>8</v>
      </c>
      <c r="O691" t="s">
        <v>9</v>
      </c>
      <c r="P691" t="s">
        <v>20</v>
      </c>
      <c r="Q691" t="s">
        <v>1434</v>
      </c>
      <c r="R691">
        <v>72113</v>
      </c>
      <c r="S691" s="1">
        <v>42064</v>
      </c>
      <c r="T691" s="1">
        <v>42066</v>
      </c>
      <c r="U691">
        <v>-29.61</v>
      </c>
      <c r="V691">
        <v>10</v>
      </c>
      <c r="W691">
        <v>210.33</v>
      </c>
      <c r="X691">
        <v>85897</v>
      </c>
      <c r="Y691">
        <f>cleaneddata[[#This Row],[Unit Price]]-cleaneddata[[#This Row],[Discount]]</f>
        <v>22.150000000000002</v>
      </c>
      <c r="Z69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2" spans="1:26" x14ac:dyDescent="0.3">
      <c r="A692">
        <v>2437</v>
      </c>
      <c r="B692" t="s">
        <v>1435</v>
      </c>
      <c r="C692" t="s">
        <v>23</v>
      </c>
      <c r="D692">
        <v>0.09</v>
      </c>
      <c r="E692">
        <v>90.97</v>
      </c>
      <c r="F692">
        <v>14</v>
      </c>
      <c r="G692" t="s">
        <v>2</v>
      </c>
      <c r="H692" t="s">
        <v>47</v>
      </c>
      <c r="I692" t="s">
        <v>16</v>
      </c>
      <c r="J692" t="s">
        <v>32</v>
      </c>
      <c r="K692" t="s">
        <v>33</v>
      </c>
      <c r="L692" t="s">
        <v>1086</v>
      </c>
      <c r="M692">
        <v>0.36</v>
      </c>
      <c r="N692" t="s">
        <v>8</v>
      </c>
      <c r="O692" t="s">
        <v>28</v>
      </c>
      <c r="P692" t="s">
        <v>333</v>
      </c>
      <c r="Q692" t="s">
        <v>1436</v>
      </c>
      <c r="R692">
        <v>53150</v>
      </c>
      <c r="S692" s="1">
        <v>42064</v>
      </c>
      <c r="T692" s="1">
        <v>42066</v>
      </c>
      <c r="U692">
        <v>35.29</v>
      </c>
      <c r="V692">
        <v>3</v>
      </c>
      <c r="W692">
        <v>260</v>
      </c>
      <c r="X692">
        <v>90301</v>
      </c>
      <c r="Y692">
        <f>cleaneddata[[#This Row],[Unit Price]]-cleaneddata[[#This Row],[Discount]]</f>
        <v>90.88</v>
      </c>
      <c r="Z6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693" spans="1:26" x14ac:dyDescent="0.3">
      <c r="A693">
        <v>2454</v>
      </c>
      <c r="B693" t="s">
        <v>1437</v>
      </c>
      <c r="C693" t="s">
        <v>92</v>
      </c>
      <c r="D693">
        <v>0.06</v>
      </c>
      <c r="E693">
        <v>3499.99</v>
      </c>
      <c r="F693">
        <v>24.49</v>
      </c>
      <c r="G693" t="s">
        <v>63</v>
      </c>
      <c r="H693" t="s">
        <v>70</v>
      </c>
      <c r="I693" t="s">
        <v>16</v>
      </c>
      <c r="J693" t="s">
        <v>39</v>
      </c>
      <c r="K693" t="s">
        <v>40</v>
      </c>
      <c r="L693" t="s">
        <v>494</v>
      </c>
      <c r="M693">
        <v>0.37</v>
      </c>
      <c r="N693" t="s">
        <v>8</v>
      </c>
      <c r="O693" t="s">
        <v>9</v>
      </c>
      <c r="P693" t="s">
        <v>140</v>
      </c>
      <c r="Q693" t="s">
        <v>1438</v>
      </c>
      <c r="R693">
        <v>35244</v>
      </c>
      <c r="S693" s="1">
        <v>42064</v>
      </c>
      <c r="T693" s="1">
        <v>42067</v>
      </c>
      <c r="U693">
        <v>-68.432000000000002</v>
      </c>
      <c r="V693">
        <v>1</v>
      </c>
      <c r="W693">
        <v>3550.28</v>
      </c>
      <c r="X693">
        <v>89219</v>
      </c>
      <c r="Y693">
        <f>cleaneddata[[#This Row],[Unit Price]]-cleaneddata[[#This Row],[Discount]]</f>
        <v>3499.93</v>
      </c>
      <c r="Z69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4" spans="1:26" x14ac:dyDescent="0.3">
      <c r="A694">
        <v>1882</v>
      </c>
      <c r="B694" t="s">
        <v>1439</v>
      </c>
      <c r="C694" t="s">
        <v>46</v>
      </c>
      <c r="D694">
        <v>0.09</v>
      </c>
      <c r="E694">
        <v>5.78</v>
      </c>
      <c r="F694">
        <v>5.67</v>
      </c>
      <c r="G694" t="s">
        <v>14</v>
      </c>
      <c r="H694" t="s">
        <v>47</v>
      </c>
      <c r="I694" t="s">
        <v>24</v>
      </c>
      <c r="J694" t="s">
        <v>64</v>
      </c>
      <c r="K694" t="s">
        <v>49</v>
      </c>
      <c r="L694" t="s">
        <v>591</v>
      </c>
      <c r="M694">
        <v>0.36</v>
      </c>
      <c r="N694" t="s">
        <v>8</v>
      </c>
      <c r="O694" t="s">
        <v>87</v>
      </c>
      <c r="P694" t="s">
        <v>373</v>
      </c>
      <c r="Q694" t="s">
        <v>1440</v>
      </c>
      <c r="R694">
        <v>7036</v>
      </c>
      <c r="S694" s="1">
        <v>42064</v>
      </c>
      <c r="T694" s="1">
        <v>42066</v>
      </c>
      <c r="U694">
        <v>-7.96</v>
      </c>
      <c r="V694">
        <v>1</v>
      </c>
      <c r="W694">
        <v>11.35</v>
      </c>
      <c r="X694">
        <v>87378</v>
      </c>
      <c r="Y694">
        <f>cleaneddata[[#This Row],[Unit Price]]-cleaneddata[[#This Row],[Discount]]</f>
        <v>5.69</v>
      </c>
      <c r="Z69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95" spans="1:26" x14ac:dyDescent="0.3">
      <c r="A695">
        <v>1885</v>
      </c>
      <c r="B695" t="s">
        <v>1441</v>
      </c>
      <c r="C695" t="s">
        <v>46</v>
      </c>
      <c r="D695">
        <v>0.05</v>
      </c>
      <c r="E695">
        <v>535.64</v>
      </c>
      <c r="F695">
        <v>14.7</v>
      </c>
      <c r="G695" t="s">
        <v>2</v>
      </c>
      <c r="H695" t="s">
        <v>47</v>
      </c>
      <c r="I695" t="s">
        <v>16</v>
      </c>
      <c r="J695" t="s">
        <v>32</v>
      </c>
      <c r="K695" t="s">
        <v>33</v>
      </c>
      <c r="L695" t="s">
        <v>1442</v>
      </c>
      <c r="M695">
        <v>0.59</v>
      </c>
      <c r="N695" t="s">
        <v>8</v>
      </c>
      <c r="O695" t="s">
        <v>87</v>
      </c>
      <c r="P695" t="s">
        <v>560</v>
      </c>
      <c r="Q695" t="s">
        <v>1443</v>
      </c>
      <c r="R695">
        <v>2806</v>
      </c>
      <c r="S695" s="1">
        <v>42064</v>
      </c>
      <c r="T695" s="1">
        <v>42066</v>
      </c>
      <c r="U695">
        <v>4407.4399999999996</v>
      </c>
      <c r="V695">
        <v>15</v>
      </c>
      <c r="W695">
        <v>7029.1</v>
      </c>
      <c r="X695">
        <v>87378</v>
      </c>
      <c r="Y695">
        <f>cleaneddata[[#This Row],[Unit Price]]-cleaneddata[[#This Row],[Discount]]</f>
        <v>535.59</v>
      </c>
      <c r="Z69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696" spans="1:26" x14ac:dyDescent="0.3">
      <c r="A696">
        <v>3187</v>
      </c>
      <c r="B696" t="s">
        <v>1444</v>
      </c>
      <c r="C696" t="s">
        <v>13</v>
      </c>
      <c r="D696">
        <v>0.08</v>
      </c>
      <c r="E696">
        <v>170.98</v>
      </c>
      <c r="F696">
        <v>35.89</v>
      </c>
      <c r="G696" t="s">
        <v>2</v>
      </c>
      <c r="H696" t="s">
        <v>3</v>
      </c>
      <c r="I696" t="s">
        <v>4</v>
      </c>
      <c r="J696" t="s">
        <v>93</v>
      </c>
      <c r="K696" t="s">
        <v>6</v>
      </c>
      <c r="L696" t="s">
        <v>1445</v>
      </c>
      <c r="M696">
        <v>0.66</v>
      </c>
      <c r="N696" t="s">
        <v>8</v>
      </c>
      <c r="O696" t="s">
        <v>9</v>
      </c>
      <c r="P696" t="s">
        <v>99</v>
      </c>
      <c r="Q696" t="s">
        <v>1446</v>
      </c>
      <c r="R696">
        <v>33569</v>
      </c>
      <c r="S696" s="1">
        <v>42065</v>
      </c>
      <c r="T696" s="1">
        <v>42067</v>
      </c>
      <c r="U696">
        <v>-119.812</v>
      </c>
      <c r="V696">
        <v>1</v>
      </c>
      <c r="W696">
        <v>199.48</v>
      </c>
      <c r="X696">
        <v>89025</v>
      </c>
      <c r="Y696">
        <f>cleaneddata[[#This Row],[Unit Price]]-cleaneddata[[#This Row],[Discount]]</f>
        <v>170.89999999999998</v>
      </c>
      <c r="Z69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7" spans="1:26" x14ac:dyDescent="0.3">
      <c r="A697">
        <v>64</v>
      </c>
      <c r="B697" t="s">
        <v>1447</v>
      </c>
      <c r="C697" t="s">
        <v>46</v>
      </c>
      <c r="D697">
        <v>0</v>
      </c>
      <c r="E697">
        <v>3.69</v>
      </c>
      <c r="F697">
        <v>0.5</v>
      </c>
      <c r="G697" t="s">
        <v>14</v>
      </c>
      <c r="H697" t="s">
        <v>3</v>
      </c>
      <c r="I697" t="s">
        <v>24</v>
      </c>
      <c r="J697" t="s">
        <v>128</v>
      </c>
      <c r="K697" t="s">
        <v>49</v>
      </c>
      <c r="L697" t="s">
        <v>1448</v>
      </c>
      <c r="M697">
        <v>0.38</v>
      </c>
      <c r="N697" t="s">
        <v>8</v>
      </c>
      <c r="O697" t="s">
        <v>9</v>
      </c>
      <c r="P697" t="s">
        <v>218</v>
      </c>
      <c r="Q697" t="s">
        <v>1449</v>
      </c>
      <c r="R697">
        <v>24153</v>
      </c>
      <c r="S697" s="1">
        <v>42065</v>
      </c>
      <c r="T697" s="1">
        <v>42067</v>
      </c>
      <c r="U697">
        <v>-37.5291</v>
      </c>
      <c r="V697">
        <v>1</v>
      </c>
      <c r="W697">
        <v>4</v>
      </c>
      <c r="X697">
        <v>87406</v>
      </c>
      <c r="Y697">
        <f>cleaneddata[[#This Row],[Unit Price]]-cleaneddata[[#This Row],[Discount]]</f>
        <v>3.69</v>
      </c>
      <c r="Z6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8" spans="1:26" x14ac:dyDescent="0.3">
      <c r="A698">
        <v>64</v>
      </c>
      <c r="B698" t="s">
        <v>1447</v>
      </c>
      <c r="C698" t="s">
        <v>46</v>
      </c>
      <c r="D698">
        <v>0.02</v>
      </c>
      <c r="E698">
        <v>175.99</v>
      </c>
      <c r="F698">
        <v>4.99</v>
      </c>
      <c r="G698" t="s">
        <v>63</v>
      </c>
      <c r="H698" t="s">
        <v>3</v>
      </c>
      <c r="I698" t="s">
        <v>16</v>
      </c>
      <c r="J698" t="s">
        <v>111</v>
      </c>
      <c r="K698" t="s">
        <v>49</v>
      </c>
      <c r="L698" t="s">
        <v>1225</v>
      </c>
      <c r="M698">
        <v>0.59</v>
      </c>
      <c r="N698" t="s">
        <v>8</v>
      </c>
      <c r="O698" t="s">
        <v>9</v>
      </c>
      <c r="P698" t="s">
        <v>218</v>
      </c>
      <c r="Q698" t="s">
        <v>1449</v>
      </c>
      <c r="R698">
        <v>24153</v>
      </c>
      <c r="S698" s="1">
        <v>42065</v>
      </c>
      <c r="T698" s="1">
        <v>42065</v>
      </c>
      <c r="U698">
        <v>101.49</v>
      </c>
      <c r="V698">
        <v>4</v>
      </c>
      <c r="W698">
        <v>589.79999999999995</v>
      </c>
      <c r="X698">
        <v>87406</v>
      </c>
      <c r="Y698">
        <f>cleaneddata[[#This Row],[Unit Price]]-cleaneddata[[#This Row],[Discount]]</f>
        <v>175.97</v>
      </c>
      <c r="Z6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699" spans="1:26" x14ac:dyDescent="0.3">
      <c r="A699">
        <v>2877</v>
      </c>
      <c r="B699" t="s">
        <v>1450</v>
      </c>
      <c r="C699" t="s">
        <v>46</v>
      </c>
      <c r="D699">
        <v>0</v>
      </c>
      <c r="E699">
        <v>8.33</v>
      </c>
      <c r="F699">
        <v>1.99</v>
      </c>
      <c r="G699" t="s">
        <v>63</v>
      </c>
      <c r="H699" t="s">
        <v>15</v>
      </c>
      <c r="I699" t="s">
        <v>16</v>
      </c>
      <c r="J699" t="s">
        <v>17</v>
      </c>
      <c r="K699" t="s">
        <v>18</v>
      </c>
      <c r="L699" t="s">
        <v>1150</v>
      </c>
      <c r="M699">
        <v>0.52</v>
      </c>
      <c r="N699" t="s">
        <v>8</v>
      </c>
      <c r="O699" t="s">
        <v>87</v>
      </c>
      <c r="P699" t="s">
        <v>293</v>
      </c>
      <c r="Q699" t="s">
        <v>1451</v>
      </c>
      <c r="R699">
        <v>44070</v>
      </c>
      <c r="S699" s="1">
        <v>42065</v>
      </c>
      <c r="T699" s="1">
        <v>42067</v>
      </c>
      <c r="U699">
        <v>74.181899999999999</v>
      </c>
      <c r="V699">
        <v>12</v>
      </c>
      <c r="W699">
        <v>107.51</v>
      </c>
      <c r="X699">
        <v>91492</v>
      </c>
      <c r="Y699">
        <f>cleaneddata[[#This Row],[Unit Price]]-cleaneddata[[#This Row],[Discount]]</f>
        <v>8.33</v>
      </c>
      <c r="Z6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00" spans="1:26" x14ac:dyDescent="0.3">
      <c r="A700">
        <v>2878</v>
      </c>
      <c r="B700" t="s">
        <v>1452</v>
      </c>
      <c r="C700" t="s">
        <v>46</v>
      </c>
      <c r="D700">
        <v>0</v>
      </c>
      <c r="E700">
        <v>8.33</v>
      </c>
      <c r="F700">
        <v>1.99</v>
      </c>
      <c r="G700" t="s">
        <v>63</v>
      </c>
      <c r="H700" t="s">
        <v>15</v>
      </c>
      <c r="I700" t="s">
        <v>16</v>
      </c>
      <c r="J700" t="s">
        <v>17</v>
      </c>
      <c r="K700" t="s">
        <v>18</v>
      </c>
      <c r="L700" t="s">
        <v>1150</v>
      </c>
      <c r="M700">
        <v>0.52</v>
      </c>
      <c r="N700" t="s">
        <v>8</v>
      </c>
      <c r="O700" t="s">
        <v>35</v>
      </c>
      <c r="P700" t="s">
        <v>42</v>
      </c>
      <c r="Q700" t="s">
        <v>118</v>
      </c>
      <c r="R700">
        <v>98107</v>
      </c>
      <c r="S700" s="1">
        <v>42065</v>
      </c>
      <c r="T700" s="1">
        <v>42067</v>
      </c>
      <c r="U700">
        <v>82.31</v>
      </c>
      <c r="V700">
        <v>47</v>
      </c>
      <c r="W700">
        <v>421.08</v>
      </c>
      <c r="X700">
        <v>54369</v>
      </c>
      <c r="Y700">
        <f>cleaneddata[[#This Row],[Unit Price]]-cleaneddata[[#This Row],[Discount]]</f>
        <v>8.33</v>
      </c>
      <c r="Z70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01" spans="1:26" x14ac:dyDescent="0.3">
      <c r="A701">
        <v>3067</v>
      </c>
      <c r="B701" t="s">
        <v>1453</v>
      </c>
      <c r="C701" t="s">
        <v>46</v>
      </c>
      <c r="D701">
        <v>0.06</v>
      </c>
      <c r="E701">
        <v>355.98</v>
      </c>
      <c r="F701">
        <v>58.92</v>
      </c>
      <c r="G701" t="s">
        <v>2</v>
      </c>
      <c r="H701" t="s">
        <v>15</v>
      </c>
      <c r="I701" t="s">
        <v>4</v>
      </c>
      <c r="J701" t="s">
        <v>85</v>
      </c>
      <c r="K701" t="s">
        <v>33</v>
      </c>
      <c r="L701" t="s">
        <v>670</v>
      </c>
      <c r="M701">
        <v>0.64</v>
      </c>
      <c r="N701" t="s">
        <v>8</v>
      </c>
      <c r="O701" t="s">
        <v>87</v>
      </c>
      <c r="P701" t="s">
        <v>293</v>
      </c>
      <c r="Q701" t="s">
        <v>1454</v>
      </c>
      <c r="R701">
        <v>44515</v>
      </c>
      <c r="S701" s="1">
        <v>42065</v>
      </c>
      <c r="T701" s="1">
        <v>42066</v>
      </c>
      <c r="U701">
        <v>1660.92</v>
      </c>
      <c r="V701">
        <v>14</v>
      </c>
      <c r="W701">
        <v>5086.08</v>
      </c>
      <c r="X701">
        <v>91376</v>
      </c>
      <c r="Y701">
        <f>cleaneddata[[#This Row],[Unit Price]]-cleaneddata[[#This Row],[Discount]]</f>
        <v>355.92</v>
      </c>
      <c r="Z70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02" spans="1:26" x14ac:dyDescent="0.3">
      <c r="A702">
        <v>1686</v>
      </c>
      <c r="B702" t="s">
        <v>1455</v>
      </c>
      <c r="C702" t="s">
        <v>23</v>
      </c>
      <c r="D702">
        <v>0.08</v>
      </c>
      <c r="E702">
        <v>2.08</v>
      </c>
      <c r="F702">
        <v>5.33</v>
      </c>
      <c r="G702" t="s">
        <v>14</v>
      </c>
      <c r="H702" t="s">
        <v>70</v>
      </c>
      <c r="I702" t="s">
        <v>4</v>
      </c>
      <c r="J702" t="s">
        <v>102</v>
      </c>
      <c r="K702" t="s">
        <v>49</v>
      </c>
      <c r="L702" t="s">
        <v>435</v>
      </c>
      <c r="M702">
        <v>0.43</v>
      </c>
      <c r="N702" t="s">
        <v>8</v>
      </c>
      <c r="O702" t="s">
        <v>28</v>
      </c>
      <c r="P702" t="s">
        <v>79</v>
      </c>
      <c r="Q702" t="s">
        <v>1456</v>
      </c>
      <c r="R702">
        <v>60123</v>
      </c>
      <c r="S702" s="1">
        <v>42066</v>
      </c>
      <c r="T702" s="1">
        <v>42073</v>
      </c>
      <c r="U702">
        <v>-129.01</v>
      </c>
      <c r="V702">
        <v>9</v>
      </c>
      <c r="W702">
        <v>19.670000000000002</v>
      </c>
      <c r="X702">
        <v>86973</v>
      </c>
      <c r="Y702">
        <f>cleaneddata[[#This Row],[Unit Price]]-cleaneddata[[#This Row],[Discount]]</f>
        <v>2</v>
      </c>
      <c r="Z70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03" spans="1:26" x14ac:dyDescent="0.3">
      <c r="A703">
        <v>428</v>
      </c>
      <c r="B703" t="s">
        <v>487</v>
      </c>
      <c r="C703" t="s">
        <v>46</v>
      </c>
      <c r="D703">
        <v>0.05</v>
      </c>
      <c r="E703">
        <v>10.98</v>
      </c>
      <c r="F703">
        <v>4.8</v>
      </c>
      <c r="G703" t="s">
        <v>14</v>
      </c>
      <c r="H703" t="s">
        <v>70</v>
      </c>
      <c r="I703" t="s">
        <v>24</v>
      </c>
      <c r="J703" t="s">
        <v>321</v>
      </c>
      <c r="K703" t="s">
        <v>49</v>
      </c>
      <c r="L703" t="s">
        <v>1457</v>
      </c>
      <c r="M703">
        <v>0.36</v>
      </c>
      <c r="N703" t="s">
        <v>8</v>
      </c>
      <c r="O703" t="s">
        <v>35</v>
      </c>
      <c r="P703" t="s">
        <v>272</v>
      </c>
      <c r="Q703" t="s">
        <v>489</v>
      </c>
      <c r="R703">
        <v>89701</v>
      </c>
      <c r="S703" s="1">
        <v>42066</v>
      </c>
      <c r="T703" s="1">
        <v>42068</v>
      </c>
      <c r="U703">
        <v>90.62</v>
      </c>
      <c r="V703">
        <v>22</v>
      </c>
      <c r="W703">
        <v>243.11</v>
      </c>
      <c r="X703">
        <v>88480</v>
      </c>
      <c r="Y703">
        <f>cleaneddata[[#This Row],[Unit Price]]-cleaneddata[[#This Row],[Discount]]</f>
        <v>10.93</v>
      </c>
      <c r="Z70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04" spans="1:26" x14ac:dyDescent="0.3">
      <c r="A704">
        <v>568</v>
      </c>
      <c r="B704" t="s">
        <v>1458</v>
      </c>
      <c r="C704" t="s">
        <v>1</v>
      </c>
      <c r="D704">
        <v>0.02</v>
      </c>
      <c r="E704">
        <v>280.98</v>
      </c>
      <c r="F704">
        <v>57</v>
      </c>
      <c r="G704" t="s">
        <v>2</v>
      </c>
      <c r="H704" t="s">
        <v>15</v>
      </c>
      <c r="I704" t="s">
        <v>4</v>
      </c>
      <c r="J704" t="s">
        <v>85</v>
      </c>
      <c r="K704" t="s">
        <v>33</v>
      </c>
      <c r="L704" t="s">
        <v>838</v>
      </c>
      <c r="M704">
        <v>0.78</v>
      </c>
      <c r="N704" t="s">
        <v>8</v>
      </c>
      <c r="O704" t="s">
        <v>9</v>
      </c>
      <c r="P704" t="s">
        <v>10</v>
      </c>
      <c r="Q704" t="s">
        <v>1459</v>
      </c>
      <c r="R704">
        <v>39701</v>
      </c>
      <c r="S704" s="1">
        <v>42067</v>
      </c>
      <c r="T704" s="1">
        <v>42068</v>
      </c>
      <c r="U704">
        <v>1141.7940000000001</v>
      </c>
      <c r="V704">
        <v>4</v>
      </c>
      <c r="W704">
        <v>1128.74</v>
      </c>
      <c r="X704">
        <v>88879</v>
      </c>
      <c r="Y704">
        <f>cleaneddata[[#This Row],[Unit Price]]-cleaneddata[[#This Row],[Discount]]</f>
        <v>280.96000000000004</v>
      </c>
      <c r="Z70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05" spans="1:26" x14ac:dyDescent="0.3">
      <c r="A705">
        <v>3133</v>
      </c>
      <c r="B705" t="s">
        <v>537</v>
      </c>
      <c r="C705" t="s">
        <v>1</v>
      </c>
      <c r="D705">
        <v>0.08</v>
      </c>
      <c r="E705">
        <v>5.4</v>
      </c>
      <c r="F705">
        <v>7.78</v>
      </c>
      <c r="G705" t="s">
        <v>14</v>
      </c>
      <c r="H705" t="s">
        <v>70</v>
      </c>
      <c r="I705" t="s">
        <v>24</v>
      </c>
      <c r="J705" t="s">
        <v>48</v>
      </c>
      <c r="K705" t="s">
        <v>49</v>
      </c>
      <c r="L705" t="s">
        <v>1460</v>
      </c>
      <c r="M705">
        <v>0.37</v>
      </c>
      <c r="N705" t="s">
        <v>8</v>
      </c>
      <c r="O705" t="s">
        <v>28</v>
      </c>
      <c r="P705" t="s">
        <v>79</v>
      </c>
      <c r="Q705" t="s">
        <v>538</v>
      </c>
      <c r="R705">
        <v>60540</v>
      </c>
      <c r="S705" s="1">
        <v>42067</v>
      </c>
      <c r="T705" s="1">
        <v>42067</v>
      </c>
      <c r="U705">
        <v>-44.067999999999998</v>
      </c>
      <c r="V705">
        <v>4</v>
      </c>
      <c r="W705">
        <v>25.35</v>
      </c>
      <c r="X705">
        <v>86792</v>
      </c>
      <c r="Y705">
        <f>cleaneddata[[#This Row],[Unit Price]]-cleaneddata[[#This Row],[Discount]]</f>
        <v>5.32</v>
      </c>
      <c r="Z7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06" spans="1:26" x14ac:dyDescent="0.3">
      <c r="A706">
        <v>3133</v>
      </c>
      <c r="B706" t="s">
        <v>537</v>
      </c>
      <c r="C706" t="s">
        <v>1</v>
      </c>
      <c r="D706">
        <v>0.09</v>
      </c>
      <c r="E706">
        <v>8.4600000000000009</v>
      </c>
      <c r="F706">
        <v>8.99</v>
      </c>
      <c r="G706" t="s">
        <v>63</v>
      </c>
      <c r="H706" t="s">
        <v>70</v>
      </c>
      <c r="I706" t="s">
        <v>16</v>
      </c>
      <c r="J706" t="s">
        <v>17</v>
      </c>
      <c r="K706" t="s">
        <v>18</v>
      </c>
      <c r="L706" t="s">
        <v>1461</v>
      </c>
      <c r="M706">
        <v>0.79</v>
      </c>
      <c r="N706" t="s">
        <v>8</v>
      </c>
      <c r="O706" t="s">
        <v>28</v>
      </c>
      <c r="P706" t="s">
        <v>79</v>
      </c>
      <c r="Q706" t="s">
        <v>538</v>
      </c>
      <c r="R706">
        <v>60540</v>
      </c>
      <c r="S706" s="1">
        <v>42067</v>
      </c>
      <c r="T706" s="1">
        <v>42070</v>
      </c>
      <c r="U706">
        <v>-100.51</v>
      </c>
      <c r="V706">
        <v>5</v>
      </c>
      <c r="W706">
        <v>45.03</v>
      </c>
      <c r="X706">
        <v>86792</v>
      </c>
      <c r="Y706">
        <f>cleaneddata[[#This Row],[Unit Price]]-cleaneddata[[#This Row],[Discount]]</f>
        <v>8.370000000000001</v>
      </c>
      <c r="Z7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07" spans="1:26" x14ac:dyDescent="0.3">
      <c r="A707">
        <v>3133</v>
      </c>
      <c r="B707" t="s">
        <v>537</v>
      </c>
      <c r="C707" t="s">
        <v>1</v>
      </c>
      <c r="D707">
        <v>0.21</v>
      </c>
      <c r="E707">
        <v>14.98</v>
      </c>
      <c r="F707">
        <v>8.99</v>
      </c>
      <c r="G707" t="s">
        <v>14</v>
      </c>
      <c r="H707" t="s">
        <v>70</v>
      </c>
      <c r="I707" t="s">
        <v>4</v>
      </c>
      <c r="J707" t="s">
        <v>102</v>
      </c>
      <c r="K707" t="s">
        <v>18</v>
      </c>
      <c r="L707" t="s">
        <v>1462</v>
      </c>
      <c r="M707">
        <v>0.39</v>
      </c>
      <c r="N707" t="s">
        <v>8</v>
      </c>
      <c r="O707" t="s">
        <v>28</v>
      </c>
      <c r="P707" t="s">
        <v>79</v>
      </c>
      <c r="Q707" t="s">
        <v>538</v>
      </c>
      <c r="R707">
        <v>60540</v>
      </c>
      <c r="S707" s="1">
        <v>42067</v>
      </c>
      <c r="T707" s="1">
        <v>42068</v>
      </c>
      <c r="U707">
        <v>-17.75</v>
      </c>
      <c r="V707">
        <v>10</v>
      </c>
      <c r="W707">
        <v>153.87</v>
      </c>
      <c r="X707">
        <v>86792</v>
      </c>
      <c r="Y707">
        <f>cleaneddata[[#This Row],[Unit Price]]-cleaneddata[[#This Row],[Discount]]</f>
        <v>14.77</v>
      </c>
      <c r="Z70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08" spans="1:26" x14ac:dyDescent="0.3">
      <c r="A708">
        <v>3133</v>
      </c>
      <c r="B708" t="s">
        <v>537</v>
      </c>
      <c r="C708" t="s">
        <v>1</v>
      </c>
      <c r="D708">
        <v>0.04</v>
      </c>
      <c r="E708">
        <v>155.99</v>
      </c>
      <c r="F708">
        <v>8.08</v>
      </c>
      <c r="G708" t="s">
        <v>14</v>
      </c>
      <c r="H708" t="s">
        <v>70</v>
      </c>
      <c r="I708" t="s">
        <v>16</v>
      </c>
      <c r="J708" t="s">
        <v>111</v>
      </c>
      <c r="K708" t="s">
        <v>49</v>
      </c>
      <c r="L708" t="s">
        <v>1463</v>
      </c>
      <c r="M708">
        <v>0.6</v>
      </c>
      <c r="N708" t="s">
        <v>8</v>
      </c>
      <c r="O708" t="s">
        <v>28</v>
      </c>
      <c r="P708" t="s">
        <v>79</v>
      </c>
      <c r="Q708" t="s">
        <v>538</v>
      </c>
      <c r="R708">
        <v>60540</v>
      </c>
      <c r="S708" s="1">
        <v>42067</v>
      </c>
      <c r="T708" s="1">
        <v>42068</v>
      </c>
      <c r="U708">
        <v>1374.9480000000001</v>
      </c>
      <c r="V708">
        <v>22</v>
      </c>
      <c r="W708">
        <v>2800.33</v>
      </c>
      <c r="X708">
        <v>86792</v>
      </c>
      <c r="Y708">
        <f>cleaneddata[[#This Row],[Unit Price]]-cleaneddata[[#This Row],[Discount]]</f>
        <v>155.95000000000002</v>
      </c>
      <c r="Z70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09" spans="1:26" x14ac:dyDescent="0.3">
      <c r="A709">
        <v>1005</v>
      </c>
      <c r="B709" t="s">
        <v>1373</v>
      </c>
      <c r="C709" t="s">
        <v>23</v>
      </c>
      <c r="D709">
        <v>0.06</v>
      </c>
      <c r="E709">
        <v>10.14</v>
      </c>
      <c r="F709">
        <v>2.27</v>
      </c>
      <c r="G709" t="s">
        <v>14</v>
      </c>
      <c r="H709" t="s">
        <v>3</v>
      </c>
      <c r="I709" t="s">
        <v>24</v>
      </c>
      <c r="J709" t="s">
        <v>64</v>
      </c>
      <c r="K709" t="s">
        <v>26</v>
      </c>
      <c r="L709" t="s">
        <v>147</v>
      </c>
      <c r="M709">
        <v>0.36</v>
      </c>
      <c r="N709" t="s">
        <v>8</v>
      </c>
      <c r="O709" t="s">
        <v>28</v>
      </c>
      <c r="P709" t="s">
        <v>79</v>
      </c>
      <c r="Q709" t="s">
        <v>1375</v>
      </c>
      <c r="R709">
        <v>60089</v>
      </c>
      <c r="S709" s="1">
        <v>42067</v>
      </c>
      <c r="T709" s="1">
        <v>42067</v>
      </c>
      <c r="U709">
        <v>-3.88</v>
      </c>
      <c r="V709">
        <v>1</v>
      </c>
      <c r="W709">
        <v>12.18</v>
      </c>
      <c r="X709">
        <v>90043</v>
      </c>
      <c r="Y709">
        <f>cleaneddata[[#This Row],[Unit Price]]-cleaneddata[[#This Row],[Discount]]</f>
        <v>10.08</v>
      </c>
      <c r="Z7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10" spans="1:26" x14ac:dyDescent="0.3">
      <c r="A710">
        <v>2358</v>
      </c>
      <c r="B710" t="s">
        <v>1142</v>
      </c>
      <c r="C710" t="s">
        <v>23</v>
      </c>
      <c r="D710">
        <v>0.1</v>
      </c>
      <c r="E710">
        <v>205.99</v>
      </c>
      <c r="F710">
        <v>8.99</v>
      </c>
      <c r="G710" t="s">
        <v>14</v>
      </c>
      <c r="H710" t="s">
        <v>70</v>
      </c>
      <c r="I710" t="s">
        <v>16</v>
      </c>
      <c r="J710" t="s">
        <v>111</v>
      </c>
      <c r="K710" t="s">
        <v>49</v>
      </c>
      <c r="L710" t="s">
        <v>639</v>
      </c>
      <c r="M710">
        <v>0.56000000000000005</v>
      </c>
      <c r="N710" t="s">
        <v>8</v>
      </c>
      <c r="O710" t="s">
        <v>9</v>
      </c>
      <c r="P710" t="s">
        <v>99</v>
      </c>
      <c r="Q710" t="s">
        <v>1072</v>
      </c>
      <c r="R710">
        <v>33311</v>
      </c>
      <c r="S710" s="1">
        <v>42067</v>
      </c>
      <c r="T710" s="1">
        <v>42071</v>
      </c>
      <c r="U710">
        <v>147</v>
      </c>
      <c r="V710">
        <v>2</v>
      </c>
      <c r="W710">
        <v>324.62</v>
      </c>
      <c r="X710">
        <v>88267</v>
      </c>
      <c r="Y710">
        <f>cleaneddata[[#This Row],[Unit Price]]-cleaneddata[[#This Row],[Discount]]</f>
        <v>205.89000000000001</v>
      </c>
      <c r="Z71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11" spans="1:26" x14ac:dyDescent="0.3">
      <c r="A711">
        <v>91</v>
      </c>
      <c r="B711" t="s">
        <v>1222</v>
      </c>
      <c r="C711" t="s">
        <v>92</v>
      </c>
      <c r="D711">
        <v>0.06</v>
      </c>
      <c r="E711">
        <v>175.99</v>
      </c>
      <c r="F711">
        <v>8.99</v>
      </c>
      <c r="G711" t="s">
        <v>14</v>
      </c>
      <c r="H711" t="s">
        <v>70</v>
      </c>
      <c r="I711" t="s">
        <v>16</v>
      </c>
      <c r="J711" t="s">
        <v>111</v>
      </c>
      <c r="K711" t="s">
        <v>49</v>
      </c>
      <c r="L711" t="s">
        <v>1155</v>
      </c>
      <c r="M711">
        <v>0.56999999999999995</v>
      </c>
      <c r="N711" t="s">
        <v>8</v>
      </c>
      <c r="O711" t="s">
        <v>35</v>
      </c>
      <c r="P711" t="s">
        <v>66</v>
      </c>
      <c r="Q711" t="s">
        <v>1223</v>
      </c>
      <c r="R711">
        <v>94591</v>
      </c>
      <c r="S711" s="1">
        <v>42067</v>
      </c>
      <c r="T711" s="1">
        <v>42069</v>
      </c>
      <c r="U711">
        <v>2031.5070000000001</v>
      </c>
      <c r="V711">
        <v>23</v>
      </c>
      <c r="W711">
        <v>3363.53</v>
      </c>
      <c r="X711">
        <v>87177</v>
      </c>
      <c r="Y711">
        <f>cleaneddata[[#This Row],[Unit Price]]-cleaneddata[[#This Row],[Discount]]</f>
        <v>175.93</v>
      </c>
      <c r="Z71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2" spans="1:26" x14ac:dyDescent="0.3">
      <c r="A712">
        <v>679</v>
      </c>
      <c r="B712" t="s">
        <v>1464</v>
      </c>
      <c r="C712" t="s">
        <v>92</v>
      </c>
      <c r="D712">
        <v>0.01</v>
      </c>
      <c r="E712">
        <v>3.95</v>
      </c>
      <c r="F712">
        <v>5.13</v>
      </c>
      <c r="G712" t="s">
        <v>14</v>
      </c>
      <c r="H712" t="s">
        <v>70</v>
      </c>
      <c r="I712" t="s">
        <v>24</v>
      </c>
      <c r="J712" t="s">
        <v>71</v>
      </c>
      <c r="K712" t="s">
        <v>49</v>
      </c>
      <c r="L712" t="s">
        <v>1465</v>
      </c>
      <c r="M712">
        <v>0.59</v>
      </c>
      <c r="N712" t="s">
        <v>8</v>
      </c>
      <c r="O712" t="s">
        <v>35</v>
      </c>
      <c r="P712" t="s">
        <v>42</v>
      </c>
      <c r="Q712" t="s">
        <v>1466</v>
      </c>
      <c r="R712">
        <v>98387</v>
      </c>
      <c r="S712" s="1">
        <v>42067</v>
      </c>
      <c r="T712" s="1">
        <v>42068</v>
      </c>
      <c r="U712">
        <v>-19.93</v>
      </c>
      <c r="V712">
        <v>2</v>
      </c>
      <c r="W712">
        <v>10.11</v>
      </c>
      <c r="X712">
        <v>88890</v>
      </c>
      <c r="Y712">
        <f>cleaneddata[[#This Row],[Unit Price]]-cleaneddata[[#This Row],[Discount]]</f>
        <v>3.9400000000000004</v>
      </c>
      <c r="Z71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3" spans="1:26" x14ac:dyDescent="0.3">
      <c r="A713">
        <v>679</v>
      </c>
      <c r="B713" t="s">
        <v>1464</v>
      </c>
      <c r="C713" t="s">
        <v>92</v>
      </c>
      <c r="D713">
        <v>0.02</v>
      </c>
      <c r="E713">
        <v>367.99</v>
      </c>
      <c r="F713">
        <v>19.989999999999998</v>
      </c>
      <c r="G713" t="s">
        <v>14</v>
      </c>
      <c r="H713" t="s">
        <v>70</v>
      </c>
      <c r="I713" t="s">
        <v>24</v>
      </c>
      <c r="J713" t="s">
        <v>48</v>
      </c>
      <c r="K713" t="s">
        <v>49</v>
      </c>
      <c r="L713" t="s">
        <v>1467</v>
      </c>
      <c r="M713">
        <v>0.4</v>
      </c>
      <c r="N713" t="s">
        <v>8</v>
      </c>
      <c r="O713" t="s">
        <v>35</v>
      </c>
      <c r="P713" t="s">
        <v>42</v>
      </c>
      <c r="Q713" t="s">
        <v>1466</v>
      </c>
      <c r="R713">
        <v>98387</v>
      </c>
      <c r="S713" s="1">
        <v>42067</v>
      </c>
      <c r="T713" s="1">
        <v>42068</v>
      </c>
      <c r="U713">
        <v>4568.6072999999997</v>
      </c>
      <c r="V713">
        <v>17</v>
      </c>
      <c r="W713">
        <v>6621.17</v>
      </c>
      <c r="X713">
        <v>88890</v>
      </c>
      <c r="Y713">
        <f>cleaneddata[[#This Row],[Unit Price]]-cleaneddata[[#This Row],[Discount]]</f>
        <v>367.97</v>
      </c>
      <c r="Z71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4" spans="1:26" x14ac:dyDescent="0.3">
      <c r="A714">
        <v>680</v>
      </c>
      <c r="B714" t="s">
        <v>1468</v>
      </c>
      <c r="C714" t="s">
        <v>92</v>
      </c>
      <c r="D714">
        <v>0.04</v>
      </c>
      <c r="E714">
        <v>95.99</v>
      </c>
      <c r="F714">
        <v>4.9000000000000004</v>
      </c>
      <c r="G714" t="s">
        <v>14</v>
      </c>
      <c r="H714" t="s">
        <v>70</v>
      </c>
      <c r="I714" t="s">
        <v>16</v>
      </c>
      <c r="J714" t="s">
        <v>111</v>
      </c>
      <c r="K714" t="s">
        <v>49</v>
      </c>
      <c r="L714" t="s">
        <v>744</v>
      </c>
      <c r="M714">
        <v>0.56000000000000005</v>
      </c>
      <c r="N714" t="s">
        <v>8</v>
      </c>
      <c r="O714" t="s">
        <v>35</v>
      </c>
      <c r="P714" t="s">
        <v>42</v>
      </c>
      <c r="Q714" t="s">
        <v>1469</v>
      </c>
      <c r="R714">
        <v>99207</v>
      </c>
      <c r="S714" s="1">
        <v>42067</v>
      </c>
      <c r="T714" s="1">
        <v>42069</v>
      </c>
      <c r="U714">
        <v>-258.22500000000002</v>
      </c>
      <c r="V714">
        <v>3</v>
      </c>
      <c r="W714">
        <v>253.78</v>
      </c>
      <c r="X714">
        <v>88890</v>
      </c>
      <c r="Y714">
        <f>cleaneddata[[#This Row],[Unit Price]]-cleaneddata[[#This Row],[Discount]]</f>
        <v>95.949999999999989</v>
      </c>
      <c r="Z71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5" spans="1:26" x14ac:dyDescent="0.3">
      <c r="A715">
        <v>2696</v>
      </c>
      <c r="B715" t="s">
        <v>1470</v>
      </c>
      <c r="C715" t="s">
        <v>1</v>
      </c>
      <c r="D715">
        <v>0.05</v>
      </c>
      <c r="E715">
        <v>107.53</v>
      </c>
      <c r="F715">
        <v>5.81</v>
      </c>
      <c r="G715" t="s">
        <v>14</v>
      </c>
      <c r="H715" t="s">
        <v>47</v>
      </c>
      <c r="I715" t="s">
        <v>4</v>
      </c>
      <c r="J715" t="s">
        <v>102</v>
      </c>
      <c r="K715" t="s">
        <v>120</v>
      </c>
      <c r="L715" t="s">
        <v>1471</v>
      </c>
      <c r="M715">
        <v>0.65</v>
      </c>
      <c r="N715" t="s">
        <v>8</v>
      </c>
      <c r="O715" t="s">
        <v>9</v>
      </c>
      <c r="P715" t="s">
        <v>140</v>
      </c>
      <c r="Q715" t="s">
        <v>1472</v>
      </c>
      <c r="R715">
        <v>35401</v>
      </c>
      <c r="S715" s="1">
        <v>42068</v>
      </c>
      <c r="T715" s="1">
        <v>42069</v>
      </c>
      <c r="U715">
        <v>-89.418000000000006</v>
      </c>
      <c r="V715">
        <v>6</v>
      </c>
      <c r="W715">
        <v>612.91999999999996</v>
      </c>
      <c r="X715">
        <v>87676</v>
      </c>
      <c r="Y715">
        <f>cleaneddata[[#This Row],[Unit Price]]-cleaneddata[[#This Row],[Discount]]</f>
        <v>107.48</v>
      </c>
      <c r="Z71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16" spans="1:26" x14ac:dyDescent="0.3">
      <c r="A716">
        <v>2376</v>
      </c>
      <c r="B716" t="s">
        <v>1473</v>
      </c>
      <c r="C716" t="s">
        <v>13</v>
      </c>
      <c r="D716">
        <v>0.05</v>
      </c>
      <c r="E716">
        <v>3.28</v>
      </c>
      <c r="F716">
        <v>3.97</v>
      </c>
      <c r="G716" t="s">
        <v>14</v>
      </c>
      <c r="H716" t="s">
        <v>70</v>
      </c>
      <c r="I716" t="s">
        <v>24</v>
      </c>
      <c r="J716" t="s">
        <v>25</v>
      </c>
      <c r="K716" t="s">
        <v>26</v>
      </c>
      <c r="L716" t="s">
        <v>221</v>
      </c>
      <c r="M716">
        <v>0.56000000000000005</v>
      </c>
      <c r="N716" t="s">
        <v>8</v>
      </c>
      <c r="O716" t="s">
        <v>35</v>
      </c>
      <c r="P716" t="s">
        <v>466</v>
      </c>
      <c r="Q716" t="s">
        <v>1474</v>
      </c>
      <c r="R716">
        <v>83843</v>
      </c>
      <c r="S716" s="1">
        <v>42068</v>
      </c>
      <c r="T716" s="1">
        <v>42069</v>
      </c>
      <c r="U716">
        <v>-100.24</v>
      </c>
      <c r="V716">
        <v>18</v>
      </c>
      <c r="W716">
        <v>61.29</v>
      </c>
      <c r="X716">
        <v>91321</v>
      </c>
      <c r="Y716">
        <f>cleaneddata[[#This Row],[Unit Price]]-cleaneddata[[#This Row],[Discount]]</f>
        <v>3.23</v>
      </c>
      <c r="Z71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7" spans="1:26" x14ac:dyDescent="0.3">
      <c r="A717">
        <v>2376</v>
      </c>
      <c r="B717" t="s">
        <v>1473</v>
      </c>
      <c r="C717" t="s">
        <v>13</v>
      </c>
      <c r="D717">
        <v>0.03</v>
      </c>
      <c r="E717">
        <v>6.98</v>
      </c>
      <c r="F717">
        <v>9.69</v>
      </c>
      <c r="G717" t="s">
        <v>14</v>
      </c>
      <c r="H717" t="s">
        <v>70</v>
      </c>
      <c r="I717" t="s">
        <v>24</v>
      </c>
      <c r="J717" t="s">
        <v>54</v>
      </c>
      <c r="K717" t="s">
        <v>49</v>
      </c>
      <c r="L717" t="s">
        <v>1475</v>
      </c>
      <c r="M717">
        <v>0.83</v>
      </c>
      <c r="N717" t="s">
        <v>8</v>
      </c>
      <c r="O717" t="s">
        <v>35</v>
      </c>
      <c r="P717" t="s">
        <v>466</v>
      </c>
      <c r="Q717" t="s">
        <v>1474</v>
      </c>
      <c r="R717">
        <v>83843</v>
      </c>
      <c r="S717" s="1">
        <v>42068</v>
      </c>
      <c r="T717" s="1">
        <v>42070</v>
      </c>
      <c r="U717">
        <v>-262.62</v>
      </c>
      <c r="V717">
        <v>15</v>
      </c>
      <c r="W717">
        <v>109.15</v>
      </c>
      <c r="X717">
        <v>91321</v>
      </c>
      <c r="Y717">
        <f>cleaneddata[[#This Row],[Unit Price]]-cleaneddata[[#This Row],[Discount]]</f>
        <v>6.95</v>
      </c>
      <c r="Z7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18" spans="1:26" x14ac:dyDescent="0.3">
      <c r="A718">
        <v>670</v>
      </c>
      <c r="B718" t="s">
        <v>1476</v>
      </c>
      <c r="C718" t="s">
        <v>23</v>
      </c>
      <c r="D718">
        <v>0.08</v>
      </c>
      <c r="E718">
        <v>296.18</v>
      </c>
      <c r="F718">
        <v>54.12</v>
      </c>
      <c r="G718" t="s">
        <v>2</v>
      </c>
      <c r="H718" t="s">
        <v>47</v>
      </c>
      <c r="I718" t="s">
        <v>4</v>
      </c>
      <c r="J718" t="s">
        <v>5</v>
      </c>
      <c r="K718" t="s">
        <v>6</v>
      </c>
      <c r="L718" t="s">
        <v>1055</v>
      </c>
      <c r="M718">
        <v>0.76</v>
      </c>
      <c r="N718" t="s">
        <v>8</v>
      </c>
      <c r="O718" t="s">
        <v>9</v>
      </c>
      <c r="P718" t="s">
        <v>218</v>
      </c>
      <c r="Q718" t="s">
        <v>1477</v>
      </c>
      <c r="R718">
        <v>22025</v>
      </c>
      <c r="S718" s="1">
        <v>42068</v>
      </c>
      <c r="T718" s="1">
        <v>42075</v>
      </c>
      <c r="U718">
        <v>-187.22200000000001</v>
      </c>
      <c r="V718">
        <v>5</v>
      </c>
      <c r="W718">
        <v>1429.81</v>
      </c>
      <c r="X718">
        <v>88474</v>
      </c>
      <c r="Y718">
        <f>cleaneddata[[#This Row],[Unit Price]]-cleaneddata[[#This Row],[Discount]]</f>
        <v>296.10000000000002</v>
      </c>
      <c r="Z71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19" spans="1:26" x14ac:dyDescent="0.3">
      <c r="A719">
        <v>2944</v>
      </c>
      <c r="B719" t="s">
        <v>1478</v>
      </c>
      <c r="C719" t="s">
        <v>23</v>
      </c>
      <c r="D719">
        <v>0.04</v>
      </c>
      <c r="E719">
        <v>4.55</v>
      </c>
      <c r="F719">
        <v>1.49</v>
      </c>
      <c r="G719" t="s">
        <v>14</v>
      </c>
      <c r="H719" t="s">
        <v>70</v>
      </c>
      <c r="I719" t="s">
        <v>24</v>
      </c>
      <c r="J719" t="s">
        <v>48</v>
      </c>
      <c r="K719" t="s">
        <v>49</v>
      </c>
      <c r="L719" t="s">
        <v>1479</v>
      </c>
      <c r="M719">
        <v>0.35</v>
      </c>
      <c r="N719" t="s">
        <v>8</v>
      </c>
      <c r="O719" t="s">
        <v>28</v>
      </c>
      <c r="P719" t="s">
        <v>265</v>
      </c>
      <c r="Q719" t="s">
        <v>1480</v>
      </c>
      <c r="R719">
        <v>48640</v>
      </c>
      <c r="S719" s="1">
        <v>42068</v>
      </c>
      <c r="T719" s="1">
        <v>42070</v>
      </c>
      <c r="U719">
        <v>28.288</v>
      </c>
      <c r="V719">
        <v>13</v>
      </c>
      <c r="W719">
        <v>59.75</v>
      </c>
      <c r="X719">
        <v>90309</v>
      </c>
      <c r="Y719">
        <f>cleaneddata[[#This Row],[Unit Price]]-cleaneddata[[#This Row],[Discount]]</f>
        <v>4.51</v>
      </c>
      <c r="Z71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0" spans="1:26" x14ac:dyDescent="0.3">
      <c r="A720">
        <v>392</v>
      </c>
      <c r="B720" t="s">
        <v>1481</v>
      </c>
      <c r="C720" t="s">
        <v>92</v>
      </c>
      <c r="D720">
        <v>0.02</v>
      </c>
      <c r="E720">
        <v>34.979999999999997</v>
      </c>
      <c r="F720">
        <v>7.53</v>
      </c>
      <c r="G720" t="s">
        <v>14</v>
      </c>
      <c r="H720" t="s">
        <v>70</v>
      </c>
      <c r="I720" t="s">
        <v>16</v>
      </c>
      <c r="J720" t="s">
        <v>17</v>
      </c>
      <c r="K720" t="s">
        <v>49</v>
      </c>
      <c r="L720" t="s">
        <v>1415</v>
      </c>
      <c r="M720">
        <v>0.76</v>
      </c>
      <c r="N720" t="s">
        <v>8</v>
      </c>
      <c r="O720" t="s">
        <v>28</v>
      </c>
      <c r="P720" t="s">
        <v>56</v>
      </c>
      <c r="Q720" t="s">
        <v>1482</v>
      </c>
      <c r="R720">
        <v>63105</v>
      </c>
      <c r="S720" s="1">
        <v>42068</v>
      </c>
      <c r="T720" s="1">
        <v>42070</v>
      </c>
      <c r="U720">
        <v>-159.68</v>
      </c>
      <c r="V720">
        <v>1</v>
      </c>
      <c r="W720">
        <v>37.159999999999997</v>
      </c>
      <c r="X720">
        <v>86383</v>
      </c>
      <c r="Y720">
        <f>cleaneddata[[#This Row],[Unit Price]]-cleaneddata[[#This Row],[Discount]]</f>
        <v>34.959999999999994</v>
      </c>
      <c r="Z72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1" spans="1:26" x14ac:dyDescent="0.3">
      <c r="A721">
        <v>392</v>
      </c>
      <c r="B721" t="s">
        <v>1481</v>
      </c>
      <c r="C721" t="s">
        <v>92</v>
      </c>
      <c r="D721">
        <v>0.01</v>
      </c>
      <c r="E721">
        <v>19.989999999999998</v>
      </c>
      <c r="F721">
        <v>11.17</v>
      </c>
      <c r="G721" t="s">
        <v>14</v>
      </c>
      <c r="H721" t="s">
        <v>70</v>
      </c>
      <c r="I721" t="s">
        <v>4</v>
      </c>
      <c r="J721" t="s">
        <v>102</v>
      </c>
      <c r="K721" t="s">
        <v>40</v>
      </c>
      <c r="L721" t="s">
        <v>465</v>
      </c>
      <c r="M721">
        <v>0.6</v>
      </c>
      <c r="N721" t="s">
        <v>8</v>
      </c>
      <c r="O721" t="s">
        <v>28</v>
      </c>
      <c r="P721" t="s">
        <v>56</v>
      </c>
      <c r="Q721" t="s">
        <v>1482</v>
      </c>
      <c r="R721">
        <v>63105</v>
      </c>
      <c r="S721" s="1">
        <v>42068</v>
      </c>
      <c r="T721" s="1">
        <v>42071</v>
      </c>
      <c r="U721">
        <v>27.91</v>
      </c>
      <c r="V721">
        <v>2</v>
      </c>
      <c r="W721">
        <v>43.65</v>
      </c>
      <c r="X721">
        <v>86383</v>
      </c>
      <c r="Y721">
        <f>cleaneddata[[#This Row],[Unit Price]]-cleaneddata[[#This Row],[Discount]]</f>
        <v>19.979999999999997</v>
      </c>
      <c r="Z72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2" spans="1:26" x14ac:dyDescent="0.3">
      <c r="A722">
        <v>3003</v>
      </c>
      <c r="B722" t="s">
        <v>1483</v>
      </c>
      <c r="C722" t="s">
        <v>92</v>
      </c>
      <c r="D722">
        <v>0.03</v>
      </c>
      <c r="E722">
        <v>85.99</v>
      </c>
      <c r="F722">
        <v>0.99</v>
      </c>
      <c r="G722" t="s">
        <v>14</v>
      </c>
      <c r="H722" t="s">
        <v>47</v>
      </c>
      <c r="I722" t="s">
        <v>16</v>
      </c>
      <c r="J722" t="s">
        <v>111</v>
      </c>
      <c r="K722" t="s">
        <v>26</v>
      </c>
      <c r="L722" t="s">
        <v>1152</v>
      </c>
      <c r="M722">
        <v>0.55000000000000004</v>
      </c>
      <c r="N722" t="s">
        <v>8</v>
      </c>
      <c r="O722" t="s">
        <v>35</v>
      </c>
      <c r="P722" t="s">
        <v>466</v>
      </c>
      <c r="Q722" t="s">
        <v>1484</v>
      </c>
      <c r="R722">
        <v>83814</v>
      </c>
      <c r="S722" s="1">
        <v>42068</v>
      </c>
      <c r="T722" s="1">
        <v>42069</v>
      </c>
      <c r="U722">
        <v>1037.1044999999999</v>
      </c>
      <c r="V722">
        <v>20</v>
      </c>
      <c r="W722">
        <v>1503.05</v>
      </c>
      <c r="X722">
        <v>91586</v>
      </c>
      <c r="Y722">
        <f>cleaneddata[[#This Row],[Unit Price]]-cleaneddata[[#This Row],[Discount]]</f>
        <v>85.96</v>
      </c>
      <c r="Z7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23" spans="1:26" x14ac:dyDescent="0.3">
      <c r="A723">
        <v>1014</v>
      </c>
      <c r="B723" t="s">
        <v>1420</v>
      </c>
      <c r="C723" t="s">
        <v>46</v>
      </c>
      <c r="D723">
        <v>0.08</v>
      </c>
      <c r="E723">
        <v>10.91</v>
      </c>
      <c r="F723">
        <v>2.99</v>
      </c>
      <c r="G723" t="s">
        <v>14</v>
      </c>
      <c r="H723" t="s">
        <v>47</v>
      </c>
      <c r="I723" t="s">
        <v>24</v>
      </c>
      <c r="J723" t="s">
        <v>48</v>
      </c>
      <c r="K723" t="s">
        <v>49</v>
      </c>
      <c r="L723" t="s">
        <v>1485</v>
      </c>
      <c r="M723">
        <v>0.38</v>
      </c>
      <c r="N723" t="s">
        <v>8</v>
      </c>
      <c r="O723" t="s">
        <v>9</v>
      </c>
      <c r="P723" t="s">
        <v>20</v>
      </c>
      <c r="Q723" t="s">
        <v>1421</v>
      </c>
      <c r="R723">
        <v>72022</v>
      </c>
      <c r="S723" s="1">
        <v>42068</v>
      </c>
      <c r="T723" s="1">
        <v>42069</v>
      </c>
      <c r="U723">
        <v>-2.1</v>
      </c>
      <c r="V723">
        <v>11</v>
      </c>
      <c r="W723">
        <v>119.99</v>
      </c>
      <c r="X723">
        <v>88388</v>
      </c>
      <c r="Y723">
        <f>cleaneddata[[#This Row],[Unit Price]]-cleaneddata[[#This Row],[Discount]]</f>
        <v>10.83</v>
      </c>
      <c r="Z7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24" spans="1:26" x14ac:dyDescent="0.3">
      <c r="A724">
        <v>1279</v>
      </c>
      <c r="B724" t="s">
        <v>1423</v>
      </c>
      <c r="C724" t="s">
        <v>46</v>
      </c>
      <c r="D724">
        <v>0</v>
      </c>
      <c r="E724">
        <v>442.14</v>
      </c>
      <c r="F724">
        <v>14.7</v>
      </c>
      <c r="G724" t="s">
        <v>2</v>
      </c>
      <c r="H724" t="s">
        <v>70</v>
      </c>
      <c r="I724" t="s">
        <v>16</v>
      </c>
      <c r="J724" t="s">
        <v>32</v>
      </c>
      <c r="K724" t="s">
        <v>33</v>
      </c>
      <c r="L724" t="s">
        <v>1288</v>
      </c>
      <c r="M724">
        <v>0.56000000000000005</v>
      </c>
      <c r="N724" t="s">
        <v>8</v>
      </c>
      <c r="O724" t="s">
        <v>28</v>
      </c>
      <c r="P724" t="s">
        <v>29</v>
      </c>
      <c r="Q724" t="s">
        <v>1424</v>
      </c>
      <c r="R724">
        <v>46324</v>
      </c>
      <c r="S724" s="1">
        <v>42068</v>
      </c>
      <c r="T724" s="1">
        <v>42068</v>
      </c>
      <c r="U724">
        <v>501.51</v>
      </c>
      <c r="V724">
        <v>5</v>
      </c>
      <c r="W724">
        <v>2343.34</v>
      </c>
      <c r="X724">
        <v>90115</v>
      </c>
      <c r="Y724">
        <f>cleaneddata[[#This Row],[Unit Price]]-cleaneddata[[#This Row],[Discount]]</f>
        <v>442.14</v>
      </c>
      <c r="Z7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5" spans="1:26" x14ac:dyDescent="0.3">
      <c r="A725">
        <v>1432</v>
      </c>
      <c r="B725" t="s">
        <v>1486</v>
      </c>
      <c r="C725" t="s">
        <v>46</v>
      </c>
      <c r="D725">
        <v>0.05</v>
      </c>
      <c r="E725">
        <v>9.7799999999999994</v>
      </c>
      <c r="F725">
        <v>1.39</v>
      </c>
      <c r="G725" t="s">
        <v>14</v>
      </c>
      <c r="H725" t="s">
        <v>70</v>
      </c>
      <c r="I725" t="s">
        <v>24</v>
      </c>
      <c r="J725" t="s">
        <v>321</v>
      </c>
      <c r="K725" t="s">
        <v>49</v>
      </c>
      <c r="L725" t="s">
        <v>1487</v>
      </c>
      <c r="M725">
        <v>0.39</v>
      </c>
      <c r="N725" t="s">
        <v>8</v>
      </c>
      <c r="O725" t="s">
        <v>28</v>
      </c>
      <c r="P725" t="s">
        <v>29</v>
      </c>
      <c r="Q725" t="s">
        <v>1488</v>
      </c>
      <c r="R725">
        <v>46203</v>
      </c>
      <c r="S725" s="1">
        <v>42068</v>
      </c>
      <c r="T725" s="1">
        <v>42069</v>
      </c>
      <c r="U725">
        <v>74.278499999999994</v>
      </c>
      <c r="V725">
        <v>11</v>
      </c>
      <c r="W725">
        <v>107.65</v>
      </c>
      <c r="X725">
        <v>86826</v>
      </c>
      <c r="Y725">
        <f>cleaneddata[[#This Row],[Unit Price]]-cleaneddata[[#This Row],[Discount]]</f>
        <v>9.7299999999999986</v>
      </c>
      <c r="Z7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6" spans="1:26" x14ac:dyDescent="0.3">
      <c r="A726">
        <v>1433</v>
      </c>
      <c r="B726" t="s">
        <v>1489</v>
      </c>
      <c r="C726" t="s">
        <v>46</v>
      </c>
      <c r="D726">
        <v>0.02</v>
      </c>
      <c r="E726">
        <v>3.28</v>
      </c>
      <c r="F726">
        <v>3.97</v>
      </c>
      <c r="G726" t="s">
        <v>63</v>
      </c>
      <c r="H726" t="s">
        <v>70</v>
      </c>
      <c r="I726" t="s">
        <v>24</v>
      </c>
      <c r="J726" t="s">
        <v>25</v>
      </c>
      <c r="K726" t="s">
        <v>26</v>
      </c>
      <c r="L726" t="s">
        <v>343</v>
      </c>
      <c r="M726">
        <v>0.56000000000000005</v>
      </c>
      <c r="N726" t="s">
        <v>8</v>
      </c>
      <c r="O726" t="s">
        <v>28</v>
      </c>
      <c r="P726" t="s">
        <v>29</v>
      </c>
      <c r="Q726" t="s">
        <v>1490</v>
      </c>
      <c r="R726">
        <v>47130</v>
      </c>
      <c r="S726" s="1">
        <v>42068</v>
      </c>
      <c r="T726" s="1">
        <v>42069</v>
      </c>
      <c r="U726">
        <v>-66.349999999999994</v>
      </c>
      <c r="V726">
        <v>7</v>
      </c>
      <c r="W726">
        <v>25.15</v>
      </c>
      <c r="X726">
        <v>86826</v>
      </c>
      <c r="Y726">
        <f>cleaneddata[[#This Row],[Unit Price]]-cleaneddata[[#This Row],[Discount]]</f>
        <v>3.26</v>
      </c>
      <c r="Z72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7" spans="1:26" x14ac:dyDescent="0.3">
      <c r="A727">
        <v>2006</v>
      </c>
      <c r="B727" t="s">
        <v>1491</v>
      </c>
      <c r="C727" t="s">
        <v>46</v>
      </c>
      <c r="D727">
        <v>0.03</v>
      </c>
      <c r="E727">
        <v>5.78</v>
      </c>
      <c r="F727">
        <v>5.37</v>
      </c>
      <c r="G727" t="s">
        <v>14</v>
      </c>
      <c r="H727" t="s">
        <v>47</v>
      </c>
      <c r="I727" t="s">
        <v>24</v>
      </c>
      <c r="J727" t="s">
        <v>64</v>
      </c>
      <c r="K727" t="s">
        <v>49</v>
      </c>
      <c r="L727" t="s">
        <v>1492</v>
      </c>
      <c r="M727">
        <v>0.36</v>
      </c>
      <c r="N727" t="s">
        <v>8</v>
      </c>
      <c r="O727" t="s">
        <v>35</v>
      </c>
      <c r="P727" t="s">
        <v>36</v>
      </c>
      <c r="Q727" t="s">
        <v>1219</v>
      </c>
      <c r="R727">
        <v>81301</v>
      </c>
      <c r="S727" s="1">
        <v>42068</v>
      </c>
      <c r="T727" s="1">
        <v>42069</v>
      </c>
      <c r="U727">
        <v>-63.35</v>
      </c>
      <c r="V727">
        <v>15</v>
      </c>
      <c r="W727">
        <v>88.22</v>
      </c>
      <c r="X727">
        <v>88798</v>
      </c>
      <c r="Y727">
        <f>cleaneddata[[#This Row],[Unit Price]]-cleaneddata[[#This Row],[Discount]]</f>
        <v>5.75</v>
      </c>
      <c r="Z7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28" spans="1:26" x14ac:dyDescent="0.3">
      <c r="A728">
        <v>868</v>
      </c>
      <c r="B728" t="s">
        <v>1344</v>
      </c>
      <c r="C728" t="s">
        <v>1</v>
      </c>
      <c r="D728">
        <v>0.06</v>
      </c>
      <c r="E728">
        <v>6.48</v>
      </c>
      <c r="F728">
        <v>8.8800000000000008</v>
      </c>
      <c r="G728" t="s">
        <v>14</v>
      </c>
      <c r="H728" t="s">
        <v>70</v>
      </c>
      <c r="I728" t="s">
        <v>24</v>
      </c>
      <c r="J728" t="s">
        <v>64</v>
      </c>
      <c r="K728" t="s">
        <v>49</v>
      </c>
      <c r="L728" t="s">
        <v>1493</v>
      </c>
      <c r="M728">
        <v>0.37</v>
      </c>
      <c r="N728" t="s">
        <v>8</v>
      </c>
      <c r="O728" t="s">
        <v>28</v>
      </c>
      <c r="P728" t="s">
        <v>60</v>
      </c>
      <c r="Q728" t="s">
        <v>1346</v>
      </c>
      <c r="R728">
        <v>55126</v>
      </c>
      <c r="S728" s="1">
        <v>42069</v>
      </c>
      <c r="T728" s="1">
        <v>42070</v>
      </c>
      <c r="U728">
        <v>-237.47</v>
      </c>
      <c r="V728">
        <v>20</v>
      </c>
      <c r="W728">
        <v>125.77</v>
      </c>
      <c r="X728">
        <v>91195</v>
      </c>
      <c r="Y728">
        <f>cleaneddata[[#This Row],[Unit Price]]-cleaneddata[[#This Row],[Discount]]</f>
        <v>6.4200000000000008</v>
      </c>
      <c r="Z7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29" spans="1:26" x14ac:dyDescent="0.3">
      <c r="A729">
        <v>3008</v>
      </c>
      <c r="B729" t="s">
        <v>1494</v>
      </c>
      <c r="C729" t="s">
        <v>1</v>
      </c>
      <c r="D729">
        <v>0.05</v>
      </c>
      <c r="E729">
        <v>9.99</v>
      </c>
      <c r="F729">
        <v>4.78</v>
      </c>
      <c r="G729" t="s">
        <v>14</v>
      </c>
      <c r="H729" t="s">
        <v>47</v>
      </c>
      <c r="I729" t="s">
        <v>24</v>
      </c>
      <c r="J729" t="s">
        <v>64</v>
      </c>
      <c r="K729" t="s">
        <v>49</v>
      </c>
      <c r="L729" t="s">
        <v>1495</v>
      </c>
      <c r="M729">
        <v>0.4</v>
      </c>
      <c r="N729" t="s">
        <v>8</v>
      </c>
      <c r="O729" t="s">
        <v>28</v>
      </c>
      <c r="P729" t="s">
        <v>60</v>
      </c>
      <c r="Q729" t="s">
        <v>1496</v>
      </c>
      <c r="R729">
        <v>55343</v>
      </c>
      <c r="S729" s="1">
        <v>42069</v>
      </c>
      <c r="T729" s="1">
        <v>42070</v>
      </c>
      <c r="U729">
        <v>41.3</v>
      </c>
      <c r="V729">
        <v>20</v>
      </c>
      <c r="W729">
        <v>203.37</v>
      </c>
      <c r="X729">
        <v>89414</v>
      </c>
      <c r="Y729">
        <f>cleaneddata[[#This Row],[Unit Price]]-cleaneddata[[#This Row],[Discount]]</f>
        <v>9.94</v>
      </c>
      <c r="Z7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0" spans="1:26" x14ac:dyDescent="0.3">
      <c r="A730">
        <v>688</v>
      </c>
      <c r="B730" t="s">
        <v>1497</v>
      </c>
      <c r="C730" t="s">
        <v>23</v>
      </c>
      <c r="D730">
        <v>0.06</v>
      </c>
      <c r="E730">
        <v>4.18</v>
      </c>
      <c r="F730">
        <v>2.99</v>
      </c>
      <c r="G730" t="s">
        <v>14</v>
      </c>
      <c r="H730" t="s">
        <v>3</v>
      </c>
      <c r="I730" t="s">
        <v>24</v>
      </c>
      <c r="J730" t="s">
        <v>48</v>
      </c>
      <c r="K730" t="s">
        <v>49</v>
      </c>
      <c r="L730" t="s">
        <v>1498</v>
      </c>
      <c r="M730">
        <v>0.37</v>
      </c>
      <c r="N730" t="s">
        <v>8</v>
      </c>
      <c r="O730" t="s">
        <v>28</v>
      </c>
      <c r="P730" t="s">
        <v>56</v>
      </c>
      <c r="Q730" t="s">
        <v>1499</v>
      </c>
      <c r="R730">
        <v>63116</v>
      </c>
      <c r="S730" s="1">
        <v>42069</v>
      </c>
      <c r="T730" s="1">
        <v>42071</v>
      </c>
      <c r="U730">
        <v>-12.718999999999999</v>
      </c>
      <c r="V730">
        <v>5</v>
      </c>
      <c r="W730">
        <v>21.34</v>
      </c>
      <c r="X730">
        <v>88504</v>
      </c>
      <c r="Y730">
        <f>cleaneddata[[#This Row],[Unit Price]]-cleaneddata[[#This Row],[Discount]]</f>
        <v>4.12</v>
      </c>
      <c r="Z7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1" spans="1:26" x14ac:dyDescent="0.3">
      <c r="A731">
        <v>797</v>
      </c>
      <c r="B731" t="s">
        <v>1500</v>
      </c>
      <c r="C731" t="s">
        <v>23</v>
      </c>
      <c r="D731">
        <v>0.09</v>
      </c>
      <c r="E731">
        <v>6.48</v>
      </c>
      <c r="F731">
        <v>6.86</v>
      </c>
      <c r="G731" t="s">
        <v>14</v>
      </c>
      <c r="H731" t="s">
        <v>70</v>
      </c>
      <c r="I731" t="s">
        <v>24</v>
      </c>
      <c r="J731" t="s">
        <v>64</v>
      </c>
      <c r="K731" t="s">
        <v>49</v>
      </c>
      <c r="L731" t="s">
        <v>1501</v>
      </c>
      <c r="M731">
        <v>0.37</v>
      </c>
      <c r="N731" t="s">
        <v>8</v>
      </c>
      <c r="O731" t="s">
        <v>35</v>
      </c>
      <c r="P731" t="s">
        <v>122</v>
      </c>
      <c r="Q731" t="s">
        <v>1502</v>
      </c>
      <c r="R731">
        <v>84067</v>
      </c>
      <c r="S731" s="1">
        <v>42069</v>
      </c>
      <c r="T731" s="1">
        <v>42071</v>
      </c>
      <c r="U731">
        <v>-62.23</v>
      </c>
      <c r="V731">
        <v>8</v>
      </c>
      <c r="W731">
        <v>50.88</v>
      </c>
      <c r="X731">
        <v>86870</v>
      </c>
      <c r="Y731">
        <f>cleaneddata[[#This Row],[Unit Price]]-cleaneddata[[#This Row],[Discount]]</f>
        <v>6.3900000000000006</v>
      </c>
      <c r="Z73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32" spans="1:26" x14ac:dyDescent="0.3">
      <c r="A732">
        <v>2729</v>
      </c>
      <c r="B732" t="s">
        <v>1503</v>
      </c>
      <c r="C732" t="s">
        <v>23</v>
      </c>
      <c r="D732">
        <v>0.08</v>
      </c>
      <c r="E732">
        <v>230.98</v>
      </c>
      <c r="F732">
        <v>23.78</v>
      </c>
      <c r="G732" t="s">
        <v>2</v>
      </c>
      <c r="H732" t="s">
        <v>15</v>
      </c>
      <c r="I732" t="s">
        <v>4</v>
      </c>
      <c r="J732" t="s">
        <v>5</v>
      </c>
      <c r="K732" t="s">
        <v>6</v>
      </c>
      <c r="L732" t="s">
        <v>1504</v>
      </c>
      <c r="M732">
        <v>0.6</v>
      </c>
      <c r="N732" t="s">
        <v>8</v>
      </c>
      <c r="O732" t="s">
        <v>35</v>
      </c>
      <c r="P732" t="s">
        <v>42</v>
      </c>
      <c r="Q732" t="s">
        <v>380</v>
      </c>
      <c r="R732">
        <v>98226</v>
      </c>
      <c r="S732" s="1">
        <v>42069</v>
      </c>
      <c r="T732" s="1">
        <v>42073</v>
      </c>
      <c r="U732">
        <v>501.69</v>
      </c>
      <c r="V732">
        <v>4</v>
      </c>
      <c r="W732">
        <v>924.8</v>
      </c>
      <c r="X732">
        <v>88114</v>
      </c>
      <c r="Y732">
        <f>cleaneddata[[#This Row],[Unit Price]]-cleaneddata[[#This Row],[Discount]]</f>
        <v>230.89999999999998</v>
      </c>
      <c r="Z73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33" spans="1:26" x14ac:dyDescent="0.3">
      <c r="A733">
        <v>1771</v>
      </c>
      <c r="B733" t="s">
        <v>1505</v>
      </c>
      <c r="C733" t="s">
        <v>92</v>
      </c>
      <c r="D733">
        <v>7.0000000000000007E-2</v>
      </c>
      <c r="E733">
        <v>60.98</v>
      </c>
      <c r="F733">
        <v>49</v>
      </c>
      <c r="G733" t="s">
        <v>14</v>
      </c>
      <c r="H733" t="s">
        <v>47</v>
      </c>
      <c r="I733" t="s">
        <v>24</v>
      </c>
      <c r="J733" t="s">
        <v>71</v>
      </c>
      <c r="K733" t="s">
        <v>40</v>
      </c>
      <c r="L733" t="s">
        <v>1506</v>
      </c>
      <c r="M733">
        <v>0.59</v>
      </c>
      <c r="N733" t="s">
        <v>8</v>
      </c>
      <c r="O733" t="s">
        <v>28</v>
      </c>
      <c r="P733" t="s">
        <v>79</v>
      </c>
      <c r="Q733" t="s">
        <v>1013</v>
      </c>
      <c r="R733">
        <v>61032</v>
      </c>
      <c r="S733" s="1">
        <v>42069</v>
      </c>
      <c r="T733" s="1">
        <v>42070</v>
      </c>
      <c r="U733">
        <v>-807.89</v>
      </c>
      <c r="V733">
        <v>7</v>
      </c>
      <c r="W733">
        <v>410.17</v>
      </c>
      <c r="X733">
        <v>89106</v>
      </c>
      <c r="Y733">
        <f>cleaneddata[[#This Row],[Unit Price]]-cleaneddata[[#This Row],[Discount]]</f>
        <v>60.91</v>
      </c>
      <c r="Z73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4" spans="1:26" x14ac:dyDescent="0.3">
      <c r="A734">
        <v>945</v>
      </c>
      <c r="B734" t="s">
        <v>1507</v>
      </c>
      <c r="C734" t="s">
        <v>46</v>
      </c>
      <c r="D734">
        <v>0.03</v>
      </c>
      <c r="E734">
        <v>31.74</v>
      </c>
      <c r="F734">
        <v>12.62</v>
      </c>
      <c r="G734" t="s">
        <v>14</v>
      </c>
      <c r="H734" t="s">
        <v>47</v>
      </c>
      <c r="I734" t="s">
        <v>24</v>
      </c>
      <c r="J734" t="s">
        <v>48</v>
      </c>
      <c r="K734" t="s">
        <v>49</v>
      </c>
      <c r="L734" t="s">
        <v>1508</v>
      </c>
      <c r="M734">
        <v>0.37</v>
      </c>
      <c r="N734" t="s">
        <v>8</v>
      </c>
      <c r="O734" t="s">
        <v>35</v>
      </c>
      <c r="P734" t="s">
        <v>66</v>
      </c>
      <c r="Q734" t="s">
        <v>1509</v>
      </c>
      <c r="R734">
        <v>95070</v>
      </c>
      <c r="S734" s="1">
        <v>42069</v>
      </c>
      <c r="T734" s="1">
        <v>42069</v>
      </c>
      <c r="U734">
        <v>-4.3010000000000002</v>
      </c>
      <c r="V734">
        <v>3</v>
      </c>
      <c r="W734">
        <v>98.7</v>
      </c>
      <c r="X734">
        <v>86567</v>
      </c>
      <c r="Y734">
        <f>cleaneddata[[#This Row],[Unit Price]]-cleaneddata[[#This Row],[Discount]]</f>
        <v>31.709999999999997</v>
      </c>
      <c r="Z73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35" spans="1:26" x14ac:dyDescent="0.3">
      <c r="A735">
        <v>3327</v>
      </c>
      <c r="B735" t="s">
        <v>1510</v>
      </c>
      <c r="C735" t="s">
        <v>46</v>
      </c>
      <c r="D735">
        <v>0.06</v>
      </c>
      <c r="E735">
        <v>113.98</v>
      </c>
      <c r="F735">
        <v>30</v>
      </c>
      <c r="G735" t="s">
        <v>2</v>
      </c>
      <c r="H735" t="s">
        <v>3</v>
      </c>
      <c r="I735" t="s">
        <v>4</v>
      </c>
      <c r="J735" t="s">
        <v>85</v>
      </c>
      <c r="K735" t="s">
        <v>33</v>
      </c>
      <c r="L735" t="s">
        <v>1511</v>
      </c>
      <c r="M735">
        <v>0.69</v>
      </c>
      <c r="N735" t="s">
        <v>8</v>
      </c>
      <c r="O735" t="s">
        <v>28</v>
      </c>
      <c r="P735" t="s">
        <v>265</v>
      </c>
      <c r="Q735" t="s">
        <v>1512</v>
      </c>
      <c r="R735">
        <v>48060</v>
      </c>
      <c r="S735" s="1">
        <v>42069</v>
      </c>
      <c r="T735" s="1">
        <v>42071</v>
      </c>
      <c r="U735">
        <v>-127.3</v>
      </c>
      <c r="V735">
        <v>3</v>
      </c>
      <c r="W735">
        <v>356.14</v>
      </c>
      <c r="X735">
        <v>87272</v>
      </c>
      <c r="Y735">
        <f>cleaneddata[[#This Row],[Unit Price]]-cleaneddata[[#This Row],[Discount]]</f>
        <v>113.92</v>
      </c>
      <c r="Z73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6" spans="1:26" x14ac:dyDescent="0.3">
      <c r="A736">
        <v>3327</v>
      </c>
      <c r="B736" t="s">
        <v>1510</v>
      </c>
      <c r="C736" t="s">
        <v>46</v>
      </c>
      <c r="D736">
        <v>0.05</v>
      </c>
      <c r="E736">
        <v>6.48</v>
      </c>
      <c r="F736">
        <v>6.86</v>
      </c>
      <c r="G736" t="s">
        <v>14</v>
      </c>
      <c r="H736" t="s">
        <v>3</v>
      </c>
      <c r="I736" t="s">
        <v>24</v>
      </c>
      <c r="J736" t="s">
        <v>64</v>
      </c>
      <c r="K736" t="s">
        <v>49</v>
      </c>
      <c r="L736" t="s">
        <v>1501</v>
      </c>
      <c r="M736">
        <v>0.37</v>
      </c>
      <c r="N736" t="s">
        <v>8</v>
      </c>
      <c r="O736" t="s">
        <v>28</v>
      </c>
      <c r="P736" t="s">
        <v>265</v>
      </c>
      <c r="Q736" t="s">
        <v>1512</v>
      </c>
      <c r="R736">
        <v>48060</v>
      </c>
      <c r="S736" s="1">
        <v>42069</v>
      </c>
      <c r="T736" s="1">
        <v>42071</v>
      </c>
      <c r="U736">
        <v>-52.77</v>
      </c>
      <c r="V736">
        <v>4</v>
      </c>
      <c r="W736">
        <v>27.08</v>
      </c>
      <c r="X736">
        <v>87272</v>
      </c>
      <c r="Y736">
        <f>cleaneddata[[#This Row],[Unit Price]]-cleaneddata[[#This Row],[Discount]]</f>
        <v>6.4300000000000006</v>
      </c>
      <c r="Z73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7" spans="1:26" x14ac:dyDescent="0.3">
      <c r="A737">
        <v>1020</v>
      </c>
      <c r="B737" t="s">
        <v>994</v>
      </c>
      <c r="C737" t="s">
        <v>1</v>
      </c>
      <c r="D737">
        <v>0.09</v>
      </c>
      <c r="E737">
        <v>517.48</v>
      </c>
      <c r="F737">
        <v>16.63</v>
      </c>
      <c r="G737" t="s">
        <v>2</v>
      </c>
      <c r="H737" t="s">
        <v>3</v>
      </c>
      <c r="I737" t="s">
        <v>16</v>
      </c>
      <c r="J737" t="s">
        <v>32</v>
      </c>
      <c r="K737" t="s">
        <v>6</v>
      </c>
      <c r="L737" t="s">
        <v>1513</v>
      </c>
      <c r="M737">
        <v>0.59</v>
      </c>
      <c r="N737" t="s">
        <v>8</v>
      </c>
      <c r="O737" t="s">
        <v>28</v>
      </c>
      <c r="P737" t="s">
        <v>513</v>
      </c>
      <c r="Q737" t="s">
        <v>996</v>
      </c>
      <c r="R737">
        <v>66762</v>
      </c>
      <c r="S737" s="1">
        <v>42070</v>
      </c>
      <c r="T737" s="1">
        <v>42070</v>
      </c>
      <c r="U737">
        <v>909.36</v>
      </c>
      <c r="V737">
        <v>5</v>
      </c>
      <c r="W737">
        <v>2354.54</v>
      </c>
      <c r="X737">
        <v>88632</v>
      </c>
      <c r="Y737">
        <f>cleaneddata[[#This Row],[Unit Price]]-cleaneddata[[#This Row],[Discount]]</f>
        <v>517.39</v>
      </c>
      <c r="Z7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38" spans="1:26" x14ac:dyDescent="0.3">
      <c r="A738">
        <v>850</v>
      </c>
      <c r="B738" t="s">
        <v>1514</v>
      </c>
      <c r="C738" t="s">
        <v>46</v>
      </c>
      <c r="D738">
        <v>7.0000000000000007E-2</v>
      </c>
      <c r="E738">
        <v>6.08</v>
      </c>
      <c r="F738">
        <v>0.91</v>
      </c>
      <c r="G738" t="s">
        <v>14</v>
      </c>
      <c r="H738" t="s">
        <v>70</v>
      </c>
      <c r="I738" t="s">
        <v>24</v>
      </c>
      <c r="J738" t="s">
        <v>25</v>
      </c>
      <c r="K738" t="s">
        <v>26</v>
      </c>
      <c r="L738" t="s">
        <v>1515</v>
      </c>
      <c r="M738">
        <v>0.51</v>
      </c>
      <c r="N738" t="s">
        <v>8</v>
      </c>
      <c r="O738" t="s">
        <v>35</v>
      </c>
      <c r="P738" t="s">
        <v>66</v>
      </c>
      <c r="Q738" t="s">
        <v>1516</v>
      </c>
      <c r="R738">
        <v>93117</v>
      </c>
      <c r="S738" s="1">
        <v>42070</v>
      </c>
      <c r="T738" s="1">
        <v>42071</v>
      </c>
      <c r="U738">
        <v>19.57</v>
      </c>
      <c r="V738">
        <v>7</v>
      </c>
      <c r="W738">
        <v>41.96</v>
      </c>
      <c r="X738">
        <v>88569</v>
      </c>
      <c r="Y738">
        <f>cleaneddata[[#This Row],[Unit Price]]-cleaneddata[[#This Row],[Discount]]</f>
        <v>6.01</v>
      </c>
      <c r="Z73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39" spans="1:26" x14ac:dyDescent="0.3">
      <c r="A739">
        <v>851</v>
      </c>
      <c r="B739" t="s">
        <v>1340</v>
      </c>
      <c r="C739" t="s">
        <v>46</v>
      </c>
      <c r="D739">
        <v>0.08</v>
      </c>
      <c r="E739">
        <v>19.899999999999999</v>
      </c>
      <c r="F739">
        <v>5.29</v>
      </c>
      <c r="G739" t="s">
        <v>14</v>
      </c>
      <c r="H739" t="s">
        <v>70</v>
      </c>
      <c r="I739" t="s">
        <v>24</v>
      </c>
      <c r="J739" t="s">
        <v>71</v>
      </c>
      <c r="K739" t="s">
        <v>120</v>
      </c>
      <c r="L739" t="s">
        <v>1517</v>
      </c>
      <c r="M739">
        <v>0.4</v>
      </c>
      <c r="N739" t="s">
        <v>8</v>
      </c>
      <c r="O739" t="s">
        <v>35</v>
      </c>
      <c r="P739" t="s">
        <v>66</v>
      </c>
      <c r="Q739" t="s">
        <v>1342</v>
      </c>
      <c r="R739">
        <v>91745</v>
      </c>
      <c r="S739" s="1">
        <v>42070</v>
      </c>
      <c r="T739" s="1">
        <v>42072</v>
      </c>
      <c r="U739">
        <v>107.11</v>
      </c>
      <c r="V739">
        <v>13</v>
      </c>
      <c r="W739">
        <v>240.46</v>
      </c>
      <c r="X739">
        <v>88569</v>
      </c>
      <c r="Y739">
        <f>cleaneddata[[#This Row],[Unit Price]]-cleaneddata[[#This Row],[Discount]]</f>
        <v>19.82</v>
      </c>
      <c r="Z73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40" spans="1:26" x14ac:dyDescent="0.3">
      <c r="A740">
        <v>851</v>
      </c>
      <c r="B740" t="s">
        <v>1340</v>
      </c>
      <c r="C740" t="s">
        <v>46</v>
      </c>
      <c r="D740">
        <v>0.02</v>
      </c>
      <c r="E740">
        <v>3.36</v>
      </c>
      <c r="F740">
        <v>6.27</v>
      </c>
      <c r="G740" t="s">
        <v>14</v>
      </c>
      <c r="H740" t="s">
        <v>70</v>
      </c>
      <c r="I740" t="s">
        <v>24</v>
      </c>
      <c r="J740" t="s">
        <v>48</v>
      </c>
      <c r="K740" t="s">
        <v>49</v>
      </c>
      <c r="L740" t="s">
        <v>162</v>
      </c>
      <c r="M740">
        <v>0.4</v>
      </c>
      <c r="N740" t="s">
        <v>8</v>
      </c>
      <c r="O740" t="s">
        <v>35</v>
      </c>
      <c r="P740" t="s">
        <v>66</v>
      </c>
      <c r="Q740" t="s">
        <v>1342</v>
      </c>
      <c r="R740">
        <v>91745</v>
      </c>
      <c r="S740" s="1">
        <v>42070</v>
      </c>
      <c r="T740" s="1">
        <v>42072</v>
      </c>
      <c r="U740">
        <v>-216.154</v>
      </c>
      <c r="V740">
        <v>21</v>
      </c>
      <c r="W740">
        <v>74.08</v>
      </c>
      <c r="X740">
        <v>88569</v>
      </c>
      <c r="Y740">
        <f>cleaneddata[[#This Row],[Unit Price]]-cleaneddata[[#This Row],[Discount]]</f>
        <v>3.34</v>
      </c>
      <c r="Z74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41" spans="1:26" x14ac:dyDescent="0.3">
      <c r="A741">
        <v>2750</v>
      </c>
      <c r="B741" t="s">
        <v>1518</v>
      </c>
      <c r="C741" t="s">
        <v>1</v>
      </c>
      <c r="D741">
        <v>0.02</v>
      </c>
      <c r="E741">
        <v>161.55000000000001</v>
      </c>
      <c r="F741">
        <v>19.989999999999998</v>
      </c>
      <c r="G741" t="s">
        <v>14</v>
      </c>
      <c r="H741" t="s">
        <v>3</v>
      </c>
      <c r="I741" t="s">
        <v>24</v>
      </c>
      <c r="J741" t="s">
        <v>54</v>
      </c>
      <c r="K741" t="s">
        <v>49</v>
      </c>
      <c r="L741" t="s">
        <v>55</v>
      </c>
      <c r="M741">
        <v>0.66</v>
      </c>
      <c r="N741" t="s">
        <v>8</v>
      </c>
      <c r="O741" t="s">
        <v>9</v>
      </c>
      <c r="P741" t="s">
        <v>218</v>
      </c>
      <c r="Q741" t="s">
        <v>1519</v>
      </c>
      <c r="R741">
        <v>22980</v>
      </c>
      <c r="S741" s="1">
        <v>42071</v>
      </c>
      <c r="T741" s="1">
        <v>42071</v>
      </c>
      <c r="U741">
        <v>664.51800000000003</v>
      </c>
      <c r="V741">
        <v>4</v>
      </c>
      <c r="W741">
        <v>657.61</v>
      </c>
      <c r="X741">
        <v>91424</v>
      </c>
      <c r="Y741">
        <f>cleaneddata[[#This Row],[Unit Price]]-cleaneddata[[#This Row],[Discount]]</f>
        <v>161.53</v>
      </c>
      <c r="Z7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42" spans="1:26" x14ac:dyDescent="0.3">
      <c r="A742">
        <v>2770</v>
      </c>
      <c r="B742" t="s">
        <v>1520</v>
      </c>
      <c r="C742" t="s">
        <v>1</v>
      </c>
      <c r="D742">
        <v>0.02</v>
      </c>
      <c r="E742">
        <v>11.55</v>
      </c>
      <c r="F742">
        <v>2.36</v>
      </c>
      <c r="G742" t="s">
        <v>14</v>
      </c>
      <c r="H742" t="s">
        <v>70</v>
      </c>
      <c r="I742" t="s">
        <v>24</v>
      </c>
      <c r="J742" t="s">
        <v>25</v>
      </c>
      <c r="K742" t="s">
        <v>26</v>
      </c>
      <c r="L742" t="s">
        <v>356</v>
      </c>
      <c r="M742">
        <v>0.55000000000000004</v>
      </c>
      <c r="N742" t="s">
        <v>8</v>
      </c>
      <c r="O742" t="s">
        <v>9</v>
      </c>
      <c r="P742" t="s">
        <v>51</v>
      </c>
      <c r="Q742" t="s">
        <v>1521</v>
      </c>
      <c r="R742">
        <v>30338</v>
      </c>
      <c r="S742" s="1">
        <v>42071</v>
      </c>
      <c r="T742" s="1">
        <v>42073</v>
      </c>
      <c r="U742">
        <v>1289.3820000000001</v>
      </c>
      <c r="V742">
        <v>14</v>
      </c>
      <c r="W742">
        <v>159.53</v>
      </c>
      <c r="X742">
        <v>88975</v>
      </c>
      <c r="Y742">
        <f>cleaneddata[[#This Row],[Unit Price]]-cleaneddata[[#This Row],[Discount]]</f>
        <v>11.530000000000001</v>
      </c>
      <c r="Z7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43" spans="1:26" x14ac:dyDescent="0.3">
      <c r="A743">
        <v>2837</v>
      </c>
      <c r="B743" t="s">
        <v>1522</v>
      </c>
      <c r="C743" t="s">
        <v>13</v>
      </c>
      <c r="D743">
        <v>7.0000000000000007E-2</v>
      </c>
      <c r="E743">
        <v>51.98</v>
      </c>
      <c r="F743">
        <v>10.17</v>
      </c>
      <c r="G743" t="s">
        <v>14</v>
      </c>
      <c r="H743" t="s">
        <v>47</v>
      </c>
      <c r="I743" t="s">
        <v>16</v>
      </c>
      <c r="J743" t="s">
        <v>32</v>
      </c>
      <c r="K743" t="s">
        <v>120</v>
      </c>
      <c r="L743" t="s">
        <v>1523</v>
      </c>
      <c r="M743">
        <v>0.37</v>
      </c>
      <c r="N743" t="s">
        <v>8</v>
      </c>
      <c r="O743" t="s">
        <v>28</v>
      </c>
      <c r="P743" t="s">
        <v>183</v>
      </c>
      <c r="Q743" t="s">
        <v>1524</v>
      </c>
      <c r="R743">
        <v>74133</v>
      </c>
      <c r="S743" s="1">
        <v>42071</v>
      </c>
      <c r="T743" s="1">
        <v>42073</v>
      </c>
      <c r="U743">
        <v>439.78530000000001</v>
      </c>
      <c r="V743">
        <v>13</v>
      </c>
      <c r="W743">
        <v>637.37</v>
      </c>
      <c r="X743">
        <v>89801</v>
      </c>
      <c r="Y743">
        <f>cleaneddata[[#This Row],[Unit Price]]-cleaneddata[[#This Row],[Discount]]</f>
        <v>51.91</v>
      </c>
      <c r="Z74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44" spans="1:26" x14ac:dyDescent="0.3">
      <c r="A744">
        <v>2837</v>
      </c>
      <c r="B744" t="s">
        <v>1522</v>
      </c>
      <c r="C744" t="s">
        <v>13</v>
      </c>
      <c r="D744">
        <v>0.1</v>
      </c>
      <c r="E744">
        <v>80.97</v>
      </c>
      <c r="F744">
        <v>33.6</v>
      </c>
      <c r="G744" t="s">
        <v>2</v>
      </c>
      <c r="H744" t="s">
        <v>47</v>
      </c>
      <c r="I744" t="s">
        <v>16</v>
      </c>
      <c r="J744" t="s">
        <v>32</v>
      </c>
      <c r="K744" t="s">
        <v>33</v>
      </c>
      <c r="L744" t="s">
        <v>885</v>
      </c>
      <c r="M744">
        <v>0.37</v>
      </c>
      <c r="N744" t="s">
        <v>8</v>
      </c>
      <c r="O744" t="s">
        <v>28</v>
      </c>
      <c r="P744" t="s">
        <v>183</v>
      </c>
      <c r="Q744" t="s">
        <v>1524</v>
      </c>
      <c r="R744">
        <v>74133</v>
      </c>
      <c r="S744" s="1">
        <v>42071</v>
      </c>
      <c r="T744" s="1">
        <v>42074</v>
      </c>
      <c r="U744">
        <v>-149.4573</v>
      </c>
      <c r="V744">
        <v>3</v>
      </c>
      <c r="W744">
        <v>232.16</v>
      </c>
      <c r="X744">
        <v>89801</v>
      </c>
      <c r="Y744">
        <f>cleaneddata[[#This Row],[Unit Price]]-cleaneddata[[#This Row],[Discount]]</f>
        <v>80.87</v>
      </c>
      <c r="Z7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45" spans="1:26" x14ac:dyDescent="0.3">
      <c r="A745">
        <v>693</v>
      </c>
      <c r="B745" t="s">
        <v>1525</v>
      </c>
      <c r="C745" t="s">
        <v>23</v>
      </c>
      <c r="D745">
        <v>0.09</v>
      </c>
      <c r="E745">
        <v>5.34</v>
      </c>
      <c r="F745">
        <v>2.99</v>
      </c>
      <c r="G745" t="s">
        <v>63</v>
      </c>
      <c r="H745" t="s">
        <v>3</v>
      </c>
      <c r="I745" t="s">
        <v>24</v>
      </c>
      <c r="J745" t="s">
        <v>48</v>
      </c>
      <c r="K745" t="s">
        <v>49</v>
      </c>
      <c r="L745" t="s">
        <v>1354</v>
      </c>
      <c r="M745">
        <v>0.38</v>
      </c>
      <c r="N745" t="s">
        <v>8</v>
      </c>
      <c r="O745" t="s">
        <v>35</v>
      </c>
      <c r="P745" t="s">
        <v>36</v>
      </c>
      <c r="Q745" t="s">
        <v>1526</v>
      </c>
      <c r="R745">
        <v>80229</v>
      </c>
      <c r="S745" s="1">
        <v>42071</v>
      </c>
      <c r="T745" s="1">
        <v>42078</v>
      </c>
      <c r="U745">
        <v>9.4860000000000007</v>
      </c>
      <c r="V745">
        <v>17</v>
      </c>
      <c r="W745">
        <v>95.1</v>
      </c>
      <c r="X745">
        <v>87812</v>
      </c>
      <c r="Y745">
        <f>cleaneddata[[#This Row],[Unit Price]]-cleaneddata[[#This Row],[Discount]]</f>
        <v>5.25</v>
      </c>
      <c r="Z74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46" spans="1:26" x14ac:dyDescent="0.3">
      <c r="A746">
        <v>693</v>
      </c>
      <c r="B746" t="s">
        <v>1525</v>
      </c>
      <c r="C746" t="s">
        <v>23</v>
      </c>
      <c r="D746">
        <v>7.0000000000000007E-2</v>
      </c>
      <c r="E746">
        <v>140.97999999999999</v>
      </c>
      <c r="F746">
        <v>53.48</v>
      </c>
      <c r="G746" t="s">
        <v>2</v>
      </c>
      <c r="H746" t="s">
        <v>3</v>
      </c>
      <c r="I746" t="s">
        <v>4</v>
      </c>
      <c r="J746" t="s">
        <v>93</v>
      </c>
      <c r="K746" t="s">
        <v>6</v>
      </c>
      <c r="L746" t="s">
        <v>1527</v>
      </c>
      <c r="M746">
        <v>0.65</v>
      </c>
      <c r="N746" t="s">
        <v>8</v>
      </c>
      <c r="O746" t="s">
        <v>35</v>
      </c>
      <c r="P746" t="s">
        <v>36</v>
      </c>
      <c r="Q746" t="s">
        <v>1526</v>
      </c>
      <c r="R746">
        <v>80229</v>
      </c>
      <c r="S746" s="1">
        <v>42071</v>
      </c>
      <c r="T746" s="1">
        <v>42078</v>
      </c>
      <c r="U746">
        <v>-263.64999999999998</v>
      </c>
      <c r="V746">
        <v>5</v>
      </c>
      <c r="W746">
        <v>734.74</v>
      </c>
      <c r="X746">
        <v>87812</v>
      </c>
      <c r="Y746">
        <f>cleaneddata[[#This Row],[Unit Price]]-cleaneddata[[#This Row],[Discount]]</f>
        <v>140.91</v>
      </c>
      <c r="Z74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47" spans="1:26" x14ac:dyDescent="0.3">
      <c r="A747">
        <v>693</v>
      </c>
      <c r="B747" t="s">
        <v>1525</v>
      </c>
      <c r="C747" t="s">
        <v>23</v>
      </c>
      <c r="D747">
        <v>0.06</v>
      </c>
      <c r="E747">
        <v>205.99</v>
      </c>
      <c r="F747">
        <v>5.26</v>
      </c>
      <c r="G747" t="s">
        <v>14</v>
      </c>
      <c r="H747" t="s">
        <v>3</v>
      </c>
      <c r="I747" t="s">
        <v>16</v>
      </c>
      <c r="J747" t="s">
        <v>111</v>
      </c>
      <c r="K747" t="s">
        <v>49</v>
      </c>
      <c r="L747" t="s">
        <v>1528</v>
      </c>
      <c r="M747">
        <v>0.56000000000000005</v>
      </c>
      <c r="N747" t="s">
        <v>8</v>
      </c>
      <c r="O747" t="s">
        <v>35</v>
      </c>
      <c r="P747" t="s">
        <v>36</v>
      </c>
      <c r="Q747" t="s">
        <v>1526</v>
      </c>
      <c r="R747">
        <v>80229</v>
      </c>
      <c r="S747" s="1">
        <v>42071</v>
      </c>
      <c r="T747" s="1">
        <v>42078</v>
      </c>
      <c r="U747">
        <v>890.18100000000004</v>
      </c>
      <c r="V747">
        <v>11</v>
      </c>
      <c r="W747">
        <v>1882.87</v>
      </c>
      <c r="X747">
        <v>87812</v>
      </c>
      <c r="Y747">
        <f>cleaneddata[[#This Row],[Unit Price]]-cleaneddata[[#This Row],[Discount]]</f>
        <v>205.93</v>
      </c>
      <c r="Z74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48" spans="1:26" x14ac:dyDescent="0.3">
      <c r="A748">
        <v>1718</v>
      </c>
      <c r="B748" t="s">
        <v>1529</v>
      </c>
      <c r="C748" t="s">
        <v>23</v>
      </c>
      <c r="D748">
        <v>0.01</v>
      </c>
      <c r="E748">
        <v>300.98</v>
      </c>
      <c r="F748">
        <v>64.73</v>
      </c>
      <c r="G748" t="s">
        <v>2</v>
      </c>
      <c r="H748" t="s">
        <v>15</v>
      </c>
      <c r="I748" t="s">
        <v>4</v>
      </c>
      <c r="J748" t="s">
        <v>85</v>
      </c>
      <c r="K748" t="s">
        <v>33</v>
      </c>
      <c r="L748" t="s">
        <v>1316</v>
      </c>
      <c r="M748">
        <v>0.56000000000000005</v>
      </c>
      <c r="N748" t="s">
        <v>8</v>
      </c>
      <c r="O748" t="s">
        <v>9</v>
      </c>
      <c r="P748" t="s">
        <v>73</v>
      </c>
      <c r="Q748" t="s">
        <v>1530</v>
      </c>
      <c r="R748">
        <v>27529</v>
      </c>
      <c r="S748" s="1">
        <v>42071</v>
      </c>
      <c r="T748" s="1">
        <v>42078</v>
      </c>
      <c r="U748">
        <v>-48.874000000000002</v>
      </c>
      <c r="V748">
        <v>3</v>
      </c>
      <c r="W748">
        <v>974.14</v>
      </c>
      <c r="X748">
        <v>90621</v>
      </c>
      <c r="Y748">
        <f>cleaneddata[[#This Row],[Unit Price]]-cleaneddata[[#This Row],[Discount]]</f>
        <v>300.97000000000003</v>
      </c>
      <c r="Z74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49" spans="1:26" x14ac:dyDescent="0.3">
      <c r="A749">
        <v>1075</v>
      </c>
      <c r="B749" t="s">
        <v>1531</v>
      </c>
      <c r="C749" t="s">
        <v>13</v>
      </c>
      <c r="D749">
        <v>0.04</v>
      </c>
      <c r="E749">
        <v>19.23</v>
      </c>
      <c r="F749">
        <v>6.15</v>
      </c>
      <c r="G749" t="s">
        <v>14</v>
      </c>
      <c r="H749" t="s">
        <v>47</v>
      </c>
      <c r="I749" t="s">
        <v>4</v>
      </c>
      <c r="J749" t="s">
        <v>102</v>
      </c>
      <c r="K749" t="s">
        <v>18</v>
      </c>
      <c r="L749" t="s">
        <v>1253</v>
      </c>
      <c r="M749">
        <v>0.44</v>
      </c>
      <c r="N749" t="s">
        <v>8</v>
      </c>
      <c r="O749" t="s">
        <v>28</v>
      </c>
      <c r="P749" t="s">
        <v>79</v>
      </c>
      <c r="Q749" t="s">
        <v>1532</v>
      </c>
      <c r="R749">
        <v>60441</v>
      </c>
      <c r="S749" s="1">
        <v>42072</v>
      </c>
      <c r="T749" s="1">
        <v>42073</v>
      </c>
      <c r="U749">
        <v>152.4348</v>
      </c>
      <c r="V749">
        <v>11</v>
      </c>
      <c r="W749">
        <v>220.92</v>
      </c>
      <c r="X749">
        <v>86422</v>
      </c>
      <c r="Y749">
        <f>cleaneddata[[#This Row],[Unit Price]]-cleaneddata[[#This Row],[Discount]]</f>
        <v>19.190000000000001</v>
      </c>
      <c r="Z7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50" spans="1:26" x14ac:dyDescent="0.3">
      <c r="A750">
        <v>2258</v>
      </c>
      <c r="B750" t="s">
        <v>1533</v>
      </c>
      <c r="C750" t="s">
        <v>23</v>
      </c>
      <c r="D750">
        <v>0.01</v>
      </c>
      <c r="E750">
        <v>7.64</v>
      </c>
      <c r="F750">
        <v>1.39</v>
      </c>
      <c r="G750" t="s">
        <v>63</v>
      </c>
      <c r="H750" t="s">
        <v>70</v>
      </c>
      <c r="I750" t="s">
        <v>24</v>
      </c>
      <c r="J750" t="s">
        <v>321</v>
      </c>
      <c r="K750" t="s">
        <v>49</v>
      </c>
      <c r="L750" t="s">
        <v>1534</v>
      </c>
      <c r="M750">
        <v>0.36</v>
      </c>
      <c r="N750" t="s">
        <v>8</v>
      </c>
      <c r="O750" t="s">
        <v>9</v>
      </c>
      <c r="P750" t="s">
        <v>73</v>
      </c>
      <c r="Q750" t="s">
        <v>1535</v>
      </c>
      <c r="R750">
        <v>27801</v>
      </c>
      <c r="S750" s="1">
        <v>42072</v>
      </c>
      <c r="T750" s="1">
        <v>42076</v>
      </c>
      <c r="U750">
        <v>-1676.6120000000001</v>
      </c>
      <c r="V750">
        <v>9</v>
      </c>
      <c r="W750">
        <v>73.290000000000006</v>
      </c>
      <c r="X750">
        <v>87962</v>
      </c>
      <c r="Y750">
        <f>cleaneddata[[#This Row],[Unit Price]]-cleaneddata[[#This Row],[Discount]]</f>
        <v>7.63</v>
      </c>
      <c r="Z75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51" spans="1:26" x14ac:dyDescent="0.3">
      <c r="A751">
        <v>2258</v>
      </c>
      <c r="B751" t="s">
        <v>1533</v>
      </c>
      <c r="C751" t="s">
        <v>23</v>
      </c>
      <c r="D751">
        <v>7.0000000000000007E-2</v>
      </c>
      <c r="E751">
        <v>400.97</v>
      </c>
      <c r="F751">
        <v>48.26</v>
      </c>
      <c r="G751" t="s">
        <v>2</v>
      </c>
      <c r="H751" t="s">
        <v>70</v>
      </c>
      <c r="I751" t="s">
        <v>16</v>
      </c>
      <c r="J751" t="s">
        <v>32</v>
      </c>
      <c r="K751" t="s">
        <v>6</v>
      </c>
      <c r="L751" t="s">
        <v>1536</v>
      </c>
      <c r="M751">
        <v>0.36</v>
      </c>
      <c r="N751" t="s">
        <v>8</v>
      </c>
      <c r="O751" t="s">
        <v>9</v>
      </c>
      <c r="P751" t="s">
        <v>73</v>
      </c>
      <c r="Q751" t="s">
        <v>1535</v>
      </c>
      <c r="R751">
        <v>27801</v>
      </c>
      <c r="S751" s="1">
        <v>42072</v>
      </c>
      <c r="T751" s="1">
        <v>42076</v>
      </c>
      <c r="U751">
        <v>45.127800000000001</v>
      </c>
      <c r="V751">
        <v>8</v>
      </c>
      <c r="W751">
        <v>2961.32</v>
      </c>
      <c r="X751">
        <v>87962</v>
      </c>
      <c r="Y751">
        <f>cleaneddata[[#This Row],[Unit Price]]-cleaneddata[[#This Row],[Discount]]</f>
        <v>400.90000000000003</v>
      </c>
      <c r="Z75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52" spans="1:26" x14ac:dyDescent="0.3">
      <c r="A752">
        <v>2855</v>
      </c>
      <c r="B752" t="s">
        <v>654</v>
      </c>
      <c r="C752" t="s">
        <v>23</v>
      </c>
      <c r="D752">
        <v>0.09</v>
      </c>
      <c r="E752">
        <v>6783.02</v>
      </c>
      <c r="F752">
        <v>24.49</v>
      </c>
      <c r="G752" t="s">
        <v>14</v>
      </c>
      <c r="H752" t="s">
        <v>15</v>
      </c>
      <c r="I752" t="s">
        <v>16</v>
      </c>
      <c r="J752" t="s">
        <v>32</v>
      </c>
      <c r="K752" t="s">
        <v>40</v>
      </c>
      <c r="L752" t="s">
        <v>290</v>
      </c>
      <c r="M752">
        <v>0.39</v>
      </c>
      <c r="N752" t="s">
        <v>8</v>
      </c>
      <c r="O752" t="s">
        <v>35</v>
      </c>
      <c r="P752" t="s">
        <v>42</v>
      </c>
      <c r="Q752" t="s">
        <v>656</v>
      </c>
      <c r="R752">
        <v>98198</v>
      </c>
      <c r="S752" s="1">
        <v>42073</v>
      </c>
      <c r="T752" s="1">
        <v>42077</v>
      </c>
      <c r="U752">
        <v>-14140.7016</v>
      </c>
      <c r="V752">
        <v>1</v>
      </c>
      <c r="W752">
        <v>6296</v>
      </c>
      <c r="X752">
        <v>87317</v>
      </c>
      <c r="Y752">
        <f>cleaneddata[[#This Row],[Unit Price]]-cleaneddata[[#This Row],[Discount]]</f>
        <v>6782.93</v>
      </c>
      <c r="Z75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53" spans="1:26" x14ac:dyDescent="0.3">
      <c r="A753">
        <v>2545</v>
      </c>
      <c r="B753" t="s">
        <v>1537</v>
      </c>
      <c r="C753" t="s">
        <v>92</v>
      </c>
      <c r="D753">
        <v>0.01</v>
      </c>
      <c r="E753">
        <v>99.99</v>
      </c>
      <c r="F753">
        <v>19.989999999999998</v>
      </c>
      <c r="G753" t="s">
        <v>63</v>
      </c>
      <c r="H753" t="s">
        <v>47</v>
      </c>
      <c r="I753" t="s">
        <v>16</v>
      </c>
      <c r="J753" t="s">
        <v>32</v>
      </c>
      <c r="K753" t="s">
        <v>49</v>
      </c>
      <c r="L753" t="s">
        <v>1538</v>
      </c>
      <c r="M753">
        <v>0.52</v>
      </c>
      <c r="N753" t="s">
        <v>8</v>
      </c>
      <c r="O753" t="s">
        <v>9</v>
      </c>
      <c r="P753" t="s">
        <v>218</v>
      </c>
      <c r="Q753" t="s">
        <v>854</v>
      </c>
      <c r="R753">
        <v>22153</v>
      </c>
      <c r="S753" s="1">
        <v>42073</v>
      </c>
      <c r="T753" s="1">
        <v>42075</v>
      </c>
      <c r="U753">
        <v>90.024000000000001</v>
      </c>
      <c r="V753">
        <v>2</v>
      </c>
      <c r="W753">
        <v>202.98</v>
      </c>
      <c r="X753">
        <v>87915</v>
      </c>
      <c r="Y753">
        <f>cleaneddata[[#This Row],[Unit Price]]-cleaneddata[[#This Row],[Discount]]</f>
        <v>99.97999999999999</v>
      </c>
      <c r="Z75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54" spans="1:26" x14ac:dyDescent="0.3">
      <c r="A754">
        <v>3194</v>
      </c>
      <c r="B754" t="s">
        <v>1539</v>
      </c>
      <c r="C754" t="s">
        <v>92</v>
      </c>
      <c r="D754">
        <v>0.1</v>
      </c>
      <c r="E754">
        <v>4.9800000000000004</v>
      </c>
      <c r="F754">
        <v>7.54</v>
      </c>
      <c r="G754" t="s">
        <v>14</v>
      </c>
      <c r="H754" t="s">
        <v>15</v>
      </c>
      <c r="I754" t="s">
        <v>24</v>
      </c>
      <c r="J754" t="s">
        <v>64</v>
      </c>
      <c r="K754" t="s">
        <v>49</v>
      </c>
      <c r="L754" t="s">
        <v>1540</v>
      </c>
      <c r="M754">
        <v>0.38</v>
      </c>
      <c r="N754" t="s">
        <v>8</v>
      </c>
      <c r="O754" t="s">
        <v>9</v>
      </c>
      <c r="P754" t="s">
        <v>99</v>
      </c>
      <c r="Q754" t="s">
        <v>412</v>
      </c>
      <c r="R754">
        <v>34609</v>
      </c>
      <c r="S754" s="1">
        <v>42073</v>
      </c>
      <c r="T754" s="1">
        <v>42074</v>
      </c>
      <c r="U754">
        <v>45.078000000000003</v>
      </c>
      <c r="V754">
        <v>9</v>
      </c>
      <c r="W754">
        <v>43.84</v>
      </c>
      <c r="X754">
        <v>89805</v>
      </c>
      <c r="Y754">
        <f>cleaneddata[[#This Row],[Unit Price]]-cleaneddata[[#This Row],[Discount]]</f>
        <v>4.8800000000000008</v>
      </c>
      <c r="Z75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55" spans="1:26" x14ac:dyDescent="0.3">
      <c r="A755">
        <v>3194</v>
      </c>
      <c r="B755" t="s">
        <v>1539</v>
      </c>
      <c r="C755" t="s">
        <v>92</v>
      </c>
      <c r="D755">
        <v>0</v>
      </c>
      <c r="E755">
        <v>22.84</v>
      </c>
      <c r="F755">
        <v>8.18</v>
      </c>
      <c r="G755" t="s">
        <v>14</v>
      </c>
      <c r="H755" t="s">
        <v>15</v>
      </c>
      <c r="I755" t="s">
        <v>24</v>
      </c>
      <c r="J755" t="s">
        <v>64</v>
      </c>
      <c r="K755" t="s">
        <v>49</v>
      </c>
      <c r="L755" t="s">
        <v>581</v>
      </c>
      <c r="M755">
        <v>0.39</v>
      </c>
      <c r="N755" t="s">
        <v>8</v>
      </c>
      <c r="O755" t="s">
        <v>9</v>
      </c>
      <c r="P755" t="s">
        <v>99</v>
      </c>
      <c r="Q755" t="s">
        <v>412</v>
      </c>
      <c r="R755">
        <v>34609</v>
      </c>
      <c r="S755" s="1">
        <v>42073</v>
      </c>
      <c r="T755" s="1">
        <v>42075</v>
      </c>
      <c r="U755">
        <v>-110.376</v>
      </c>
      <c r="V755">
        <v>6</v>
      </c>
      <c r="W755">
        <v>141.74</v>
      </c>
      <c r="X755">
        <v>89805</v>
      </c>
      <c r="Y755">
        <f>cleaneddata[[#This Row],[Unit Price]]-cleaneddata[[#This Row],[Discount]]</f>
        <v>22.84</v>
      </c>
      <c r="Z75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56" spans="1:26" x14ac:dyDescent="0.3">
      <c r="A756">
        <v>52</v>
      </c>
      <c r="B756" t="s">
        <v>1541</v>
      </c>
      <c r="C756" t="s">
        <v>46</v>
      </c>
      <c r="D756">
        <v>0</v>
      </c>
      <c r="E756">
        <v>115.99</v>
      </c>
      <c r="F756">
        <v>2.5</v>
      </c>
      <c r="G756" t="s">
        <v>14</v>
      </c>
      <c r="H756" t="s">
        <v>70</v>
      </c>
      <c r="I756" t="s">
        <v>16</v>
      </c>
      <c r="J756" t="s">
        <v>111</v>
      </c>
      <c r="K756" t="s">
        <v>49</v>
      </c>
      <c r="L756" t="s">
        <v>1542</v>
      </c>
      <c r="M756">
        <v>0.56999999999999995</v>
      </c>
      <c r="N756" t="s">
        <v>8</v>
      </c>
      <c r="O756" t="s">
        <v>35</v>
      </c>
      <c r="P756" t="s">
        <v>42</v>
      </c>
      <c r="Q756" t="s">
        <v>1543</v>
      </c>
      <c r="R756">
        <v>98373</v>
      </c>
      <c r="S756" s="1">
        <v>42073</v>
      </c>
      <c r="T756" s="1">
        <v>42073</v>
      </c>
      <c r="U756">
        <v>162.666</v>
      </c>
      <c r="V756">
        <v>6</v>
      </c>
      <c r="W756">
        <v>627.04</v>
      </c>
      <c r="X756">
        <v>88426</v>
      </c>
      <c r="Y756">
        <f>cleaneddata[[#This Row],[Unit Price]]-cleaneddata[[#This Row],[Discount]]</f>
        <v>115.99</v>
      </c>
      <c r="Z75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57" spans="1:26" x14ac:dyDescent="0.3">
      <c r="A757">
        <v>53</v>
      </c>
      <c r="B757" t="s">
        <v>816</v>
      </c>
      <c r="C757" t="s">
        <v>46</v>
      </c>
      <c r="D757">
        <v>0.02</v>
      </c>
      <c r="E757">
        <v>5.98</v>
      </c>
      <c r="F757">
        <v>5.79</v>
      </c>
      <c r="G757" t="s">
        <v>14</v>
      </c>
      <c r="H757" t="s">
        <v>70</v>
      </c>
      <c r="I757" t="s">
        <v>24</v>
      </c>
      <c r="J757" t="s">
        <v>64</v>
      </c>
      <c r="K757" t="s">
        <v>49</v>
      </c>
      <c r="L757" t="s">
        <v>447</v>
      </c>
      <c r="M757">
        <v>0.36</v>
      </c>
      <c r="N757" t="s">
        <v>8</v>
      </c>
      <c r="O757" t="s">
        <v>35</v>
      </c>
      <c r="P757" t="s">
        <v>42</v>
      </c>
      <c r="Q757" t="s">
        <v>818</v>
      </c>
      <c r="R757">
        <v>98052</v>
      </c>
      <c r="S757" s="1">
        <v>42073</v>
      </c>
      <c r="T757" s="1">
        <v>42074</v>
      </c>
      <c r="U757">
        <v>-67.489999999999995</v>
      </c>
      <c r="V757">
        <v>17</v>
      </c>
      <c r="W757">
        <v>110.19</v>
      </c>
      <c r="X757">
        <v>88426</v>
      </c>
      <c r="Y757">
        <f>cleaneddata[[#This Row],[Unit Price]]-cleaneddata[[#This Row],[Discount]]</f>
        <v>5.9600000000000009</v>
      </c>
      <c r="Z75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58" spans="1:26" x14ac:dyDescent="0.3">
      <c r="A758">
        <v>753</v>
      </c>
      <c r="B758" t="s">
        <v>1544</v>
      </c>
      <c r="C758" t="s">
        <v>1</v>
      </c>
      <c r="D758">
        <v>0.06</v>
      </c>
      <c r="E758">
        <v>2.61</v>
      </c>
      <c r="F758">
        <v>0.5</v>
      </c>
      <c r="G758" t="s">
        <v>63</v>
      </c>
      <c r="H758" t="s">
        <v>70</v>
      </c>
      <c r="I758" t="s">
        <v>24</v>
      </c>
      <c r="J758" t="s">
        <v>128</v>
      </c>
      <c r="K758" t="s">
        <v>49</v>
      </c>
      <c r="L758" t="s">
        <v>1545</v>
      </c>
      <c r="M758">
        <v>0.39</v>
      </c>
      <c r="N758" t="s">
        <v>8</v>
      </c>
      <c r="O758" t="s">
        <v>35</v>
      </c>
      <c r="P758" t="s">
        <v>564</v>
      </c>
      <c r="Q758" t="s">
        <v>1546</v>
      </c>
      <c r="R758">
        <v>86301</v>
      </c>
      <c r="S758" s="1">
        <v>42074</v>
      </c>
      <c r="T758" s="1">
        <v>42074</v>
      </c>
      <c r="U758">
        <v>10.85</v>
      </c>
      <c r="V758">
        <v>1</v>
      </c>
      <c r="W758">
        <v>17.59</v>
      </c>
      <c r="X758">
        <v>90438</v>
      </c>
      <c r="Y758">
        <f>cleaneddata[[#This Row],[Unit Price]]-cleaneddata[[#This Row],[Discount]]</f>
        <v>2.5499999999999998</v>
      </c>
      <c r="Z75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59" spans="1:26" x14ac:dyDescent="0.3">
      <c r="A759">
        <v>753</v>
      </c>
      <c r="B759" t="s">
        <v>1544</v>
      </c>
      <c r="C759" t="s">
        <v>1</v>
      </c>
      <c r="D759">
        <v>0.01</v>
      </c>
      <c r="E759">
        <v>6.35</v>
      </c>
      <c r="F759">
        <v>1.02</v>
      </c>
      <c r="G759" t="s">
        <v>14</v>
      </c>
      <c r="H759" t="s">
        <v>70</v>
      </c>
      <c r="I759" t="s">
        <v>24</v>
      </c>
      <c r="J759" t="s">
        <v>64</v>
      </c>
      <c r="K759" t="s">
        <v>26</v>
      </c>
      <c r="L759" t="s">
        <v>503</v>
      </c>
      <c r="M759">
        <v>0.39</v>
      </c>
      <c r="N759" t="s">
        <v>8</v>
      </c>
      <c r="O759" t="s">
        <v>35</v>
      </c>
      <c r="P759" t="s">
        <v>564</v>
      </c>
      <c r="Q759" t="s">
        <v>1546</v>
      </c>
      <c r="R759">
        <v>86301</v>
      </c>
      <c r="S759" s="1">
        <v>42074</v>
      </c>
      <c r="T759" s="1">
        <v>42076</v>
      </c>
      <c r="U759">
        <v>97.662599999999998</v>
      </c>
      <c r="V759">
        <v>22</v>
      </c>
      <c r="W759">
        <v>141.54</v>
      </c>
      <c r="X759">
        <v>90438</v>
      </c>
      <c r="Y759">
        <f>cleaneddata[[#This Row],[Unit Price]]-cleaneddata[[#This Row],[Discount]]</f>
        <v>6.34</v>
      </c>
      <c r="Z7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60" spans="1:26" x14ac:dyDescent="0.3">
      <c r="A760">
        <v>1494</v>
      </c>
      <c r="B760" t="s">
        <v>1547</v>
      </c>
      <c r="C760" t="s">
        <v>1</v>
      </c>
      <c r="D760">
        <v>0.06</v>
      </c>
      <c r="E760">
        <v>8.3699999999999992</v>
      </c>
      <c r="F760">
        <v>10.16</v>
      </c>
      <c r="G760" t="s">
        <v>14</v>
      </c>
      <c r="H760" t="s">
        <v>70</v>
      </c>
      <c r="I760" t="s">
        <v>4</v>
      </c>
      <c r="J760" t="s">
        <v>102</v>
      </c>
      <c r="K760" t="s">
        <v>40</v>
      </c>
      <c r="L760" t="s">
        <v>1548</v>
      </c>
      <c r="M760">
        <v>0.59</v>
      </c>
      <c r="N760" t="s">
        <v>8</v>
      </c>
      <c r="O760" t="s">
        <v>87</v>
      </c>
      <c r="P760" t="s">
        <v>394</v>
      </c>
      <c r="Q760" t="s">
        <v>1549</v>
      </c>
      <c r="R760">
        <v>21222</v>
      </c>
      <c r="S760" s="1">
        <v>42074</v>
      </c>
      <c r="T760" s="1">
        <v>42076</v>
      </c>
      <c r="U760">
        <v>-255.65</v>
      </c>
      <c r="V760">
        <v>18</v>
      </c>
      <c r="W760">
        <v>157.63999999999999</v>
      </c>
      <c r="X760">
        <v>85880</v>
      </c>
      <c r="Y760">
        <f>cleaneddata[[#This Row],[Unit Price]]-cleaneddata[[#This Row],[Discount]]</f>
        <v>8.3099999999999987</v>
      </c>
      <c r="Z76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61" spans="1:26" x14ac:dyDescent="0.3">
      <c r="A761">
        <v>1494</v>
      </c>
      <c r="B761" t="s">
        <v>1547</v>
      </c>
      <c r="C761" t="s">
        <v>1</v>
      </c>
      <c r="D761">
        <v>0.09</v>
      </c>
      <c r="E761">
        <v>6.48</v>
      </c>
      <c r="F761">
        <v>9.17</v>
      </c>
      <c r="G761" t="s">
        <v>63</v>
      </c>
      <c r="H761" t="s">
        <v>70</v>
      </c>
      <c r="I761" t="s">
        <v>24</v>
      </c>
      <c r="J761" t="s">
        <v>64</v>
      </c>
      <c r="K761" t="s">
        <v>49</v>
      </c>
      <c r="L761" t="s">
        <v>370</v>
      </c>
      <c r="M761">
        <v>0.37</v>
      </c>
      <c r="N761" t="s">
        <v>8</v>
      </c>
      <c r="O761" t="s">
        <v>87</v>
      </c>
      <c r="P761" t="s">
        <v>394</v>
      </c>
      <c r="Q761" t="s">
        <v>1549</v>
      </c>
      <c r="R761">
        <v>21222</v>
      </c>
      <c r="S761" s="1">
        <v>42074</v>
      </c>
      <c r="T761" s="1">
        <v>42076</v>
      </c>
      <c r="U761">
        <v>-76.540000000000006</v>
      </c>
      <c r="V761">
        <v>6</v>
      </c>
      <c r="W761">
        <v>42.16</v>
      </c>
      <c r="X761">
        <v>85880</v>
      </c>
      <c r="Y761">
        <f>cleaneddata[[#This Row],[Unit Price]]-cleaneddata[[#This Row],[Discount]]</f>
        <v>6.3900000000000006</v>
      </c>
      <c r="Z76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62" spans="1:26" x14ac:dyDescent="0.3">
      <c r="A762">
        <v>1497</v>
      </c>
      <c r="B762" t="s">
        <v>1550</v>
      </c>
      <c r="C762" t="s">
        <v>1</v>
      </c>
      <c r="D762">
        <v>0.09</v>
      </c>
      <c r="E762">
        <v>6.28</v>
      </c>
      <c r="F762">
        <v>5.29</v>
      </c>
      <c r="G762" t="s">
        <v>14</v>
      </c>
      <c r="H762" t="s">
        <v>70</v>
      </c>
      <c r="I762" t="s">
        <v>4</v>
      </c>
      <c r="J762" t="s">
        <v>102</v>
      </c>
      <c r="K762" t="s">
        <v>49</v>
      </c>
      <c r="L762" t="s">
        <v>1551</v>
      </c>
      <c r="M762">
        <v>0.43</v>
      </c>
      <c r="N762" t="s">
        <v>8</v>
      </c>
      <c r="O762" t="s">
        <v>87</v>
      </c>
      <c r="P762" t="s">
        <v>88</v>
      </c>
      <c r="Q762" t="s">
        <v>1552</v>
      </c>
      <c r="R762">
        <v>14901</v>
      </c>
      <c r="S762" s="1">
        <v>42074</v>
      </c>
      <c r="T762" s="1">
        <v>42075</v>
      </c>
      <c r="U762">
        <v>-10.09</v>
      </c>
      <c r="V762">
        <v>2</v>
      </c>
      <c r="W762">
        <v>14.08</v>
      </c>
      <c r="X762">
        <v>85880</v>
      </c>
      <c r="Y762">
        <f>cleaneddata[[#This Row],[Unit Price]]-cleaneddata[[#This Row],[Discount]]</f>
        <v>6.19</v>
      </c>
      <c r="Z76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63" spans="1:26" x14ac:dyDescent="0.3">
      <c r="A763">
        <v>1497</v>
      </c>
      <c r="B763" t="s">
        <v>1550</v>
      </c>
      <c r="C763" t="s">
        <v>1</v>
      </c>
      <c r="D763">
        <v>0.03</v>
      </c>
      <c r="E763">
        <v>15.14</v>
      </c>
      <c r="F763">
        <v>4.53</v>
      </c>
      <c r="G763" t="s">
        <v>14</v>
      </c>
      <c r="H763" t="s">
        <v>70</v>
      </c>
      <c r="I763" t="s">
        <v>24</v>
      </c>
      <c r="J763" t="s">
        <v>54</v>
      </c>
      <c r="K763" t="s">
        <v>49</v>
      </c>
      <c r="L763" t="s">
        <v>1331</v>
      </c>
      <c r="M763">
        <v>0.81</v>
      </c>
      <c r="N763" t="s">
        <v>8</v>
      </c>
      <c r="O763" t="s">
        <v>87</v>
      </c>
      <c r="P763" t="s">
        <v>88</v>
      </c>
      <c r="Q763" t="s">
        <v>1552</v>
      </c>
      <c r="R763">
        <v>14901</v>
      </c>
      <c r="S763" s="1">
        <v>42074</v>
      </c>
      <c r="T763" s="1">
        <v>42076</v>
      </c>
      <c r="U763">
        <v>-92.87</v>
      </c>
      <c r="V763">
        <v>17</v>
      </c>
      <c r="W763">
        <v>256.73</v>
      </c>
      <c r="X763">
        <v>85880</v>
      </c>
      <c r="Y763">
        <f>cleaneddata[[#This Row],[Unit Price]]-cleaneddata[[#This Row],[Discount]]</f>
        <v>15.110000000000001</v>
      </c>
      <c r="Z76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64" spans="1:26" x14ac:dyDescent="0.3">
      <c r="A764">
        <v>2616</v>
      </c>
      <c r="B764" t="s">
        <v>1553</v>
      </c>
      <c r="C764" t="s">
        <v>1</v>
      </c>
      <c r="D764">
        <v>0</v>
      </c>
      <c r="E764">
        <v>2.6</v>
      </c>
      <c r="F764">
        <v>2.4</v>
      </c>
      <c r="G764" t="s">
        <v>14</v>
      </c>
      <c r="H764" t="s">
        <v>70</v>
      </c>
      <c r="I764" t="s">
        <v>24</v>
      </c>
      <c r="J764" t="s">
        <v>25</v>
      </c>
      <c r="K764" t="s">
        <v>26</v>
      </c>
      <c r="L764" t="s">
        <v>332</v>
      </c>
      <c r="M764">
        <v>0.57999999999999996</v>
      </c>
      <c r="N764" t="s">
        <v>8</v>
      </c>
      <c r="O764" t="s">
        <v>28</v>
      </c>
      <c r="P764" t="s">
        <v>265</v>
      </c>
      <c r="Q764" t="s">
        <v>1554</v>
      </c>
      <c r="R764">
        <v>49002</v>
      </c>
      <c r="S764" s="1">
        <v>42074</v>
      </c>
      <c r="T764" s="1">
        <v>42076</v>
      </c>
      <c r="U764">
        <v>-45.21</v>
      </c>
      <c r="V764">
        <v>16</v>
      </c>
      <c r="W764">
        <v>44.75</v>
      </c>
      <c r="X764">
        <v>91495</v>
      </c>
      <c r="Y764">
        <f>cleaneddata[[#This Row],[Unit Price]]-cleaneddata[[#This Row],[Discount]]</f>
        <v>2.6</v>
      </c>
      <c r="Z7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65" spans="1:26" x14ac:dyDescent="0.3">
      <c r="A765">
        <v>1484</v>
      </c>
      <c r="B765" t="s">
        <v>1555</v>
      </c>
      <c r="C765" t="s">
        <v>13</v>
      </c>
      <c r="D765">
        <v>0.06</v>
      </c>
      <c r="E765">
        <v>99.99</v>
      </c>
      <c r="F765">
        <v>19.989999999999998</v>
      </c>
      <c r="G765" t="s">
        <v>14</v>
      </c>
      <c r="H765" t="s">
        <v>47</v>
      </c>
      <c r="I765" t="s">
        <v>16</v>
      </c>
      <c r="J765" t="s">
        <v>17</v>
      </c>
      <c r="K765" t="s">
        <v>49</v>
      </c>
      <c r="L765" t="s">
        <v>1556</v>
      </c>
      <c r="M765">
        <v>0.52</v>
      </c>
      <c r="N765" t="s">
        <v>8</v>
      </c>
      <c r="O765" t="s">
        <v>28</v>
      </c>
      <c r="P765" t="s">
        <v>79</v>
      </c>
      <c r="Q765" t="s">
        <v>1557</v>
      </c>
      <c r="R765">
        <v>60016</v>
      </c>
      <c r="S765" s="1">
        <v>42074</v>
      </c>
      <c r="T765" s="1">
        <v>42077</v>
      </c>
      <c r="U765">
        <v>-127.56</v>
      </c>
      <c r="V765">
        <v>3</v>
      </c>
      <c r="W765">
        <v>290.24</v>
      </c>
      <c r="X765">
        <v>91235</v>
      </c>
      <c r="Y765">
        <f>cleaneddata[[#This Row],[Unit Price]]-cleaneddata[[#This Row],[Discount]]</f>
        <v>99.929999999999993</v>
      </c>
      <c r="Z76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66" spans="1:26" x14ac:dyDescent="0.3">
      <c r="A766">
        <v>1484</v>
      </c>
      <c r="B766" t="s">
        <v>1555</v>
      </c>
      <c r="C766" t="s">
        <v>13</v>
      </c>
      <c r="D766">
        <v>0</v>
      </c>
      <c r="E766">
        <v>193.17</v>
      </c>
      <c r="F766">
        <v>19.989999999999998</v>
      </c>
      <c r="G766" t="s">
        <v>14</v>
      </c>
      <c r="H766" t="s">
        <v>47</v>
      </c>
      <c r="I766" t="s">
        <v>24</v>
      </c>
      <c r="J766" t="s">
        <v>54</v>
      </c>
      <c r="K766" t="s">
        <v>49</v>
      </c>
      <c r="L766" t="s">
        <v>1558</v>
      </c>
      <c r="M766">
        <v>0.71</v>
      </c>
      <c r="N766" t="s">
        <v>8</v>
      </c>
      <c r="O766" t="s">
        <v>28</v>
      </c>
      <c r="P766" t="s">
        <v>79</v>
      </c>
      <c r="Q766" t="s">
        <v>1557</v>
      </c>
      <c r="R766">
        <v>60016</v>
      </c>
      <c r="S766" s="1">
        <v>42074</v>
      </c>
      <c r="T766" s="1">
        <v>42075</v>
      </c>
      <c r="U766">
        <v>282.18</v>
      </c>
      <c r="V766">
        <v>5</v>
      </c>
      <c r="W766">
        <v>971.4</v>
      </c>
      <c r="X766">
        <v>91235</v>
      </c>
      <c r="Y766">
        <f>cleaneddata[[#This Row],[Unit Price]]-cleaneddata[[#This Row],[Discount]]</f>
        <v>193.17</v>
      </c>
      <c r="Z76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67" spans="1:26" x14ac:dyDescent="0.3">
      <c r="A767">
        <v>1484</v>
      </c>
      <c r="B767" t="s">
        <v>1555</v>
      </c>
      <c r="C767" t="s">
        <v>13</v>
      </c>
      <c r="D767">
        <v>0.08</v>
      </c>
      <c r="E767">
        <v>20.99</v>
      </c>
      <c r="F767">
        <v>3.3</v>
      </c>
      <c r="G767" t="s">
        <v>63</v>
      </c>
      <c r="H767" t="s">
        <v>47</v>
      </c>
      <c r="I767" t="s">
        <v>16</v>
      </c>
      <c r="J767" t="s">
        <v>111</v>
      </c>
      <c r="K767" t="s">
        <v>18</v>
      </c>
      <c r="L767" t="s">
        <v>1559</v>
      </c>
      <c r="M767">
        <v>0.81</v>
      </c>
      <c r="N767" t="s">
        <v>8</v>
      </c>
      <c r="O767" t="s">
        <v>28</v>
      </c>
      <c r="P767" t="s">
        <v>79</v>
      </c>
      <c r="Q767" t="s">
        <v>1557</v>
      </c>
      <c r="R767">
        <v>60016</v>
      </c>
      <c r="S767" s="1">
        <v>42074</v>
      </c>
      <c r="T767" s="1">
        <v>42074</v>
      </c>
      <c r="U767">
        <v>-96.337999999999994</v>
      </c>
      <c r="V767">
        <v>11</v>
      </c>
      <c r="W767">
        <v>193.51</v>
      </c>
      <c r="X767">
        <v>91235</v>
      </c>
      <c r="Y767">
        <f>cleaneddata[[#This Row],[Unit Price]]-cleaneddata[[#This Row],[Discount]]</f>
        <v>20.91</v>
      </c>
      <c r="Z76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68" spans="1:26" x14ac:dyDescent="0.3">
      <c r="A768">
        <v>3397</v>
      </c>
      <c r="B768" t="s">
        <v>1560</v>
      </c>
      <c r="C768" t="s">
        <v>13</v>
      </c>
      <c r="D768">
        <v>0.01</v>
      </c>
      <c r="E768">
        <v>10.9</v>
      </c>
      <c r="F768">
        <v>7.46</v>
      </c>
      <c r="G768" t="s">
        <v>14</v>
      </c>
      <c r="H768" t="s">
        <v>3</v>
      </c>
      <c r="I768" t="s">
        <v>24</v>
      </c>
      <c r="J768" t="s">
        <v>54</v>
      </c>
      <c r="K768" t="s">
        <v>49</v>
      </c>
      <c r="L768" t="s">
        <v>1561</v>
      </c>
      <c r="M768">
        <v>0.59</v>
      </c>
      <c r="N768" t="s">
        <v>8</v>
      </c>
      <c r="O768" t="s">
        <v>28</v>
      </c>
      <c r="P768" t="s">
        <v>79</v>
      </c>
      <c r="Q768" t="s">
        <v>1562</v>
      </c>
      <c r="R768">
        <v>61832</v>
      </c>
      <c r="S768" s="1">
        <v>42074</v>
      </c>
      <c r="T768" s="1">
        <v>42075</v>
      </c>
      <c r="U768">
        <v>-116.76</v>
      </c>
      <c r="V768">
        <v>18</v>
      </c>
      <c r="W768">
        <v>207.31</v>
      </c>
      <c r="X768">
        <v>87536</v>
      </c>
      <c r="Y768">
        <f>cleaneddata[[#This Row],[Unit Price]]-cleaneddata[[#This Row],[Discount]]</f>
        <v>10.89</v>
      </c>
      <c r="Z76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69" spans="1:26" x14ac:dyDescent="0.3">
      <c r="A769">
        <v>3397</v>
      </c>
      <c r="B769" t="s">
        <v>1560</v>
      </c>
      <c r="C769" t="s">
        <v>13</v>
      </c>
      <c r="D769">
        <v>0.1</v>
      </c>
      <c r="E769">
        <v>7.99</v>
      </c>
      <c r="F769">
        <v>5.03</v>
      </c>
      <c r="G769" t="s">
        <v>14</v>
      </c>
      <c r="H769" t="s">
        <v>3</v>
      </c>
      <c r="I769" t="s">
        <v>16</v>
      </c>
      <c r="J769" t="s">
        <v>111</v>
      </c>
      <c r="K769" t="s">
        <v>120</v>
      </c>
      <c r="L769" t="s">
        <v>441</v>
      </c>
      <c r="M769">
        <v>0.6</v>
      </c>
      <c r="N769" t="s">
        <v>8</v>
      </c>
      <c r="O769" t="s">
        <v>28</v>
      </c>
      <c r="P769" t="s">
        <v>79</v>
      </c>
      <c r="Q769" t="s">
        <v>1562</v>
      </c>
      <c r="R769">
        <v>61832</v>
      </c>
      <c r="S769" s="1">
        <v>42074</v>
      </c>
      <c r="T769" s="1">
        <v>42075</v>
      </c>
      <c r="U769">
        <v>-160.952</v>
      </c>
      <c r="V769">
        <v>22</v>
      </c>
      <c r="W769">
        <v>143.12</v>
      </c>
      <c r="X769">
        <v>87536</v>
      </c>
      <c r="Y769">
        <f>cleaneddata[[#This Row],[Unit Price]]-cleaneddata[[#This Row],[Discount]]</f>
        <v>7.8900000000000006</v>
      </c>
      <c r="Z76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70" spans="1:26" x14ac:dyDescent="0.3">
      <c r="A770">
        <v>3151</v>
      </c>
      <c r="B770" t="s">
        <v>929</v>
      </c>
      <c r="C770" t="s">
        <v>92</v>
      </c>
      <c r="D770">
        <v>0.02</v>
      </c>
      <c r="E770">
        <v>5.98</v>
      </c>
      <c r="F770">
        <v>1.49</v>
      </c>
      <c r="G770" t="s">
        <v>14</v>
      </c>
      <c r="H770" t="s">
        <v>70</v>
      </c>
      <c r="I770" t="s">
        <v>24</v>
      </c>
      <c r="J770" t="s">
        <v>48</v>
      </c>
      <c r="K770" t="s">
        <v>49</v>
      </c>
      <c r="L770" t="s">
        <v>1563</v>
      </c>
      <c r="M770">
        <v>0.39</v>
      </c>
      <c r="N770" t="s">
        <v>8</v>
      </c>
      <c r="O770" t="s">
        <v>35</v>
      </c>
      <c r="P770" t="s">
        <v>66</v>
      </c>
      <c r="Q770" t="s">
        <v>930</v>
      </c>
      <c r="R770">
        <v>92277</v>
      </c>
      <c r="S770" s="1">
        <v>42074</v>
      </c>
      <c r="T770" s="1">
        <v>42075</v>
      </c>
      <c r="U770">
        <v>28.526</v>
      </c>
      <c r="V770">
        <v>10</v>
      </c>
      <c r="W770">
        <v>59.9</v>
      </c>
      <c r="X770">
        <v>88547</v>
      </c>
      <c r="Y770">
        <f>cleaneddata[[#This Row],[Unit Price]]-cleaneddata[[#This Row],[Discount]]</f>
        <v>5.9600000000000009</v>
      </c>
      <c r="Z7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71" spans="1:26" x14ac:dyDescent="0.3">
      <c r="A771">
        <v>796</v>
      </c>
      <c r="B771" t="s">
        <v>1564</v>
      </c>
      <c r="C771" t="s">
        <v>46</v>
      </c>
      <c r="D771">
        <v>0.06</v>
      </c>
      <c r="E771">
        <v>8.6</v>
      </c>
      <c r="F771">
        <v>6.19</v>
      </c>
      <c r="G771" t="s">
        <v>14</v>
      </c>
      <c r="H771" t="s">
        <v>70</v>
      </c>
      <c r="I771" t="s">
        <v>24</v>
      </c>
      <c r="J771" t="s">
        <v>48</v>
      </c>
      <c r="K771" t="s">
        <v>49</v>
      </c>
      <c r="L771" t="s">
        <v>508</v>
      </c>
      <c r="M771">
        <v>0.38</v>
      </c>
      <c r="N771" t="s">
        <v>8</v>
      </c>
      <c r="O771" t="s">
        <v>28</v>
      </c>
      <c r="P771" t="s">
        <v>109</v>
      </c>
      <c r="Q771" t="s">
        <v>1565</v>
      </c>
      <c r="R771">
        <v>68046</v>
      </c>
      <c r="S771" s="1">
        <v>42074</v>
      </c>
      <c r="T771" s="1">
        <v>42075</v>
      </c>
      <c r="U771">
        <v>-46.115000000000002</v>
      </c>
      <c r="V771">
        <v>9</v>
      </c>
      <c r="W771">
        <v>79.400000000000006</v>
      </c>
      <c r="X771">
        <v>86867</v>
      </c>
      <c r="Y771">
        <f>cleaneddata[[#This Row],[Unit Price]]-cleaneddata[[#This Row],[Discount]]</f>
        <v>8.5399999999999991</v>
      </c>
      <c r="Z77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72" spans="1:26" x14ac:dyDescent="0.3">
      <c r="A772">
        <v>1254</v>
      </c>
      <c r="B772" t="s">
        <v>1566</v>
      </c>
      <c r="C772" t="s">
        <v>1</v>
      </c>
      <c r="D772">
        <v>0.06</v>
      </c>
      <c r="E772">
        <v>80.98</v>
      </c>
      <c r="F772">
        <v>35</v>
      </c>
      <c r="G772" t="s">
        <v>14</v>
      </c>
      <c r="H772" t="s">
        <v>47</v>
      </c>
      <c r="I772" t="s">
        <v>24</v>
      </c>
      <c r="J772" t="s">
        <v>54</v>
      </c>
      <c r="K772" t="s">
        <v>40</v>
      </c>
      <c r="L772" t="s">
        <v>200</v>
      </c>
      <c r="M772">
        <v>0.81</v>
      </c>
      <c r="N772" t="s">
        <v>8</v>
      </c>
      <c r="O772" t="s">
        <v>28</v>
      </c>
      <c r="P772" t="s">
        <v>163</v>
      </c>
      <c r="Q772" t="s">
        <v>1567</v>
      </c>
      <c r="R772">
        <v>77530</v>
      </c>
      <c r="S772" s="1">
        <v>42075</v>
      </c>
      <c r="T772" s="1">
        <v>42076</v>
      </c>
      <c r="U772">
        <v>-218.77</v>
      </c>
      <c r="V772">
        <v>2</v>
      </c>
      <c r="W772">
        <v>172.79</v>
      </c>
      <c r="X772">
        <v>89983</v>
      </c>
      <c r="Y772">
        <f>cleaneddata[[#This Row],[Unit Price]]-cleaneddata[[#This Row],[Discount]]</f>
        <v>80.92</v>
      </c>
      <c r="Z7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73" spans="1:26" x14ac:dyDescent="0.3">
      <c r="A773">
        <v>2896</v>
      </c>
      <c r="B773" t="s">
        <v>699</v>
      </c>
      <c r="C773" t="s">
        <v>1</v>
      </c>
      <c r="D773">
        <v>0</v>
      </c>
      <c r="E773">
        <v>22.84</v>
      </c>
      <c r="F773">
        <v>16.920000000000002</v>
      </c>
      <c r="G773" t="s">
        <v>14</v>
      </c>
      <c r="H773" t="s">
        <v>47</v>
      </c>
      <c r="I773" t="s">
        <v>24</v>
      </c>
      <c r="J773" t="s">
        <v>64</v>
      </c>
      <c r="K773" t="s">
        <v>49</v>
      </c>
      <c r="L773" t="s">
        <v>1568</v>
      </c>
      <c r="M773">
        <v>0.39</v>
      </c>
      <c r="N773" t="s">
        <v>8</v>
      </c>
      <c r="O773" t="s">
        <v>28</v>
      </c>
      <c r="P773" t="s">
        <v>60</v>
      </c>
      <c r="Q773" t="s">
        <v>700</v>
      </c>
      <c r="R773">
        <v>56001</v>
      </c>
      <c r="S773" s="1">
        <v>42075</v>
      </c>
      <c r="T773" s="1">
        <v>42077</v>
      </c>
      <c r="U773">
        <v>-83.75</v>
      </c>
      <c r="V773">
        <v>15</v>
      </c>
      <c r="W773">
        <v>370.62</v>
      </c>
      <c r="X773">
        <v>86927</v>
      </c>
      <c r="Y773">
        <f>cleaneddata[[#This Row],[Unit Price]]-cleaneddata[[#This Row],[Discount]]</f>
        <v>22.84</v>
      </c>
      <c r="Z7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74" spans="1:26" x14ac:dyDescent="0.3">
      <c r="A774">
        <v>1027</v>
      </c>
      <c r="B774" t="s">
        <v>1569</v>
      </c>
      <c r="C774" t="s">
        <v>13</v>
      </c>
      <c r="D774">
        <v>0.1</v>
      </c>
      <c r="E774">
        <v>73.98</v>
      </c>
      <c r="F774">
        <v>4</v>
      </c>
      <c r="G774" t="s">
        <v>14</v>
      </c>
      <c r="H774" t="s">
        <v>3</v>
      </c>
      <c r="I774" t="s">
        <v>16</v>
      </c>
      <c r="J774" t="s">
        <v>17</v>
      </c>
      <c r="K774" t="s">
        <v>49</v>
      </c>
      <c r="L774" t="s">
        <v>284</v>
      </c>
      <c r="M774">
        <v>0.79</v>
      </c>
      <c r="N774" t="s">
        <v>8</v>
      </c>
      <c r="O774" t="s">
        <v>87</v>
      </c>
      <c r="P774" t="s">
        <v>88</v>
      </c>
      <c r="Q774" t="s">
        <v>1570</v>
      </c>
      <c r="R774">
        <v>14225</v>
      </c>
      <c r="S774" s="1">
        <v>42075</v>
      </c>
      <c r="T774" s="1">
        <v>42076</v>
      </c>
      <c r="U774">
        <v>-229.87</v>
      </c>
      <c r="V774">
        <v>5</v>
      </c>
      <c r="W774">
        <v>347.23</v>
      </c>
      <c r="X774">
        <v>89004</v>
      </c>
      <c r="Y774">
        <f>cleaneddata[[#This Row],[Unit Price]]-cleaneddata[[#This Row],[Discount]]</f>
        <v>73.88000000000001</v>
      </c>
      <c r="Z77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75" spans="1:26" x14ac:dyDescent="0.3">
      <c r="A775">
        <v>1027</v>
      </c>
      <c r="B775" t="s">
        <v>1569</v>
      </c>
      <c r="C775" t="s">
        <v>13</v>
      </c>
      <c r="D775">
        <v>0.05</v>
      </c>
      <c r="E775">
        <v>51.98</v>
      </c>
      <c r="F775">
        <v>10.17</v>
      </c>
      <c r="G775" t="s">
        <v>14</v>
      </c>
      <c r="H775" t="s">
        <v>3</v>
      </c>
      <c r="I775" t="s">
        <v>16</v>
      </c>
      <c r="J775" t="s">
        <v>32</v>
      </c>
      <c r="K775" t="s">
        <v>120</v>
      </c>
      <c r="L775" t="s">
        <v>1523</v>
      </c>
      <c r="M775">
        <v>0.37</v>
      </c>
      <c r="N775" t="s">
        <v>8</v>
      </c>
      <c r="O775" t="s">
        <v>87</v>
      </c>
      <c r="P775" t="s">
        <v>88</v>
      </c>
      <c r="Q775" t="s">
        <v>1570</v>
      </c>
      <c r="R775">
        <v>14225</v>
      </c>
      <c r="S775" s="1">
        <v>42075</v>
      </c>
      <c r="T775" s="1">
        <v>42076</v>
      </c>
      <c r="U775">
        <v>329.9787</v>
      </c>
      <c r="V775">
        <v>9</v>
      </c>
      <c r="W775">
        <v>478.23</v>
      </c>
      <c r="X775">
        <v>89004</v>
      </c>
      <c r="Y775">
        <f>cleaneddata[[#This Row],[Unit Price]]-cleaneddata[[#This Row],[Discount]]</f>
        <v>51.93</v>
      </c>
      <c r="Z77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76" spans="1:26" x14ac:dyDescent="0.3">
      <c r="A776">
        <v>32</v>
      </c>
      <c r="B776" t="s">
        <v>620</v>
      </c>
      <c r="C776" t="s">
        <v>23</v>
      </c>
      <c r="D776">
        <v>0.06</v>
      </c>
      <c r="E776">
        <v>205.99</v>
      </c>
      <c r="F776">
        <v>8.99</v>
      </c>
      <c r="G776" t="s">
        <v>14</v>
      </c>
      <c r="H776" t="s">
        <v>70</v>
      </c>
      <c r="I776" t="s">
        <v>16</v>
      </c>
      <c r="J776" t="s">
        <v>111</v>
      </c>
      <c r="K776" t="s">
        <v>49</v>
      </c>
      <c r="L776" t="s">
        <v>639</v>
      </c>
      <c r="M776">
        <v>0.56000000000000005</v>
      </c>
      <c r="N776" t="s">
        <v>8</v>
      </c>
      <c r="O776" t="s">
        <v>35</v>
      </c>
      <c r="P776" t="s">
        <v>115</v>
      </c>
      <c r="Q776" t="s">
        <v>622</v>
      </c>
      <c r="R776">
        <v>97526</v>
      </c>
      <c r="S776" s="1">
        <v>42075</v>
      </c>
      <c r="T776" s="1">
        <v>42082</v>
      </c>
      <c r="U776">
        <v>3568.096</v>
      </c>
      <c r="V776">
        <v>22</v>
      </c>
      <c r="W776">
        <v>3838.14</v>
      </c>
      <c r="X776">
        <v>89203</v>
      </c>
      <c r="Y776">
        <f>cleaneddata[[#This Row],[Unit Price]]-cleaneddata[[#This Row],[Discount]]</f>
        <v>205.93</v>
      </c>
      <c r="Z7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77" spans="1:26" x14ac:dyDescent="0.3">
      <c r="A777">
        <v>2593</v>
      </c>
      <c r="B777" t="s">
        <v>1571</v>
      </c>
      <c r="C777" t="s">
        <v>23</v>
      </c>
      <c r="D777">
        <v>0.01</v>
      </c>
      <c r="E777">
        <v>85.99</v>
      </c>
      <c r="F777">
        <v>0.99</v>
      </c>
      <c r="G777" t="s">
        <v>14</v>
      </c>
      <c r="H777" t="s">
        <v>70</v>
      </c>
      <c r="I777" t="s">
        <v>16</v>
      </c>
      <c r="J777" t="s">
        <v>111</v>
      </c>
      <c r="K777" t="s">
        <v>26</v>
      </c>
      <c r="L777" t="s">
        <v>1572</v>
      </c>
      <c r="M777">
        <v>0.85</v>
      </c>
      <c r="N777" t="s">
        <v>8</v>
      </c>
      <c r="O777" t="s">
        <v>9</v>
      </c>
      <c r="P777" t="s">
        <v>51</v>
      </c>
      <c r="Q777" t="s">
        <v>1573</v>
      </c>
      <c r="R777">
        <v>30605</v>
      </c>
      <c r="S777" s="1">
        <v>42075</v>
      </c>
      <c r="T777" s="1">
        <v>42080</v>
      </c>
      <c r="U777">
        <v>311.73</v>
      </c>
      <c r="V777">
        <v>2</v>
      </c>
      <c r="W777">
        <v>146.16999999999999</v>
      </c>
      <c r="X777">
        <v>87773</v>
      </c>
      <c r="Y777">
        <f>cleaneddata[[#This Row],[Unit Price]]-cleaneddata[[#This Row],[Discount]]</f>
        <v>85.97999999999999</v>
      </c>
      <c r="Z7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78" spans="1:26" x14ac:dyDescent="0.3">
      <c r="A778">
        <v>2741</v>
      </c>
      <c r="B778" t="s">
        <v>1574</v>
      </c>
      <c r="C778" t="s">
        <v>23</v>
      </c>
      <c r="D778">
        <v>0.01</v>
      </c>
      <c r="E778">
        <v>35.99</v>
      </c>
      <c r="F778">
        <v>5.99</v>
      </c>
      <c r="G778" t="s">
        <v>14</v>
      </c>
      <c r="H778" t="s">
        <v>3</v>
      </c>
      <c r="I778" t="s">
        <v>16</v>
      </c>
      <c r="J778" t="s">
        <v>111</v>
      </c>
      <c r="K778" t="s">
        <v>26</v>
      </c>
      <c r="L778" t="s">
        <v>1348</v>
      </c>
      <c r="M778">
        <v>0.38</v>
      </c>
      <c r="N778" t="s">
        <v>8</v>
      </c>
      <c r="O778" t="s">
        <v>35</v>
      </c>
      <c r="P778" t="s">
        <v>466</v>
      </c>
      <c r="Q778" t="s">
        <v>1575</v>
      </c>
      <c r="R778">
        <v>83605</v>
      </c>
      <c r="S778" s="1">
        <v>42075</v>
      </c>
      <c r="T778" s="1">
        <v>42082</v>
      </c>
      <c r="U778">
        <v>218.23320000000001</v>
      </c>
      <c r="V778">
        <v>10</v>
      </c>
      <c r="W778">
        <v>316.27999999999997</v>
      </c>
      <c r="X778">
        <v>89481</v>
      </c>
      <c r="Y778">
        <f>cleaneddata[[#This Row],[Unit Price]]-cleaneddata[[#This Row],[Discount]]</f>
        <v>35.980000000000004</v>
      </c>
      <c r="Z77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79" spans="1:26" x14ac:dyDescent="0.3">
      <c r="A779">
        <v>146</v>
      </c>
      <c r="B779" t="s">
        <v>1576</v>
      </c>
      <c r="C779" t="s">
        <v>46</v>
      </c>
      <c r="D779">
        <v>0.01</v>
      </c>
      <c r="E779">
        <v>45.98</v>
      </c>
      <c r="F779">
        <v>4.8</v>
      </c>
      <c r="G779" t="s">
        <v>14</v>
      </c>
      <c r="H779" t="s">
        <v>3</v>
      </c>
      <c r="I779" t="s">
        <v>4</v>
      </c>
      <c r="J779" t="s">
        <v>102</v>
      </c>
      <c r="K779" t="s">
        <v>26</v>
      </c>
      <c r="L779" t="s">
        <v>1577</v>
      </c>
      <c r="M779">
        <v>0.68</v>
      </c>
      <c r="N779" t="s">
        <v>8</v>
      </c>
      <c r="O779" t="s">
        <v>28</v>
      </c>
      <c r="P779" t="s">
        <v>163</v>
      </c>
      <c r="Q779" t="s">
        <v>1578</v>
      </c>
      <c r="R779">
        <v>76148</v>
      </c>
      <c r="S779" s="1">
        <v>42075</v>
      </c>
      <c r="T779" s="1">
        <v>42076</v>
      </c>
      <c r="U779">
        <v>133.5771</v>
      </c>
      <c r="V779">
        <v>4</v>
      </c>
      <c r="W779">
        <v>193.59</v>
      </c>
      <c r="X779">
        <v>91088</v>
      </c>
      <c r="Y779">
        <f>cleaneddata[[#This Row],[Unit Price]]-cleaneddata[[#This Row],[Discount]]</f>
        <v>45.97</v>
      </c>
      <c r="Z77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80" spans="1:26" x14ac:dyDescent="0.3">
      <c r="A780">
        <v>903</v>
      </c>
      <c r="B780" t="s">
        <v>1579</v>
      </c>
      <c r="C780" t="s">
        <v>46</v>
      </c>
      <c r="D780">
        <v>0</v>
      </c>
      <c r="E780">
        <v>5.98</v>
      </c>
      <c r="F780">
        <v>1.49</v>
      </c>
      <c r="G780" t="s">
        <v>14</v>
      </c>
      <c r="H780" t="s">
        <v>15</v>
      </c>
      <c r="I780" t="s">
        <v>24</v>
      </c>
      <c r="J780" t="s">
        <v>48</v>
      </c>
      <c r="K780" t="s">
        <v>49</v>
      </c>
      <c r="L780" t="s">
        <v>1563</v>
      </c>
      <c r="M780">
        <v>0.39</v>
      </c>
      <c r="N780" t="s">
        <v>8</v>
      </c>
      <c r="O780" t="s">
        <v>87</v>
      </c>
      <c r="P780" t="s">
        <v>379</v>
      </c>
      <c r="Q780" t="s">
        <v>1084</v>
      </c>
      <c r="R780">
        <v>1887</v>
      </c>
      <c r="S780" s="1">
        <v>42075</v>
      </c>
      <c r="T780" s="1">
        <v>42077</v>
      </c>
      <c r="U780">
        <v>80.674800000000005</v>
      </c>
      <c r="V780">
        <v>18</v>
      </c>
      <c r="W780">
        <v>116.92</v>
      </c>
      <c r="X780">
        <v>90806</v>
      </c>
      <c r="Y780">
        <f>cleaneddata[[#This Row],[Unit Price]]-cleaneddata[[#This Row],[Discount]]</f>
        <v>5.98</v>
      </c>
      <c r="Z78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81" spans="1:26" x14ac:dyDescent="0.3">
      <c r="A781">
        <v>2037</v>
      </c>
      <c r="B781" t="s">
        <v>1580</v>
      </c>
      <c r="C781" t="s">
        <v>46</v>
      </c>
      <c r="D781">
        <v>0</v>
      </c>
      <c r="E781">
        <v>73.98</v>
      </c>
      <c r="F781">
        <v>14.52</v>
      </c>
      <c r="G781" t="s">
        <v>14</v>
      </c>
      <c r="H781" t="s">
        <v>3</v>
      </c>
      <c r="I781" t="s">
        <v>16</v>
      </c>
      <c r="J781" t="s">
        <v>17</v>
      </c>
      <c r="K781" t="s">
        <v>49</v>
      </c>
      <c r="L781" t="s">
        <v>284</v>
      </c>
      <c r="M781">
        <v>0.65</v>
      </c>
      <c r="N781" t="s">
        <v>8</v>
      </c>
      <c r="O781" t="s">
        <v>35</v>
      </c>
      <c r="P781" t="s">
        <v>253</v>
      </c>
      <c r="Q781" t="s">
        <v>892</v>
      </c>
      <c r="R781">
        <v>59715</v>
      </c>
      <c r="S781" s="1">
        <v>42075</v>
      </c>
      <c r="T781" s="1">
        <v>42077</v>
      </c>
      <c r="U781">
        <v>-88.61</v>
      </c>
      <c r="V781">
        <v>4</v>
      </c>
      <c r="W781">
        <v>305.70999999999998</v>
      </c>
      <c r="X781">
        <v>89333</v>
      </c>
      <c r="Y781">
        <f>cleaneddata[[#This Row],[Unit Price]]-cleaneddata[[#This Row],[Discount]]</f>
        <v>73.98</v>
      </c>
      <c r="Z7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82" spans="1:26" x14ac:dyDescent="0.3">
      <c r="A782">
        <v>2787</v>
      </c>
      <c r="B782" t="s">
        <v>1581</v>
      </c>
      <c r="C782" t="s">
        <v>46</v>
      </c>
      <c r="D782">
        <v>0.01</v>
      </c>
      <c r="E782">
        <v>47.98</v>
      </c>
      <c r="F782">
        <v>3.61</v>
      </c>
      <c r="G782" t="s">
        <v>63</v>
      </c>
      <c r="H782" t="s">
        <v>15</v>
      </c>
      <c r="I782" t="s">
        <v>16</v>
      </c>
      <c r="J782" t="s">
        <v>17</v>
      </c>
      <c r="K782" t="s">
        <v>18</v>
      </c>
      <c r="L782" t="s">
        <v>1215</v>
      </c>
      <c r="M782">
        <v>0.71</v>
      </c>
      <c r="N782" t="s">
        <v>8</v>
      </c>
      <c r="O782" t="s">
        <v>9</v>
      </c>
      <c r="P782" t="s">
        <v>144</v>
      </c>
      <c r="Q782" t="s">
        <v>1582</v>
      </c>
      <c r="R782">
        <v>70003</v>
      </c>
      <c r="S782" s="1">
        <v>42075</v>
      </c>
      <c r="T782" s="1">
        <v>42076</v>
      </c>
      <c r="U782">
        <v>-44.436</v>
      </c>
      <c r="V782">
        <v>8</v>
      </c>
      <c r="W782">
        <v>393.98</v>
      </c>
      <c r="X782">
        <v>91316</v>
      </c>
      <c r="Y782">
        <f>cleaneddata[[#This Row],[Unit Price]]-cleaneddata[[#This Row],[Discount]]</f>
        <v>47.97</v>
      </c>
      <c r="Z78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83" spans="1:26" x14ac:dyDescent="0.3">
      <c r="A783">
        <v>573</v>
      </c>
      <c r="B783" t="s">
        <v>1356</v>
      </c>
      <c r="C783" t="s">
        <v>1</v>
      </c>
      <c r="D783">
        <v>0.05</v>
      </c>
      <c r="E783">
        <v>4.13</v>
      </c>
      <c r="F783">
        <v>5.04</v>
      </c>
      <c r="G783" t="s">
        <v>14</v>
      </c>
      <c r="H783" t="s">
        <v>47</v>
      </c>
      <c r="I783" t="s">
        <v>24</v>
      </c>
      <c r="J783" t="s">
        <v>48</v>
      </c>
      <c r="K783" t="s">
        <v>49</v>
      </c>
      <c r="L783" t="s">
        <v>995</v>
      </c>
      <c r="M783">
        <v>0.38</v>
      </c>
      <c r="N783" t="s">
        <v>8</v>
      </c>
      <c r="O783" t="s">
        <v>28</v>
      </c>
      <c r="P783" t="s">
        <v>79</v>
      </c>
      <c r="Q783" t="s">
        <v>1358</v>
      </c>
      <c r="R783">
        <v>61554</v>
      </c>
      <c r="S783" s="1">
        <v>42076</v>
      </c>
      <c r="T783" s="1">
        <v>42077</v>
      </c>
      <c r="U783">
        <v>-12.1555</v>
      </c>
      <c r="V783">
        <v>1</v>
      </c>
      <c r="W783">
        <v>5.84</v>
      </c>
      <c r="X783">
        <v>86555</v>
      </c>
      <c r="Y783">
        <f>cleaneddata[[#This Row],[Unit Price]]-cleaneddata[[#This Row],[Discount]]</f>
        <v>4.08</v>
      </c>
      <c r="Z78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84" spans="1:26" x14ac:dyDescent="0.3">
      <c r="A784">
        <v>1035</v>
      </c>
      <c r="B784" t="s">
        <v>1583</v>
      </c>
      <c r="C784" t="s">
        <v>1</v>
      </c>
      <c r="D784">
        <v>7.0000000000000007E-2</v>
      </c>
      <c r="E784">
        <v>125.99</v>
      </c>
      <c r="F784">
        <v>2.5</v>
      </c>
      <c r="G784" t="s">
        <v>14</v>
      </c>
      <c r="H784" t="s">
        <v>47</v>
      </c>
      <c r="I784" t="s">
        <v>16</v>
      </c>
      <c r="J784" t="s">
        <v>111</v>
      </c>
      <c r="K784" t="s">
        <v>49</v>
      </c>
      <c r="L784" t="s">
        <v>924</v>
      </c>
      <c r="M784">
        <v>0.6</v>
      </c>
      <c r="N784" t="s">
        <v>8</v>
      </c>
      <c r="O784" t="s">
        <v>87</v>
      </c>
      <c r="P784" t="s">
        <v>293</v>
      </c>
      <c r="Q784" t="s">
        <v>1584</v>
      </c>
      <c r="R784">
        <v>43015</v>
      </c>
      <c r="S784" s="1">
        <v>42076</v>
      </c>
      <c r="T784" s="1">
        <v>42076</v>
      </c>
      <c r="U784">
        <v>-604.40599999999995</v>
      </c>
      <c r="V784">
        <v>1</v>
      </c>
      <c r="W784">
        <v>100.59</v>
      </c>
      <c r="X784">
        <v>90710</v>
      </c>
      <c r="Y784">
        <f>cleaneddata[[#This Row],[Unit Price]]-cleaneddata[[#This Row],[Discount]]</f>
        <v>125.92</v>
      </c>
      <c r="Z78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85" spans="1:26" x14ac:dyDescent="0.3">
      <c r="A785">
        <v>1036</v>
      </c>
      <c r="B785" t="s">
        <v>1585</v>
      </c>
      <c r="C785" t="s">
        <v>1</v>
      </c>
      <c r="D785">
        <v>0.03</v>
      </c>
      <c r="E785">
        <v>99.99</v>
      </c>
      <c r="F785">
        <v>19.989999999999998</v>
      </c>
      <c r="G785" t="s">
        <v>14</v>
      </c>
      <c r="H785" t="s">
        <v>47</v>
      </c>
      <c r="I785" t="s">
        <v>16</v>
      </c>
      <c r="J785" t="s">
        <v>17</v>
      </c>
      <c r="K785" t="s">
        <v>49</v>
      </c>
      <c r="L785" t="s">
        <v>1556</v>
      </c>
      <c r="M785">
        <v>0.52</v>
      </c>
      <c r="N785" t="s">
        <v>8</v>
      </c>
      <c r="O785" t="s">
        <v>87</v>
      </c>
      <c r="P785" t="s">
        <v>293</v>
      </c>
      <c r="Q785" t="s">
        <v>1586</v>
      </c>
      <c r="R785">
        <v>43017</v>
      </c>
      <c r="S785" s="1">
        <v>42076</v>
      </c>
      <c r="T785" s="1">
        <v>42077</v>
      </c>
      <c r="U785">
        <v>293.66000000000003</v>
      </c>
      <c r="V785">
        <v>6</v>
      </c>
      <c r="W785">
        <v>598.38</v>
      </c>
      <c r="X785">
        <v>90710</v>
      </c>
      <c r="Y785">
        <f>cleaneddata[[#This Row],[Unit Price]]-cleaneddata[[#This Row],[Discount]]</f>
        <v>99.96</v>
      </c>
      <c r="Z78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86" spans="1:26" x14ac:dyDescent="0.3">
      <c r="A786">
        <v>2468</v>
      </c>
      <c r="B786" t="s">
        <v>1587</v>
      </c>
      <c r="C786" t="s">
        <v>1</v>
      </c>
      <c r="D786">
        <v>0.04</v>
      </c>
      <c r="E786">
        <v>65.989999999999995</v>
      </c>
      <c r="F786">
        <v>8.99</v>
      </c>
      <c r="G786" t="s">
        <v>14</v>
      </c>
      <c r="H786" t="s">
        <v>70</v>
      </c>
      <c r="I786" t="s">
        <v>16</v>
      </c>
      <c r="J786" t="s">
        <v>111</v>
      </c>
      <c r="K786" t="s">
        <v>49</v>
      </c>
      <c r="L786" t="s">
        <v>1588</v>
      </c>
      <c r="M786">
        <v>0.55000000000000004</v>
      </c>
      <c r="N786" t="s">
        <v>8</v>
      </c>
      <c r="O786" t="s">
        <v>9</v>
      </c>
      <c r="P786" t="s">
        <v>73</v>
      </c>
      <c r="Q786" t="s">
        <v>1589</v>
      </c>
      <c r="R786">
        <v>28144</v>
      </c>
      <c r="S786" s="1">
        <v>42076</v>
      </c>
      <c r="T786" s="1">
        <v>42077</v>
      </c>
      <c r="U786">
        <v>-335.041</v>
      </c>
      <c r="V786">
        <v>13</v>
      </c>
      <c r="W786">
        <v>724.57</v>
      </c>
      <c r="X786">
        <v>88137</v>
      </c>
      <c r="Y786">
        <f>cleaneddata[[#This Row],[Unit Price]]-cleaneddata[[#This Row],[Discount]]</f>
        <v>65.949999999999989</v>
      </c>
      <c r="Z78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87" spans="1:26" x14ac:dyDescent="0.3">
      <c r="A787">
        <v>3036</v>
      </c>
      <c r="B787" t="s">
        <v>540</v>
      </c>
      <c r="C787" t="s">
        <v>1</v>
      </c>
      <c r="D787">
        <v>0.08</v>
      </c>
      <c r="E787">
        <v>178.47</v>
      </c>
      <c r="F787">
        <v>19.989999999999998</v>
      </c>
      <c r="G787" t="s">
        <v>14</v>
      </c>
      <c r="H787" t="s">
        <v>47</v>
      </c>
      <c r="I787" t="s">
        <v>24</v>
      </c>
      <c r="J787" t="s">
        <v>54</v>
      </c>
      <c r="K787" t="s">
        <v>49</v>
      </c>
      <c r="L787" t="s">
        <v>987</v>
      </c>
      <c r="M787">
        <v>0.55000000000000004</v>
      </c>
      <c r="N787" t="s">
        <v>8</v>
      </c>
      <c r="O787" t="s">
        <v>28</v>
      </c>
      <c r="P787" t="s">
        <v>541</v>
      </c>
      <c r="Q787" t="s">
        <v>542</v>
      </c>
      <c r="R787">
        <v>58554</v>
      </c>
      <c r="S787" s="1">
        <v>42076</v>
      </c>
      <c r="T787" s="1">
        <v>42079</v>
      </c>
      <c r="U787">
        <v>2267.2199999999998</v>
      </c>
      <c r="V787">
        <v>22</v>
      </c>
      <c r="W787">
        <v>3802.01</v>
      </c>
      <c r="X787">
        <v>89130</v>
      </c>
      <c r="Y787">
        <f>cleaneddata[[#This Row],[Unit Price]]-cleaneddata[[#This Row],[Discount]]</f>
        <v>178.39</v>
      </c>
      <c r="Z7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788" spans="1:26" x14ac:dyDescent="0.3">
      <c r="A788">
        <v>600</v>
      </c>
      <c r="B788" t="s">
        <v>1590</v>
      </c>
      <c r="C788" t="s">
        <v>92</v>
      </c>
      <c r="D788">
        <v>0.06</v>
      </c>
      <c r="E788">
        <v>6.48</v>
      </c>
      <c r="F788">
        <v>7.37</v>
      </c>
      <c r="G788" t="s">
        <v>14</v>
      </c>
      <c r="H788" t="s">
        <v>70</v>
      </c>
      <c r="I788" t="s">
        <v>24</v>
      </c>
      <c r="J788" t="s">
        <v>64</v>
      </c>
      <c r="K788" t="s">
        <v>49</v>
      </c>
      <c r="L788" t="s">
        <v>1591</v>
      </c>
      <c r="M788">
        <v>0.37</v>
      </c>
      <c r="N788" t="s">
        <v>8</v>
      </c>
      <c r="O788" t="s">
        <v>87</v>
      </c>
      <c r="P788" t="s">
        <v>394</v>
      </c>
      <c r="Q788" t="s">
        <v>1592</v>
      </c>
      <c r="R788">
        <v>21136</v>
      </c>
      <c r="S788" s="1">
        <v>42076</v>
      </c>
      <c r="T788" s="1">
        <v>42077</v>
      </c>
      <c r="U788">
        <v>-75.44</v>
      </c>
      <c r="V788">
        <v>5</v>
      </c>
      <c r="W788">
        <v>32.39</v>
      </c>
      <c r="X788">
        <v>87579</v>
      </c>
      <c r="Y788">
        <f>cleaneddata[[#This Row],[Unit Price]]-cleaneddata[[#This Row],[Discount]]</f>
        <v>6.4200000000000008</v>
      </c>
      <c r="Z7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89" spans="1:26" x14ac:dyDescent="0.3">
      <c r="A789">
        <v>2285</v>
      </c>
      <c r="B789" t="s">
        <v>1593</v>
      </c>
      <c r="C789" t="s">
        <v>92</v>
      </c>
      <c r="D789">
        <v>0.02</v>
      </c>
      <c r="E789">
        <v>17.7</v>
      </c>
      <c r="F789">
        <v>9.4700000000000006</v>
      </c>
      <c r="G789" t="s">
        <v>63</v>
      </c>
      <c r="H789" t="s">
        <v>70</v>
      </c>
      <c r="I789" t="s">
        <v>24</v>
      </c>
      <c r="J789" t="s">
        <v>54</v>
      </c>
      <c r="K789" t="s">
        <v>49</v>
      </c>
      <c r="L789" t="s">
        <v>1027</v>
      </c>
      <c r="M789">
        <v>0.59</v>
      </c>
      <c r="N789" t="s">
        <v>8</v>
      </c>
      <c r="O789" t="s">
        <v>9</v>
      </c>
      <c r="P789" t="s">
        <v>247</v>
      </c>
      <c r="Q789" t="s">
        <v>1594</v>
      </c>
      <c r="R789">
        <v>29730</v>
      </c>
      <c r="S789" s="1">
        <v>42076</v>
      </c>
      <c r="T789" s="1">
        <v>42078</v>
      </c>
      <c r="U789">
        <v>-85.022000000000006</v>
      </c>
      <c r="V789">
        <v>21</v>
      </c>
      <c r="W789">
        <v>374.6</v>
      </c>
      <c r="X789">
        <v>90148</v>
      </c>
      <c r="Y789">
        <f>cleaneddata[[#This Row],[Unit Price]]-cleaneddata[[#This Row],[Discount]]</f>
        <v>17.68</v>
      </c>
      <c r="Z7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90" spans="1:26" x14ac:dyDescent="0.3">
      <c r="A790">
        <v>2484</v>
      </c>
      <c r="B790" t="s">
        <v>1595</v>
      </c>
      <c r="C790" t="s">
        <v>92</v>
      </c>
      <c r="D790">
        <v>0.05</v>
      </c>
      <c r="E790">
        <v>6.48</v>
      </c>
      <c r="F790">
        <v>7.91</v>
      </c>
      <c r="G790" t="s">
        <v>14</v>
      </c>
      <c r="H790" t="s">
        <v>70</v>
      </c>
      <c r="I790" t="s">
        <v>24</v>
      </c>
      <c r="J790" t="s">
        <v>64</v>
      </c>
      <c r="K790" t="s">
        <v>49</v>
      </c>
      <c r="L790" t="s">
        <v>1596</v>
      </c>
      <c r="M790">
        <v>0.37</v>
      </c>
      <c r="N790" t="s">
        <v>8</v>
      </c>
      <c r="O790" t="s">
        <v>9</v>
      </c>
      <c r="P790" t="s">
        <v>99</v>
      </c>
      <c r="Q790" t="s">
        <v>1597</v>
      </c>
      <c r="R790">
        <v>33881</v>
      </c>
      <c r="S790" s="1">
        <v>42076</v>
      </c>
      <c r="T790" s="1">
        <v>42077</v>
      </c>
      <c r="U790">
        <v>322.12200000000001</v>
      </c>
      <c r="V790">
        <v>16</v>
      </c>
      <c r="W790">
        <v>109.99</v>
      </c>
      <c r="X790">
        <v>88998</v>
      </c>
      <c r="Y790">
        <f>cleaneddata[[#This Row],[Unit Price]]-cleaneddata[[#This Row],[Discount]]</f>
        <v>6.4300000000000006</v>
      </c>
      <c r="Z79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91" spans="1:26" x14ac:dyDescent="0.3">
      <c r="A791">
        <v>2484</v>
      </c>
      <c r="B791" t="s">
        <v>1595</v>
      </c>
      <c r="C791" t="s">
        <v>92</v>
      </c>
      <c r="D791">
        <v>0.03</v>
      </c>
      <c r="E791">
        <v>111.03</v>
      </c>
      <c r="F791">
        <v>8.64</v>
      </c>
      <c r="G791" t="s">
        <v>14</v>
      </c>
      <c r="H791" t="s">
        <v>70</v>
      </c>
      <c r="I791" t="s">
        <v>24</v>
      </c>
      <c r="J791" t="s">
        <v>54</v>
      </c>
      <c r="K791" t="s">
        <v>49</v>
      </c>
      <c r="L791" t="s">
        <v>1598</v>
      </c>
      <c r="M791">
        <v>0.78</v>
      </c>
      <c r="N791" t="s">
        <v>8</v>
      </c>
      <c r="O791" t="s">
        <v>9</v>
      </c>
      <c r="P791" t="s">
        <v>99</v>
      </c>
      <c r="Q791" t="s">
        <v>1597</v>
      </c>
      <c r="R791">
        <v>33881</v>
      </c>
      <c r="S791" s="1">
        <v>42076</v>
      </c>
      <c r="T791" s="1">
        <v>42077</v>
      </c>
      <c r="U791">
        <v>366.54</v>
      </c>
      <c r="V791">
        <v>8</v>
      </c>
      <c r="W791">
        <v>900.12</v>
      </c>
      <c r="X791">
        <v>88998</v>
      </c>
      <c r="Y791">
        <f>cleaneddata[[#This Row],[Unit Price]]-cleaneddata[[#This Row],[Discount]]</f>
        <v>111</v>
      </c>
      <c r="Z79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92" spans="1:26" x14ac:dyDescent="0.3">
      <c r="A792">
        <v>604</v>
      </c>
      <c r="B792" t="s">
        <v>717</v>
      </c>
      <c r="C792" t="s">
        <v>1</v>
      </c>
      <c r="D792">
        <v>0.09</v>
      </c>
      <c r="E792">
        <v>154.13</v>
      </c>
      <c r="F792">
        <v>69</v>
      </c>
      <c r="G792" t="s">
        <v>63</v>
      </c>
      <c r="H792" t="s">
        <v>70</v>
      </c>
      <c r="I792" t="s">
        <v>4</v>
      </c>
      <c r="J792" t="s">
        <v>5</v>
      </c>
      <c r="K792" t="s">
        <v>40</v>
      </c>
      <c r="L792" t="s">
        <v>900</v>
      </c>
      <c r="M792">
        <v>0.68</v>
      </c>
      <c r="N792" t="s">
        <v>8</v>
      </c>
      <c r="O792" t="s">
        <v>35</v>
      </c>
      <c r="P792" t="s">
        <v>66</v>
      </c>
      <c r="Q792" t="s">
        <v>76</v>
      </c>
      <c r="R792">
        <v>90045</v>
      </c>
      <c r="S792" s="1">
        <v>42077</v>
      </c>
      <c r="T792" s="1">
        <v>42078</v>
      </c>
      <c r="U792">
        <v>-1763.7476999999999</v>
      </c>
      <c r="V792">
        <v>38</v>
      </c>
      <c r="W792">
        <v>5679.59</v>
      </c>
      <c r="X792">
        <v>28647</v>
      </c>
      <c r="Y792">
        <f>cleaneddata[[#This Row],[Unit Price]]-cleaneddata[[#This Row],[Discount]]</f>
        <v>154.04</v>
      </c>
      <c r="Z79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793" spans="1:26" x14ac:dyDescent="0.3">
      <c r="A793">
        <v>605</v>
      </c>
      <c r="B793" t="s">
        <v>1599</v>
      </c>
      <c r="C793" t="s">
        <v>1</v>
      </c>
      <c r="D793">
        <v>0.09</v>
      </c>
      <c r="E793">
        <v>154.13</v>
      </c>
      <c r="F793">
        <v>69</v>
      </c>
      <c r="G793" t="s">
        <v>63</v>
      </c>
      <c r="H793" t="s">
        <v>70</v>
      </c>
      <c r="I793" t="s">
        <v>4</v>
      </c>
      <c r="J793" t="s">
        <v>5</v>
      </c>
      <c r="K793" t="s">
        <v>40</v>
      </c>
      <c r="L793" t="s">
        <v>900</v>
      </c>
      <c r="M793">
        <v>0.68</v>
      </c>
      <c r="N793" t="s">
        <v>8</v>
      </c>
      <c r="O793" t="s">
        <v>87</v>
      </c>
      <c r="P793" t="s">
        <v>88</v>
      </c>
      <c r="Q793" t="s">
        <v>1600</v>
      </c>
      <c r="R793">
        <v>11795</v>
      </c>
      <c r="S793" s="1">
        <v>42077</v>
      </c>
      <c r="T793" s="1">
        <v>42078</v>
      </c>
      <c r="U793">
        <v>-1763.7476999999999</v>
      </c>
      <c r="V793">
        <v>10</v>
      </c>
      <c r="W793">
        <v>1494.63</v>
      </c>
      <c r="X793">
        <v>91144</v>
      </c>
      <c r="Y793">
        <f>cleaneddata[[#This Row],[Unit Price]]-cleaneddata[[#This Row],[Discount]]</f>
        <v>154.04</v>
      </c>
      <c r="Z79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94" spans="1:26" x14ac:dyDescent="0.3">
      <c r="A794">
        <v>994</v>
      </c>
      <c r="B794" t="s">
        <v>1601</v>
      </c>
      <c r="C794" t="s">
        <v>13</v>
      </c>
      <c r="D794">
        <v>0.1</v>
      </c>
      <c r="E794">
        <v>400.98</v>
      </c>
      <c r="F794">
        <v>76.37</v>
      </c>
      <c r="G794" t="s">
        <v>2</v>
      </c>
      <c r="H794" t="s">
        <v>3</v>
      </c>
      <c r="I794" t="s">
        <v>4</v>
      </c>
      <c r="J794" t="s">
        <v>5</v>
      </c>
      <c r="K794" t="s">
        <v>6</v>
      </c>
      <c r="L794" t="s">
        <v>978</v>
      </c>
      <c r="M794">
        <v>0.6</v>
      </c>
      <c r="N794" t="s">
        <v>8</v>
      </c>
      <c r="O794" t="s">
        <v>87</v>
      </c>
      <c r="P794" t="s">
        <v>307</v>
      </c>
      <c r="Q794" t="s">
        <v>308</v>
      </c>
      <c r="R794">
        <v>4073</v>
      </c>
      <c r="S794" s="1">
        <v>42077</v>
      </c>
      <c r="T794" s="1">
        <v>42078</v>
      </c>
      <c r="U794">
        <v>-969.04836599999999</v>
      </c>
      <c r="V794">
        <v>2</v>
      </c>
      <c r="W794">
        <v>810.47</v>
      </c>
      <c r="X794">
        <v>89433</v>
      </c>
      <c r="Y794">
        <f>cleaneddata[[#This Row],[Unit Price]]-cleaneddata[[#This Row],[Discount]]</f>
        <v>400.88</v>
      </c>
      <c r="Z79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95" spans="1:26" x14ac:dyDescent="0.3">
      <c r="A795">
        <v>999</v>
      </c>
      <c r="B795" t="s">
        <v>1602</v>
      </c>
      <c r="C795" t="s">
        <v>13</v>
      </c>
      <c r="D795">
        <v>0.08</v>
      </c>
      <c r="E795">
        <v>45.19</v>
      </c>
      <c r="F795">
        <v>1.99</v>
      </c>
      <c r="G795" t="s">
        <v>14</v>
      </c>
      <c r="H795" t="s">
        <v>3</v>
      </c>
      <c r="I795" t="s">
        <v>16</v>
      </c>
      <c r="J795" t="s">
        <v>17</v>
      </c>
      <c r="K795" t="s">
        <v>18</v>
      </c>
      <c r="L795" t="s">
        <v>19</v>
      </c>
      <c r="M795">
        <v>0.55000000000000004</v>
      </c>
      <c r="N795" t="s">
        <v>8</v>
      </c>
      <c r="O795" t="s">
        <v>87</v>
      </c>
      <c r="P795" t="s">
        <v>373</v>
      </c>
      <c r="Q795" t="s">
        <v>1603</v>
      </c>
      <c r="R795">
        <v>7450</v>
      </c>
      <c r="S795" s="1">
        <v>42077</v>
      </c>
      <c r="T795" s="1">
        <v>42078</v>
      </c>
      <c r="U795">
        <v>-71.83</v>
      </c>
      <c r="V795">
        <v>3</v>
      </c>
      <c r="W795">
        <v>127.22</v>
      </c>
      <c r="X795">
        <v>89433</v>
      </c>
      <c r="Y795">
        <f>cleaneddata[[#This Row],[Unit Price]]-cleaneddata[[#This Row],[Discount]]</f>
        <v>45.11</v>
      </c>
      <c r="Z79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96" spans="1:26" x14ac:dyDescent="0.3">
      <c r="A796">
        <v>1000</v>
      </c>
      <c r="B796" t="s">
        <v>1604</v>
      </c>
      <c r="C796" t="s">
        <v>13</v>
      </c>
      <c r="D796">
        <v>0.03</v>
      </c>
      <c r="E796">
        <v>33.979999999999997</v>
      </c>
      <c r="F796">
        <v>19.989999999999998</v>
      </c>
      <c r="G796" t="s">
        <v>14</v>
      </c>
      <c r="H796" t="s">
        <v>3</v>
      </c>
      <c r="I796" t="s">
        <v>4</v>
      </c>
      <c r="J796" t="s">
        <v>102</v>
      </c>
      <c r="K796" t="s">
        <v>49</v>
      </c>
      <c r="L796" t="s">
        <v>1605</v>
      </c>
      <c r="M796">
        <v>0.55000000000000004</v>
      </c>
      <c r="N796" t="s">
        <v>8</v>
      </c>
      <c r="O796" t="s">
        <v>87</v>
      </c>
      <c r="P796" t="s">
        <v>609</v>
      </c>
      <c r="Q796" t="s">
        <v>1606</v>
      </c>
      <c r="R796">
        <v>5201</v>
      </c>
      <c r="S796" s="1">
        <v>42077</v>
      </c>
      <c r="T796" s="1">
        <v>42078</v>
      </c>
      <c r="U796">
        <v>-0.74</v>
      </c>
      <c r="V796">
        <v>12</v>
      </c>
      <c r="W796">
        <v>432.44</v>
      </c>
      <c r="X796">
        <v>89433</v>
      </c>
      <c r="Y796">
        <f>cleaneddata[[#This Row],[Unit Price]]-cleaneddata[[#This Row],[Discount]]</f>
        <v>33.949999999999996</v>
      </c>
      <c r="Z79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797" spans="1:26" x14ac:dyDescent="0.3">
      <c r="A797">
        <v>2345</v>
      </c>
      <c r="B797" t="s">
        <v>1607</v>
      </c>
      <c r="C797" t="s">
        <v>92</v>
      </c>
      <c r="D797">
        <v>7.0000000000000007E-2</v>
      </c>
      <c r="E797">
        <v>200.98</v>
      </c>
      <c r="F797">
        <v>23.76</v>
      </c>
      <c r="G797" t="s">
        <v>2</v>
      </c>
      <c r="H797" t="s">
        <v>70</v>
      </c>
      <c r="I797" t="s">
        <v>4</v>
      </c>
      <c r="J797" t="s">
        <v>85</v>
      </c>
      <c r="K797" t="s">
        <v>33</v>
      </c>
      <c r="L797" t="s">
        <v>1608</v>
      </c>
      <c r="M797">
        <v>0.57999999999999996</v>
      </c>
      <c r="N797" t="s">
        <v>8</v>
      </c>
      <c r="O797" t="s">
        <v>9</v>
      </c>
      <c r="P797" t="s">
        <v>364</v>
      </c>
      <c r="Q797" t="s">
        <v>803</v>
      </c>
      <c r="R797">
        <v>42003</v>
      </c>
      <c r="S797" s="1">
        <v>42077</v>
      </c>
      <c r="T797" s="1">
        <v>42078</v>
      </c>
      <c r="U797">
        <v>-132.42599999999999</v>
      </c>
      <c r="V797">
        <v>9</v>
      </c>
      <c r="W797">
        <v>1805.9</v>
      </c>
      <c r="X797">
        <v>89504</v>
      </c>
      <c r="Y797">
        <f>cleaneddata[[#This Row],[Unit Price]]-cleaneddata[[#This Row],[Discount]]</f>
        <v>200.91</v>
      </c>
      <c r="Z7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98" spans="1:26" x14ac:dyDescent="0.3">
      <c r="A798">
        <v>2345</v>
      </c>
      <c r="B798" t="s">
        <v>1607</v>
      </c>
      <c r="C798" t="s">
        <v>92</v>
      </c>
      <c r="D798">
        <v>0.02</v>
      </c>
      <c r="E798">
        <v>179.29</v>
      </c>
      <c r="F798">
        <v>29.21</v>
      </c>
      <c r="G798" t="s">
        <v>2</v>
      </c>
      <c r="H798" t="s">
        <v>70</v>
      </c>
      <c r="I798" t="s">
        <v>4</v>
      </c>
      <c r="J798" t="s">
        <v>5</v>
      </c>
      <c r="K798" t="s">
        <v>6</v>
      </c>
      <c r="L798" t="s">
        <v>519</v>
      </c>
      <c r="M798">
        <v>0.76</v>
      </c>
      <c r="N798" t="s">
        <v>8</v>
      </c>
      <c r="O798" t="s">
        <v>9</v>
      </c>
      <c r="P798" t="s">
        <v>364</v>
      </c>
      <c r="Q798" t="s">
        <v>803</v>
      </c>
      <c r="R798">
        <v>42003</v>
      </c>
      <c r="S798" s="1">
        <v>42077</v>
      </c>
      <c r="T798" s="1">
        <v>42077</v>
      </c>
      <c r="U798">
        <v>-411.23599999999999</v>
      </c>
      <c r="V798">
        <v>2</v>
      </c>
      <c r="W798">
        <v>311.41000000000003</v>
      </c>
      <c r="X798">
        <v>89504</v>
      </c>
      <c r="Y798">
        <f>cleaneddata[[#This Row],[Unit Price]]-cleaneddata[[#This Row],[Discount]]</f>
        <v>179.26999999999998</v>
      </c>
      <c r="Z7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799" spans="1:26" x14ac:dyDescent="0.3">
      <c r="A799">
        <v>2417</v>
      </c>
      <c r="B799" t="s">
        <v>1609</v>
      </c>
      <c r="C799" t="s">
        <v>92</v>
      </c>
      <c r="D799">
        <v>0</v>
      </c>
      <c r="E799">
        <v>65.989999999999995</v>
      </c>
      <c r="F799">
        <v>3.99</v>
      </c>
      <c r="G799" t="s">
        <v>14</v>
      </c>
      <c r="H799" t="s">
        <v>15</v>
      </c>
      <c r="I799" t="s">
        <v>16</v>
      </c>
      <c r="J799" t="s">
        <v>111</v>
      </c>
      <c r="K799" t="s">
        <v>49</v>
      </c>
      <c r="L799" t="s">
        <v>1610</v>
      </c>
      <c r="M799">
        <v>0.59</v>
      </c>
      <c r="N799" t="s">
        <v>8</v>
      </c>
      <c r="O799" t="s">
        <v>9</v>
      </c>
      <c r="P799" t="s">
        <v>218</v>
      </c>
      <c r="Q799" t="s">
        <v>1611</v>
      </c>
      <c r="R799">
        <v>22124</v>
      </c>
      <c r="S799" s="1">
        <v>42077</v>
      </c>
      <c r="T799" s="1">
        <v>42078</v>
      </c>
      <c r="U799">
        <v>-60.564</v>
      </c>
      <c r="V799">
        <v>13</v>
      </c>
      <c r="W799">
        <v>765.65</v>
      </c>
      <c r="X799">
        <v>86754</v>
      </c>
      <c r="Y799">
        <f>cleaneddata[[#This Row],[Unit Price]]-cleaneddata[[#This Row],[Discount]]</f>
        <v>65.989999999999995</v>
      </c>
      <c r="Z79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00" spans="1:26" x14ac:dyDescent="0.3">
      <c r="A800">
        <v>3279</v>
      </c>
      <c r="B800" t="s">
        <v>1612</v>
      </c>
      <c r="C800" t="s">
        <v>92</v>
      </c>
      <c r="D800">
        <v>0.01</v>
      </c>
      <c r="E800">
        <v>45.99</v>
      </c>
      <c r="F800">
        <v>4.99</v>
      </c>
      <c r="G800" t="s">
        <v>14</v>
      </c>
      <c r="H800" t="s">
        <v>47</v>
      </c>
      <c r="I800" t="s">
        <v>16</v>
      </c>
      <c r="J800" t="s">
        <v>111</v>
      </c>
      <c r="K800" t="s">
        <v>49</v>
      </c>
      <c r="L800" t="s">
        <v>1422</v>
      </c>
      <c r="M800">
        <v>0.56000000000000005</v>
      </c>
      <c r="N800" t="s">
        <v>8</v>
      </c>
      <c r="O800" t="s">
        <v>9</v>
      </c>
      <c r="P800" t="s">
        <v>247</v>
      </c>
      <c r="Q800" t="s">
        <v>1613</v>
      </c>
      <c r="R800">
        <v>29203</v>
      </c>
      <c r="S800" s="1">
        <v>42077</v>
      </c>
      <c r="T800" s="1">
        <v>42079</v>
      </c>
      <c r="U800">
        <v>24.018000000000001</v>
      </c>
      <c r="V800">
        <v>3</v>
      </c>
      <c r="W800">
        <v>125.19</v>
      </c>
      <c r="X800">
        <v>90767</v>
      </c>
      <c r="Y800">
        <f>cleaneddata[[#This Row],[Unit Price]]-cleaneddata[[#This Row],[Discount]]</f>
        <v>45.980000000000004</v>
      </c>
      <c r="Z80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01" spans="1:26" x14ac:dyDescent="0.3">
      <c r="A801">
        <v>373</v>
      </c>
      <c r="B801" t="s">
        <v>1614</v>
      </c>
      <c r="C801" t="s">
        <v>46</v>
      </c>
      <c r="D801">
        <v>0.02</v>
      </c>
      <c r="E801">
        <v>200.98</v>
      </c>
      <c r="F801">
        <v>55.96</v>
      </c>
      <c r="G801" t="s">
        <v>2</v>
      </c>
      <c r="H801" t="s">
        <v>3</v>
      </c>
      <c r="I801" t="s">
        <v>4</v>
      </c>
      <c r="J801" t="s">
        <v>93</v>
      </c>
      <c r="K801" t="s">
        <v>6</v>
      </c>
      <c r="L801" t="s">
        <v>1615</v>
      </c>
      <c r="M801">
        <v>0.75</v>
      </c>
      <c r="N801" t="s">
        <v>8</v>
      </c>
      <c r="O801" t="s">
        <v>28</v>
      </c>
      <c r="P801" t="s">
        <v>265</v>
      </c>
      <c r="Q801" t="s">
        <v>1139</v>
      </c>
      <c r="R801">
        <v>48234</v>
      </c>
      <c r="S801" s="1">
        <v>42077</v>
      </c>
      <c r="T801" s="1">
        <v>42079</v>
      </c>
      <c r="U801">
        <v>-163.63</v>
      </c>
      <c r="V801">
        <v>45</v>
      </c>
      <c r="W801">
        <v>9539.6</v>
      </c>
      <c r="X801">
        <v>24193</v>
      </c>
      <c r="Y801">
        <f>cleaneddata[[#This Row],[Unit Price]]-cleaneddata[[#This Row],[Discount]]</f>
        <v>200.95999999999998</v>
      </c>
      <c r="Z80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02" spans="1:26" x14ac:dyDescent="0.3">
      <c r="A802">
        <v>373</v>
      </c>
      <c r="B802" t="s">
        <v>1614</v>
      </c>
      <c r="C802" t="s">
        <v>46</v>
      </c>
      <c r="D802">
        <v>0.02</v>
      </c>
      <c r="E802">
        <v>4.28</v>
      </c>
      <c r="F802">
        <v>5.17</v>
      </c>
      <c r="G802" t="s">
        <v>14</v>
      </c>
      <c r="H802" t="s">
        <v>3</v>
      </c>
      <c r="I802" t="s">
        <v>24</v>
      </c>
      <c r="J802" t="s">
        <v>64</v>
      </c>
      <c r="K802" t="s">
        <v>49</v>
      </c>
      <c r="L802" t="s">
        <v>1230</v>
      </c>
      <c r="M802">
        <v>0.4</v>
      </c>
      <c r="N802" t="s">
        <v>8</v>
      </c>
      <c r="O802" t="s">
        <v>28</v>
      </c>
      <c r="P802" t="s">
        <v>265</v>
      </c>
      <c r="Q802" t="s">
        <v>1139</v>
      </c>
      <c r="R802">
        <v>48234</v>
      </c>
      <c r="S802" s="1">
        <v>42077</v>
      </c>
      <c r="T802" s="1">
        <v>42078</v>
      </c>
      <c r="U802">
        <v>-63.87</v>
      </c>
      <c r="V802">
        <v>24</v>
      </c>
      <c r="W802">
        <v>109.86</v>
      </c>
      <c r="X802">
        <v>24193</v>
      </c>
      <c r="Y802">
        <f>cleaneddata[[#This Row],[Unit Price]]-cleaneddata[[#This Row],[Discount]]</f>
        <v>4.2600000000000007</v>
      </c>
      <c r="Z80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03" spans="1:26" x14ac:dyDescent="0.3">
      <c r="A803">
        <v>373</v>
      </c>
      <c r="B803" t="s">
        <v>1614</v>
      </c>
      <c r="C803" t="s">
        <v>46</v>
      </c>
      <c r="D803">
        <v>0.04</v>
      </c>
      <c r="E803">
        <v>85.99</v>
      </c>
      <c r="F803">
        <v>0.99</v>
      </c>
      <c r="G803" t="s">
        <v>14</v>
      </c>
      <c r="H803" t="s">
        <v>3</v>
      </c>
      <c r="I803" t="s">
        <v>16</v>
      </c>
      <c r="J803" t="s">
        <v>111</v>
      </c>
      <c r="K803" t="s">
        <v>26</v>
      </c>
      <c r="L803" t="s">
        <v>1572</v>
      </c>
      <c r="M803">
        <v>0.85</v>
      </c>
      <c r="N803" t="s">
        <v>8</v>
      </c>
      <c r="O803" t="s">
        <v>28</v>
      </c>
      <c r="P803" t="s">
        <v>265</v>
      </c>
      <c r="Q803" t="s">
        <v>1139</v>
      </c>
      <c r="R803">
        <v>48234</v>
      </c>
      <c r="S803" s="1">
        <v>42077</v>
      </c>
      <c r="T803" s="1">
        <v>42079</v>
      </c>
      <c r="U803">
        <v>-175.17500000000001</v>
      </c>
      <c r="V803">
        <v>19</v>
      </c>
      <c r="W803">
        <v>1426.51</v>
      </c>
      <c r="X803">
        <v>24193</v>
      </c>
      <c r="Y803">
        <f>cleaneddata[[#This Row],[Unit Price]]-cleaneddata[[#This Row],[Discount]]</f>
        <v>85.949999999999989</v>
      </c>
      <c r="Z80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04" spans="1:26" x14ac:dyDescent="0.3">
      <c r="A804">
        <v>375</v>
      </c>
      <c r="B804" t="s">
        <v>1616</v>
      </c>
      <c r="C804" t="s">
        <v>46</v>
      </c>
      <c r="D804">
        <v>0.02</v>
      </c>
      <c r="E804">
        <v>200.98</v>
      </c>
      <c r="F804">
        <v>55.96</v>
      </c>
      <c r="G804" t="s">
        <v>2</v>
      </c>
      <c r="H804" t="s">
        <v>3</v>
      </c>
      <c r="I804" t="s">
        <v>4</v>
      </c>
      <c r="J804" t="s">
        <v>93</v>
      </c>
      <c r="K804" t="s">
        <v>6</v>
      </c>
      <c r="L804" t="s">
        <v>1615</v>
      </c>
      <c r="M804">
        <v>0.75</v>
      </c>
      <c r="N804" t="s">
        <v>8</v>
      </c>
      <c r="O804" t="s">
        <v>9</v>
      </c>
      <c r="P804" t="s">
        <v>376</v>
      </c>
      <c r="Q804" t="s">
        <v>1617</v>
      </c>
      <c r="R804">
        <v>37814</v>
      </c>
      <c r="S804" s="1">
        <v>42077</v>
      </c>
      <c r="T804" s="1">
        <v>42079</v>
      </c>
      <c r="U804">
        <v>-224.9478</v>
      </c>
      <c r="V804">
        <v>11</v>
      </c>
      <c r="W804">
        <v>2331.9</v>
      </c>
      <c r="X804">
        <v>90917</v>
      </c>
      <c r="Y804">
        <f>cleaneddata[[#This Row],[Unit Price]]-cleaneddata[[#This Row],[Discount]]</f>
        <v>200.95999999999998</v>
      </c>
      <c r="Z80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05" spans="1:26" x14ac:dyDescent="0.3">
      <c r="A805">
        <v>375</v>
      </c>
      <c r="B805" t="s">
        <v>1616</v>
      </c>
      <c r="C805" t="s">
        <v>46</v>
      </c>
      <c r="D805">
        <v>0.02</v>
      </c>
      <c r="E805">
        <v>4.28</v>
      </c>
      <c r="F805">
        <v>5.17</v>
      </c>
      <c r="G805" t="s">
        <v>14</v>
      </c>
      <c r="H805" t="s">
        <v>3</v>
      </c>
      <c r="I805" t="s">
        <v>24</v>
      </c>
      <c r="J805" t="s">
        <v>64</v>
      </c>
      <c r="K805" t="s">
        <v>49</v>
      </c>
      <c r="L805" t="s">
        <v>1230</v>
      </c>
      <c r="M805">
        <v>0.4</v>
      </c>
      <c r="N805" t="s">
        <v>8</v>
      </c>
      <c r="O805" t="s">
        <v>9</v>
      </c>
      <c r="P805" t="s">
        <v>376</v>
      </c>
      <c r="Q805" t="s">
        <v>1617</v>
      </c>
      <c r="R805">
        <v>37814</v>
      </c>
      <c r="S805" s="1">
        <v>42077</v>
      </c>
      <c r="T805" s="1">
        <v>42078</v>
      </c>
      <c r="U805">
        <v>196.8</v>
      </c>
      <c r="V805">
        <v>6</v>
      </c>
      <c r="W805">
        <v>27.47</v>
      </c>
      <c r="X805">
        <v>90917</v>
      </c>
      <c r="Y805">
        <f>cleaneddata[[#This Row],[Unit Price]]-cleaneddata[[#This Row],[Discount]]</f>
        <v>4.2600000000000007</v>
      </c>
      <c r="Z80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06" spans="1:26" x14ac:dyDescent="0.3">
      <c r="A806">
        <v>1682</v>
      </c>
      <c r="B806" t="s">
        <v>1162</v>
      </c>
      <c r="C806" t="s">
        <v>46</v>
      </c>
      <c r="D806">
        <v>0.08</v>
      </c>
      <c r="E806">
        <v>4.9800000000000004</v>
      </c>
      <c r="F806">
        <v>4.7</v>
      </c>
      <c r="G806" t="s">
        <v>14</v>
      </c>
      <c r="H806" t="s">
        <v>15</v>
      </c>
      <c r="I806" t="s">
        <v>24</v>
      </c>
      <c r="J806" t="s">
        <v>64</v>
      </c>
      <c r="K806" t="s">
        <v>49</v>
      </c>
      <c r="L806" t="s">
        <v>1310</v>
      </c>
      <c r="M806">
        <v>0.38</v>
      </c>
      <c r="N806" t="s">
        <v>8</v>
      </c>
      <c r="O806" t="s">
        <v>28</v>
      </c>
      <c r="P806" t="s">
        <v>79</v>
      </c>
      <c r="Q806" t="s">
        <v>509</v>
      </c>
      <c r="R806">
        <v>60611</v>
      </c>
      <c r="S806" s="1">
        <v>42077</v>
      </c>
      <c r="T806" s="1">
        <v>42078</v>
      </c>
      <c r="U806">
        <v>-56.35</v>
      </c>
      <c r="V806">
        <v>47</v>
      </c>
      <c r="W806">
        <v>225.98</v>
      </c>
      <c r="X806">
        <v>38080</v>
      </c>
      <c r="Y806">
        <f>cleaneddata[[#This Row],[Unit Price]]-cleaneddata[[#This Row],[Discount]]</f>
        <v>4.9000000000000004</v>
      </c>
      <c r="Z8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07" spans="1:26" x14ac:dyDescent="0.3">
      <c r="A807">
        <v>1683</v>
      </c>
      <c r="B807" t="s">
        <v>1163</v>
      </c>
      <c r="C807" t="s">
        <v>46</v>
      </c>
      <c r="D807">
        <v>0.08</v>
      </c>
      <c r="E807">
        <v>4.9800000000000004</v>
      </c>
      <c r="F807">
        <v>4.7</v>
      </c>
      <c r="G807" t="s">
        <v>14</v>
      </c>
      <c r="H807" t="s">
        <v>15</v>
      </c>
      <c r="I807" t="s">
        <v>24</v>
      </c>
      <c r="J807" t="s">
        <v>64</v>
      </c>
      <c r="K807" t="s">
        <v>49</v>
      </c>
      <c r="L807" t="s">
        <v>1310</v>
      </c>
      <c r="M807">
        <v>0.38</v>
      </c>
      <c r="N807" t="s">
        <v>8</v>
      </c>
      <c r="O807" t="s">
        <v>28</v>
      </c>
      <c r="P807" t="s">
        <v>163</v>
      </c>
      <c r="Q807" t="s">
        <v>1164</v>
      </c>
      <c r="R807">
        <v>77301</v>
      </c>
      <c r="S807" s="1">
        <v>42077</v>
      </c>
      <c r="T807" s="1">
        <v>42078</v>
      </c>
      <c r="U807">
        <v>-56.35</v>
      </c>
      <c r="V807">
        <v>12</v>
      </c>
      <c r="W807">
        <v>57.7</v>
      </c>
      <c r="X807">
        <v>90613</v>
      </c>
      <c r="Y807">
        <f>cleaneddata[[#This Row],[Unit Price]]-cleaneddata[[#This Row],[Discount]]</f>
        <v>4.9000000000000004</v>
      </c>
      <c r="Z80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08" spans="1:26" x14ac:dyDescent="0.3">
      <c r="A808">
        <v>3177</v>
      </c>
      <c r="B808" t="s">
        <v>1618</v>
      </c>
      <c r="C808" t="s">
        <v>46</v>
      </c>
      <c r="D808">
        <v>0.1</v>
      </c>
      <c r="E808">
        <v>62.18</v>
      </c>
      <c r="F808">
        <v>10.84</v>
      </c>
      <c r="G808" t="s">
        <v>14</v>
      </c>
      <c r="H808" t="s">
        <v>15</v>
      </c>
      <c r="I808" t="s">
        <v>4</v>
      </c>
      <c r="J808" t="s">
        <v>102</v>
      </c>
      <c r="K808" t="s">
        <v>120</v>
      </c>
      <c r="L808" t="s">
        <v>1207</v>
      </c>
      <c r="M808">
        <v>0.63</v>
      </c>
      <c r="N808" t="s">
        <v>8</v>
      </c>
      <c r="O808" t="s">
        <v>9</v>
      </c>
      <c r="P808" t="s">
        <v>99</v>
      </c>
      <c r="Q808" t="s">
        <v>1619</v>
      </c>
      <c r="R808">
        <v>33458</v>
      </c>
      <c r="S808" s="1">
        <v>42077</v>
      </c>
      <c r="T808" s="1">
        <v>42079</v>
      </c>
      <c r="U808">
        <v>-29.666</v>
      </c>
      <c r="V808">
        <v>9</v>
      </c>
      <c r="W808">
        <v>511.57</v>
      </c>
      <c r="X808">
        <v>90818</v>
      </c>
      <c r="Y808">
        <f>cleaneddata[[#This Row],[Unit Price]]-cleaneddata[[#This Row],[Discount]]</f>
        <v>62.08</v>
      </c>
      <c r="Z8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09" spans="1:26" x14ac:dyDescent="0.3">
      <c r="A809">
        <v>594</v>
      </c>
      <c r="B809" t="s">
        <v>1620</v>
      </c>
      <c r="C809" t="s">
        <v>1</v>
      </c>
      <c r="D809">
        <v>0.09</v>
      </c>
      <c r="E809">
        <v>13.79</v>
      </c>
      <c r="F809">
        <v>8.7799999999999994</v>
      </c>
      <c r="G809" t="s">
        <v>14</v>
      </c>
      <c r="H809" t="s">
        <v>15</v>
      </c>
      <c r="I809" t="s">
        <v>4</v>
      </c>
      <c r="J809" t="s">
        <v>102</v>
      </c>
      <c r="K809" t="s">
        <v>49</v>
      </c>
      <c r="L809" t="s">
        <v>1302</v>
      </c>
      <c r="M809">
        <v>0.43</v>
      </c>
      <c r="N809" t="s">
        <v>8</v>
      </c>
      <c r="O809" t="s">
        <v>28</v>
      </c>
      <c r="P809" t="s">
        <v>29</v>
      </c>
      <c r="Q809" t="s">
        <v>1621</v>
      </c>
      <c r="R809">
        <v>46016</v>
      </c>
      <c r="S809" s="1">
        <v>42078</v>
      </c>
      <c r="T809" s="1">
        <v>42080</v>
      </c>
      <c r="U809">
        <v>-22.12</v>
      </c>
      <c r="V809">
        <v>1</v>
      </c>
      <c r="W809">
        <v>17.440000000000001</v>
      </c>
      <c r="X809">
        <v>86309</v>
      </c>
      <c r="Y809">
        <f>cleaneddata[[#This Row],[Unit Price]]-cleaneddata[[#This Row],[Discount]]</f>
        <v>13.7</v>
      </c>
      <c r="Z8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10" spans="1:26" x14ac:dyDescent="0.3">
      <c r="A810">
        <v>83</v>
      </c>
      <c r="B810" t="s">
        <v>1622</v>
      </c>
      <c r="C810" t="s">
        <v>13</v>
      </c>
      <c r="D810">
        <v>0.04</v>
      </c>
      <c r="E810">
        <v>296.18</v>
      </c>
      <c r="F810">
        <v>54.12</v>
      </c>
      <c r="G810" t="s">
        <v>2</v>
      </c>
      <c r="H810" t="s">
        <v>70</v>
      </c>
      <c r="I810" t="s">
        <v>4</v>
      </c>
      <c r="J810" t="s">
        <v>5</v>
      </c>
      <c r="K810" t="s">
        <v>6</v>
      </c>
      <c r="L810" t="s">
        <v>1055</v>
      </c>
      <c r="M810">
        <v>0.76</v>
      </c>
      <c r="N810" t="s">
        <v>8</v>
      </c>
      <c r="O810" t="s">
        <v>87</v>
      </c>
      <c r="P810" t="s">
        <v>293</v>
      </c>
      <c r="Q810" t="s">
        <v>973</v>
      </c>
      <c r="R810">
        <v>44708</v>
      </c>
      <c r="S810" s="1">
        <v>42078</v>
      </c>
      <c r="T810" s="1">
        <v>42078</v>
      </c>
      <c r="U810">
        <v>-715.77820599999995</v>
      </c>
      <c r="V810">
        <v>6</v>
      </c>
      <c r="W810">
        <v>1821.89</v>
      </c>
      <c r="X810">
        <v>87365</v>
      </c>
      <c r="Y810">
        <f>cleaneddata[[#This Row],[Unit Price]]-cleaneddata[[#This Row],[Discount]]</f>
        <v>296.14</v>
      </c>
      <c r="Z81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11" spans="1:26" x14ac:dyDescent="0.3">
      <c r="A811">
        <v>1123</v>
      </c>
      <c r="B811" t="s">
        <v>1623</v>
      </c>
      <c r="C811" t="s">
        <v>13</v>
      </c>
      <c r="D811">
        <v>0.03</v>
      </c>
      <c r="E811">
        <v>7.3</v>
      </c>
      <c r="F811">
        <v>7.72</v>
      </c>
      <c r="G811" t="s">
        <v>14</v>
      </c>
      <c r="H811" t="s">
        <v>3</v>
      </c>
      <c r="I811" t="s">
        <v>24</v>
      </c>
      <c r="J811" t="s">
        <v>48</v>
      </c>
      <c r="K811" t="s">
        <v>49</v>
      </c>
      <c r="L811" t="s">
        <v>1624</v>
      </c>
      <c r="M811">
        <v>0.38</v>
      </c>
      <c r="N811" t="s">
        <v>8</v>
      </c>
      <c r="O811" t="s">
        <v>35</v>
      </c>
      <c r="P811" t="s">
        <v>66</v>
      </c>
      <c r="Q811" t="s">
        <v>1625</v>
      </c>
      <c r="R811">
        <v>95661</v>
      </c>
      <c r="S811" s="1">
        <v>42078</v>
      </c>
      <c r="T811" s="1">
        <v>42081</v>
      </c>
      <c r="U811">
        <v>-127.05200000000001</v>
      </c>
      <c r="V811">
        <v>14</v>
      </c>
      <c r="W811">
        <v>103.61</v>
      </c>
      <c r="X811">
        <v>87015</v>
      </c>
      <c r="Y811">
        <f>cleaneddata[[#This Row],[Unit Price]]-cleaneddata[[#This Row],[Discount]]</f>
        <v>7.27</v>
      </c>
      <c r="Z81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12" spans="1:26" x14ac:dyDescent="0.3">
      <c r="A812">
        <v>2426</v>
      </c>
      <c r="B812" t="s">
        <v>1626</v>
      </c>
      <c r="C812" t="s">
        <v>13</v>
      </c>
      <c r="D812">
        <v>0.08</v>
      </c>
      <c r="E812">
        <v>30.93</v>
      </c>
      <c r="F812">
        <v>3.92</v>
      </c>
      <c r="G812" t="s">
        <v>14</v>
      </c>
      <c r="H812" t="s">
        <v>3</v>
      </c>
      <c r="I812" t="s">
        <v>4</v>
      </c>
      <c r="J812" t="s">
        <v>102</v>
      </c>
      <c r="K812" t="s">
        <v>18</v>
      </c>
      <c r="L812" t="s">
        <v>1627</v>
      </c>
      <c r="M812">
        <v>0.44</v>
      </c>
      <c r="N812" t="s">
        <v>8</v>
      </c>
      <c r="O812" t="s">
        <v>28</v>
      </c>
      <c r="P812" t="s">
        <v>163</v>
      </c>
      <c r="Q812" t="s">
        <v>1628</v>
      </c>
      <c r="R812">
        <v>75061</v>
      </c>
      <c r="S812" s="1">
        <v>42078</v>
      </c>
      <c r="T812" s="1">
        <v>42079</v>
      </c>
      <c r="U812">
        <v>63.059100000000001</v>
      </c>
      <c r="V812">
        <v>3</v>
      </c>
      <c r="W812">
        <v>91.39</v>
      </c>
      <c r="X812">
        <v>90859</v>
      </c>
      <c r="Y812">
        <f>cleaneddata[[#This Row],[Unit Price]]-cleaneddata[[#This Row],[Discount]]</f>
        <v>30.85</v>
      </c>
      <c r="Z81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13" spans="1:26" x14ac:dyDescent="0.3">
      <c r="A813">
        <v>724</v>
      </c>
      <c r="B813" t="s">
        <v>1629</v>
      </c>
      <c r="C813" t="s">
        <v>92</v>
      </c>
      <c r="D813">
        <v>0.09</v>
      </c>
      <c r="E813">
        <v>125.99</v>
      </c>
      <c r="F813">
        <v>8.99</v>
      </c>
      <c r="G813" t="s">
        <v>14</v>
      </c>
      <c r="H813" t="s">
        <v>15</v>
      </c>
      <c r="I813" t="s">
        <v>16</v>
      </c>
      <c r="J813" t="s">
        <v>111</v>
      </c>
      <c r="K813" t="s">
        <v>49</v>
      </c>
      <c r="L813" t="s">
        <v>1630</v>
      </c>
      <c r="M813">
        <v>0.55000000000000004</v>
      </c>
      <c r="N813" t="s">
        <v>8</v>
      </c>
      <c r="O813" t="s">
        <v>87</v>
      </c>
      <c r="P813" t="s">
        <v>224</v>
      </c>
      <c r="Q813" t="s">
        <v>1631</v>
      </c>
      <c r="R813">
        <v>6614</v>
      </c>
      <c r="S813" s="1">
        <v>42078</v>
      </c>
      <c r="T813" s="1">
        <v>42079</v>
      </c>
      <c r="U813">
        <v>-605.37400000000002</v>
      </c>
      <c r="V813">
        <v>1</v>
      </c>
      <c r="W813">
        <v>100.38</v>
      </c>
      <c r="X813">
        <v>90359</v>
      </c>
      <c r="Y813">
        <f>cleaneddata[[#This Row],[Unit Price]]-cleaneddata[[#This Row],[Discount]]</f>
        <v>125.89999999999999</v>
      </c>
      <c r="Z81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14" spans="1:26" x14ac:dyDescent="0.3">
      <c r="A814">
        <v>727</v>
      </c>
      <c r="B814" t="s">
        <v>1632</v>
      </c>
      <c r="C814" t="s">
        <v>92</v>
      </c>
      <c r="D814">
        <v>0.1</v>
      </c>
      <c r="E814">
        <v>17.98</v>
      </c>
      <c r="F814">
        <v>4</v>
      </c>
      <c r="G814" t="s">
        <v>14</v>
      </c>
      <c r="H814" t="s">
        <v>15</v>
      </c>
      <c r="I814" t="s">
        <v>16</v>
      </c>
      <c r="J814" t="s">
        <v>17</v>
      </c>
      <c r="K814" t="s">
        <v>49</v>
      </c>
      <c r="L814" t="s">
        <v>1633</v>
      </c>
      <c r="M814">
        <v>0.79</v>
      </c>
      <c r="N814" t="s">
        <v>8</v>
      </c>
      <c r="O814" t="s">
        <v>87</v>
      </c>
      <c r="P814" t="s">
        <v>307</v>
      </c>
      <c r="Q814" t="s">
        <v>1634</v>
      </c>
      <c r="R814">
        <v>4240</v>
      </c>
      <c r="S814" s="1">
        <v>42078</v>
      </c>
      <c r="T814" s="1">
        <v>42079</v>
      </c>
      <c r="U814">
        <v>-99.55</v>
      </c>
      <c r="V814">
        <v>4</v>
      </c>
      <c r="W814">
        <v>66.319999999999993</v>
      </c>
      <c r="X814">
        <v>90359</v>
      </c>
      <c r="Y814">
        <f>cleaneddata[[#This Row],[Unit Price]]-cleaneddata[[#This Row],[Discount]]</f>
        <v>17.88</v>
      </c>
      <c r="Z8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15" spans="1:26" x14ac:dyDescent="0.3">
      <c r="A815">
        <v>2356</v>
      </c>
      <c r="B815" t="s">
        <v>1635</v>
      </c>
      <c r="C815" t="s">
        <v>92</v>
      </c>
      <c r="D815">
        <v>0</v>
      </c>
      <c r="E815">
        <v>29.34</v>
      </c>
      <c r="F815">
        <v>7.87</v>
      </c>
      <c r="G815" t="s">
        <v>14</v>
      </c>
      <c r="H815" t="s">
        <v>15</v>
      </c>
      <c r="I815" t="s">
        <v>4</v>
      </c>
      <c r="J815" t="s">
        <v>102</v>
      </c>
      <c r="K815" t="s">
        <v>49</v>
      </c>
      <c r="L815" t="s">
        <v>1636</v>
      </c>
      <c r="M815">
        <v>0.54</v>
      </c>
      <c r="N815" t="s">
        <v>8</v>
      </c>
      <c r="O815" t="s">
        <v>35</v>
      </c>
      <c r="P815" t="s">
        <v>1036</v>
      </c>
      <c r="Q815" t="s">
        <v>1637</v>
      </c>
      <c r="R815">
        <v>82901</v>
      </c>
      <c r="S815" s="1">
        <v>42078</v>
      </c>
      <c r="T815" s="1">
        <v>42080</v>
      </c>
      <c r="U815">
        <v>385.37</v>
      </c>
      <c r="V815">
        <v>22</v>
      </c>
      <c r="W815">
        <v>668.38</v>
      </c>
      <c r="X815">
        <v>91305</v>
      </c>
      <c r="Y815">
        <f>cleaneddata[[#This Row],[Unit Price]]-cleaneddata[[#This Row],[Discount]]</f>
        <v>29.34</v>
      </c>
      <c r="Z81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16" spans="1:26" x14ac:dyDescent="0.3">
      <c r="A816">
        <v>2372</v>
      </c>
      <c r="B816" t="s">
        <v>1638</v>
      </c>
      <c r="C816" t="s">
        <v>92</v>
      </c>
      <c r="D816">
        <v>0.01</v>
      </c>
      <c r="E816">
        <v>1.76</v>
      </c>
      <c r="F816">
        <v>0.7</v>
      </c>
      <c r="G816" t="s">
        <v>14</v>
      </c>
      <c r="H816" t="s">
        <v>70</v>
      </c>
      <c r="I816" t="s">
        <v>24</v>
      </c>
      <c r="J816" t="s">
        <v>25</v>
      </c>
      <c r="K816" t="s">
        <v>26</v>
      </c>
      <c r="L816" t="s">
        <v>1639</v>
      </c>
      <c r="M816">
        <v>0.56000000000000005</v>
      </c>
      <c r="N816" t="s">
        <v>8</v>
      </c>
      <c r="O816" t="s">
        <v>28</v>
      </c>
      <c r="P816" t="s">
        <v>60</v>
      </c>
      <c r="Q816" t="s">
        <v>1640</v>
      </c>
      <c r="R816">
        <v>55803</v>
      </c>
      <c r="S816" s="1">
        <v>42078</v>
      </c>
      <c r="T816" s="1">
        <v>42079</v>
      </c>
      <c r="U816">
        <v>-1.56</v>
      </c>
      <c r="V816">
        <v>4</v>
      </c>
      <c r="W816">
        <v>7.2</v>
      </c>
      <c r="X816">
        <v>90714</v>
      </c>
      <c r="Y816">
        <f>cleaneddata[[#This Row],[Unit Price]]-cleaneddata[[#This Row],[Discount]]</f>
        <v>1.75</v>
      </c>
      <c r="Z81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17" spans="1:26" x14ac:dyDescent="0.3">
      <c r="A817">
        <v>871</v>
      </c>
      <c r="B817" t="s">
        <v>1641</v>
      </c>
      <c r="C817" t="s">
        <v>46</v>
      </c>
      <c r="D817">
        <v>0.03</v>
      </c>
      <c r="E817">
        <v>14.2</v>
      </c>
      <c r="F817">
        <v>5.3</v>
      </c>
      <c r="G817" t="s">
        <v>14</v>
      </c>
      <c r="H817" t="s">
        <v>47</v>
      </c>
      <c r="I817" t="s">
        <v>4</v>
      </c>
      <c r="J817" t="s">
        <v>102</v>
      </c>
      <c r="K817" t="s">
        <v>26</v>
      </c>
      <c r="L817" t="s">
        <v>264</v>
      </c>
      <c r="M817">
        <v>0.46</v>
      </c>
      <c r="N817" t="s">
        <v>8</v>
      </c>
      <c r="O817" t="s">
        <v>35</v>
      </c>
      <c r="P817" t="s">
        <v>272</v>
      </c>
      <c r="Q817" t="s">
        <v>1642</v>
      </c>
      <c r="R817">
        <v>89502</v>
      </c>
      <c r="S817" s="1">
        <v>42078</v>
      </c>
      <c r="T817" s="1">
        <v>42080</v>
      </c>
      <c r="U817">
        <v>21.555599999999998</v>
      </c>
      <c r="V817">
        <v>2</v>
      </c>
      <c r="W817">
        <v>31.24</v>
      </c>
      <c r="X817">
        <v>90577</v>
      </c>
      <c r="Y817">
        <f>cleaneddata[[#This Row],[Unit Price]]-cleaneddata[[#This Row],[Discount]]</f>
        <v>14.17</v>
      </c>
      <c r="Z8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18" spans="1:26" x14ac:dyDescent="0.3">
      <c r="A818">
        <v>1646</v>
      </c>
      <c r="B818" t="s">
        <v>1643</v>
      </c>
      <c r="C818" t="s">
        <v>46</v>
      </c>
      <c r="D818">
        <v>0.06</v>
      </c>
      <c r="E818">
        <v>3.29</v>
      </c>
      <c r="F818">
        <v>1.35</v>
      </c>
      <c r="G818" t="s">
        <v>14</v>
      </c>
      <c r="H818" t="s">
        <v>3</v>
      </c>
      <c r="I818" t="s">
        <v>24</v>
      </c>
      <c r="J818" t="s">
        <v>152</v>
      </c>
      <c r="K818" t="s">
        <v>26</v>
      </c>
      <c r="L818" t="s">
        <v>1644</v>
      </c>
      <c r="M818">
        <v>0.4</v>
      </c>
      <c r="N818" t="s">
        <v>8</v>
      </c>
      <c r="O818" t="s">
        <v>87</v>
      </c>
      <c r="P818" t="s">
        <v>88</v>
      </c>
      <c r="Q818" t="s">
        <v>1645</v>
      </c>
      <c r="R818">
        <v>11714</v>
      </c>
      <c r="S818" s="1">
        <v>42078</v>
      </c>
      <c r="T818" s="1">
        <v>42080</v>
      </c>
      <c r="U818">
        <v>8.5299999999999994</v>
      </c>
      <c r="V818">
        <v>11</v>
      </c>
      <c r="W818">
        <v>35.97</v>
      </c>
      <c r="X818">
        <v>90932</v>
      </c>
      <c r="Y818">
        <f>cleaneddata[[#This Row],[Unit Price]]-cleaneddata[[#This Row],[Discount]]</f>
        <v>3.23</v>
      </c>
      <c r="Z8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19" spans="1:26" x14ac:dyDescent="0.3">
      <c r="A819">
        <v>853</v>
      </c>
      <c r="B819" t="s">
        <v>1646</v>
      </c>
      <c r="C819" t="s">
        <v>13</v>
      </c>
      <c r="D819">
        <v>0.05</v>
      </c>
      <c r="E819">
        <v>4.24</v>
      </c>
      <c r="F819">
        <v>5.41</v>
      </c>
      <c r="G819" t="s">
        <v>14</v>
      </c>
      <c r="H819" t="s">
        <v>3</v>
      </c>
      <c r="I819" t="s">
        <v>24</v>
      </c>
      <c r="J819" t="s">
        <v>48</v>
      </c>
      <c r="K819" t="s">
        <v>49</v>
      </c>
      <c r="L819" t="s">
        <v>1647</v>
      </c>
      <c r="M819">
        <v>0.35</v>
      </c>
      <c r="N819" t="s">
        <v>8</v>
      </c>
      <c r="O819" t="s">
        <v>35</v>
      </c>
      <c r="P819" t="s">
        <v>66</v>
      </c>
      <c r="Q819" t="s">
        <v>1648</v>
      </c>
      <c r="R819">
        <v>92345</v>
      </c>
      <c r="S819" s="1">
        <v>42079</v>
      </c>
      <c r="T819" s="1">
        <v>42081</v>
      </c>
      <c r="U819">
        <v>-89.216999999999999</v>
      </c>
      <c r="V819">
        <v>12</v>
      </c>
      <c r="W819">
        <v>50.83</v>
      </c>
      <c r="X819">
        <v>88570</v>
      </c>
      <c r="Y819">
        <f>cleaneddata[[#This Row],[Unit Price]]-cleaneddata[[#This Row],[Discount]]</f>
        <v>4.1900000000000004</v>
      </c>
      <c r="Z8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20" spans="1:26" x14ac:dyDescent="0.3">
      <c r="A820">
        <v>2272</v>
      </c>
      <c r="B820" t="s">
        <v>1649</v>
      </c>
      <c r="C820" t="s">
        <v>13</v>
      </c>
      <c r="D820">
        <v>0.08</v>
      </c>
      <c r="E820">
        <v>15.73</v>
      </c>
      <c r="F820">
        <v>7.42</v>
      </c>
      <c r="G820" t="s">
        <v>63</v>
      </c>
      <c r="H820" t="s">
        <v>70</v>
      </c>
      <c r="I820" t="s">
        <v>24</v>
      </c>
      <c r="J820" t="s">
        <v>544</v>
      </c>
      <c r="K820" t="s">
        <v>18</v>
      </c>
      <c r="L820" t="s">
        <v>931</v>
      </c>
      <c r="M820">
        <v>0.56000000000000005</v>
      </c>
      <c r="N820" t="s">
        <v>8</v>
      </c>
      <c r="O820" t="s">
        <v>28</v>
      </c>
      <c r="P820" t="s">
        <v>163</v>
      </c>
      <c r="Q820" t="s">
        <v>1650</v>
      </c>
      <c r="R820">
        <v>76543</v>
      </c>
      <c r="S820" s="1">
        <v>42079</v>
      </c>
      <c r="T820" s="1">
        <v>42081</v>
      </c>
      <c r="U820">
        <v>-37.6</v>
      </c>
      <c r="V820">
        <v>5</v>
      </c>
      <c r="W820">
        <v>78.08</v>
      </c>
      <c r="X820">
        <v>90110</v>
      </c>
      <c r="Y820">
        <f>cleaneddata[[#This Row],[Unit Price]]-cleaneddata[[#This Row],[Discount]]</f>
        <v>15.65</v>
      </c>
      <c r="Z82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21" spans="1:26" x14ac:dyDescent="0.3">
      <c r="A821">
        <v>2323</v>
      </c>
      <c r="B821" t="s">
        <v>1651</v>
      </c>
      <c r="C821" t="s">
        <v>13</v>
      </c>
      <c r="D821">
        <v>0.08</v>
      </c>
      <c r="E821">
        <v>68.81</v>
      </c>
      <c r="F821">
        <v>60</v>
      </c>
      <c r="G821" t="s">
        <v>2</v>
      </c>
      <c r="H821" t="s">
        <v>3</v>
      </c>
      <c r="I821" t="s">
        <v>24</v>
      </c>
      <c r="J821" t="s">
        <v>71</v>
      </c>
      <c r="K821" t="s">
        <v>33</v>
      </c>
      <c r="L821" t="s">
        <v>1652</v>
      </c>
      <c r="M821">
        <v>0.41</v>
      </c>
      <c r="N821" t="s">
        <v>8</v>
      </c>
      <c r="O821" t="s">
        <v>35</v>
      </c>
      <c r="P821" t="s">
        <v>66</v>
      </c>
      <c r="Q821" t="s">
        <v>1190</v>
      </c>
      <c r="R821">
        <v>92236</v>
      </c>
      <c r="S821" s="1">
        <v>42079</v>
      </c>
      <c r="T821" s="1">
        <v>42080</v>
      </c>
      <c r="U821">
        <v>-550.42999999999995</v>
      </c>
      <c r="V821">
        <v>5</v>
      </c>
      <c r="W821">
        <v>337.86</v>
      </c>
      <c r="X821">
        <v>88721</v>
      </c>
      <c r="Y821">
        <f>cleaneddata[[#This Row],[Unit Price]]-cleaneddata[[#This Row],[Discount]]</f>
        <v>68.73</v>
      </c>
      <c r="Z82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22" spans="1:26" x14ac:dyDescent="0.3">
      <c r="A822">
        <v>2323</v>
      </c>
      <c r="B822" t="s">
        <v>1651</v>
      </c>
      <c r="C822" t="s">
        <v>13</v>
      </c>
      <c r="D822">
        <v>0.04</v>
      </c>
      <c r="E822">
        <v>21.38</v>
      </c>
      <c r="F822">
        <v>8.99</v>
      </c>
      <c r="G822" t="s">
        <v>14</v>
      </c>
      <c r="H822" t="s">
        <v>3</v>
      </c>
      <c r="I822" t="s">
        <v>24</v>
      </c>
      <c r="J822" t="s">
        <v>25</v>
      </c>
      <c r="K822" t="s">
        <v>18</v>
      </c>
      <c r="L822" t="s">
        <v>1653</v>
      </c>
      <c r="M822">
        <v>0.59</v>
      </c>
      <c r="N822" t="s">
        <v>8</v>
      </c>
      <c r="O822" t="s">
        <v>35</v>
      </c>
      <c r="P822" t="s">
        <v>66</v>
      </c>
      <c r="Q822" t="s">
        <v>1190</v>
      </c>
      <c r="R822">
        <v>92236</v>
      </c>
      <c r="S822" s="1">
        <v>42079</v>
      </c>
      <c r="T822" s="1">
        <v>42081</v>
      </c>
      <c r="U822">
        <v>-52.12</v>
      </c>
      <c r="V822">
        <v>4</v>
      </c>
      <c r="W822">
        <v>84.21</v>
      </c>
      <c r="X822">
        <v>88721</v>
      </c>
      <c r="Y822">
        <f>cleaneddata[[#This Row],[Unit Price]]-cleaneddata[[#This Row],[Discount]]</f>
        <v>21.34</v>
      </c>
      <c r="Z8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23" spans="1:26" x14ac:dyDescent="0.3">
      <c r="A823">
        <v>145</v>
      </c>
      <c r="B823" t="s">
        <v>504</v>
      </c>
      <c r="C823" t="s">
        <v>23</v>
      </c>
      <c r="D823">
        <v>7.0000000000000007E-2</v>
      </c>
      <c r="E823">
        <v>154.13</v>
      </c>
      <c r="F823">
        <v>69</v>
      </c>
      <c r="G823" t="s">
        <v>63</v>
      </c>
      <c r="H823" t="s">
        <v>47</v>
      </c>
      <c r="I823" t="s">
        <v>4</v>
      </c>
      <c r="J823" t="s">
        <v>5</v>
      </c>
      <c r="K823" t="s">
        <v>40</v>
      </c>
      <c r="L823" t="s">
        <v>900</v>
      </c>
      <c r="M823">
        <v>0.68</v>
      </c>
      <c r="N823" t="s">
        <v>8</v>
      </c>
      <c r="O823" t="s">
        <v>87</v>
      </c>
      <c r="P823" t="s">
        <v>296</v>
      </c>
      <c r="Q823" t="s">
        <v>506</v>
      </c>
      <c r="R823">
        <v>15122</v>
      </c>
      <c r="S823" s="1">
        <v>42079</v>
      </c>
      <c r="T823" s="1">
        <v>42079</v>
      </c>
      <c r="U823">
        <v>-634.73410000000001</v>
      </c>
      <c r="V823">
        <v>3</v>
      </c>
      <c r="W823">
        <v>453.62</v>
      </c>
      <c r="X823">
        <v>91089</v>
      </c>
      <c r="Y823">
        <f>cleaneddata[[#This Row],[Unit Price]]-cleaneddata[[#This Row],[Discount]]</f>
        <v>154.06</v>
      </c>
      <c r="Z82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24" spans="1:26" x14ac:dyDescent="0.3">
      <c r="A824">
        <v>1068</v>
      </c>
      <c r="B824" t="s">
        <v>1654</v>
      </c>
      <c r="C824" t="s">
        <v>23</v>
      </c>
      <c r="D824">
        <v>0.04</v>
      </c>
      <c r="E824">
        <v>22.84</v>
      </c>
      <c r="F824">
        <v>16.87</v>
      </c>
      <c r="G824" t="s">
        <v>14</v>
      </c>
      <c r="H824" t="s">
        <v>47</v>
      </c>
      <c r="I824" t="s">
        <v>24</v>
      </c>
      <c r="J824" t="s">
        <v>64</v>
      </c>
      <c r="K824" t="s">
        <v>49</v>
      </c>
      <c r="L824" t="s">
        <v>1655</v>
      </c>
      <c r="M824">
        <v>0.39</v>
      </c>
      <c r="N824" t="s">
        <v>8</v>
      </c>
      <c r="O824" t="s">
        <v>28</v>
      </c>
      <c r="P824" t="s">
        <v>79</v>
      </c>
      <c r="Q824" t="s">
        <v>1656</v>
      </c>
      <c r="R824">
        <v>60409</v>
      </c>
      <c r="S824" s="1">
        <v>42079</v>
      </c>
      <c r="T824" s="1">
        <v>42079</v>
      </c>
      <c r="U824">
        <v>-97.28</v>
      </c>
      <c r="V824">
        <v>12</v>
      </c>
      <c r="W824">
        <v>286.39999999999998</v>
      </c>
      <c r="X824">
        <v>87109</v>
      </c>
      <c r="Y824">
        <f>cleaneddata[[#This Row],[Unit Price]]-cleaneddata[[#This Row],[Discount]]</f>
        <v>22.8</v>
      </c>
      <c r="Z8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25" spans="1:26" x14ac:dyDescent="0.3">
      <c r="A825">
        <v>2157</v>
      </c>
      <c r="B825" t="s">
        <v>1657</v>
      </c>
      <c r="C825" t="s">
        <v>23</v>
      </c>
      <c r="D825">
        <v>0.05</v>
      </c>
      <c r="E825">
        <v>55.5</v>
      </c>
      <c r="F825">
        <v>52.2</v>
      </c>
      <c r="G825" t="s">
        <v>14</v>
      </c>
      <c r="H825" t="s">
        <v>47</v>
      </c>
      <c r="I825" t="s">
        <v>4</v>
      </c>
      <c r="J825" t="s">
        <v>102</v>
      </c>
      <c r="K825" t="s">
        <v>120</v>
      </c>
      <c r="L825" t="s">
        <v>1658</v>
      </c>
      <c r="M825">
        <v>0.72</v>
      </c>
      <c r="N825" t="s">
        <v>8</v>
      </c>
      <c r="O825" t="s">
        <v>28</v>
      </c>
      <c r="P825" t="s">
        <v>265</v>
      </c>
      <c r="Q825" t="s">
        <v>1659</v>
      </c>
      <c r="R825">
        <v>48093</v>
      </c>
      <c r="S825" s="1">
        <v>42079</v>
      </c>
      <c r="T825" s="1">
        <v>42079</v>
      </c>
      <c r="U825">
        <v>-118.54</v>
      </c>
      <c r="V825">
        <v>4</v>
      </c>
      <c r="W825">
        <v>253.87</v>
      </c>
      <c r="X825">
        <v>90385</v>
      </c>
      <c r="Y825">
        <f>cleaneddata[[#This Row],[Unit Price]]-cleaneddata[[#This Row],[Discount]]</f>
        <v>55.45</v>
      </c>
      <c r="Z8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26" spans="1:26" x14ac:dyDescent="0.3">
      <c r="A826">
        <v>2157</v>
      </c>
      <c r="B826" t="s">
        <v>1657</v>
      </c>
      <c r="C826" t="s">
        <v>23</v>
      </c>
      <c r="D826">
        <v>0.05</v>
      </c>
      <c r="E826">
        <v>442.14</v>
      </c>
      <c r="F826">
        <v>14.7</v>
      </c>
      <c r="G826" t="s">
        <v>2</v>
      </c>
      <c r="H826" t="s">
        <v>47</v>
      </c>
      <c r="I826" t="s">
        <v>16</v>
      </c>
      <c r="J826" t="s">
        <v>32</v>
      </c>
      <c r="K826" t="s">
        <v>33</v>
      </c>
      <c r="L826" t="s">
        <v>1288</v>
      </c>
      <c r="M826">
        <v>0.56000000000000005</v>
      </c>
      <c r="N826" t="s">
        <v>8</v>
      </c>
      <c r="O826" t="s">
        <v>28</v>
      </c>
      <c r="P826" t="s">
        <v>265</v>
      </c>
      <c r="Q826" t="s">
        <v>1659</v>
      </c>
      <c r="R826">
        <v>48093</v>
      </c>
      <c r="S826" s="1">
        <v>42079</v>
      </c>
      <c r="T826" s="1">
        <v>42088</v>
      </c>
      <c r="U826">
        <v>2963.48</v>
      </c>
      <c r="V826">
        <v>14</v>
      </c>
      <c r="W826">
        <v>5880.46</v>
      </c>
      <c r="X826">
        <v>90385</v>
      </c>
      <c r="Y826">
        <f>cleaneddata[[#This Row],[Unit Price]]-cleaneddata[[#This Row],[Discount]]</f>
        <v>442.09</v>
      </c>
      <c r="Z82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27" spans="1:26" x14ac:dyDescent="0.3">
      <c r="A827">
        <v>1241</v>
      </c>
      <c r="B827" t="s">
        <v>1660</v>
      </c>
      <c r="C827" t="s">
        <v>46</v>
      </c>
      <c r="D827">
        <v>0</v>
      </c>
      <c r="E827">
        <v>387.99</v>
      </c>
      <c r="F827">
        <v>19.989999999999998</v>
      </c>
      <c r="G827" t="s">
        <v>14</v>
      </c>
      <c r="H827" t="s">
        <v>70</v>
      </c>
      <c r="I827" t="s">
        <v>24</v>
      </c>
      <c r="J827" t="s">
        <v>48</v>
      </c>
      <c r="K827" t="s">
        <v>49</v>
      </c>
      <c r="L827" t="s">
        <v>1661</v>
      </c>
      <c r="M827">
        <v>0.38</v>
      </c>
      <c r="N827" t="s">
        <v>8</v>
      </c>
      <c r="O827" t="s">
        <v>9</v>
      </c>
      <c r="P827" t="s">
        <v>140</v>
      </c>
      <c r="Q827" t="s">
        <v>1180</v>
      </c>
      <c r="R827">
        <v>36830</v>
      </c>
      <c r="S827" s="1">
        <v>42079</v>
      </c>
      <c r="T827" s="1">
        <v>42080</v>
      </c>
      <c r="U827">
        <v>-70.14</v>
      </c>
      <c r="V827">
        <v>23</v>
      </c>
      <c r="W827">
        <v>9280.7199999999993</v>
      </c>
      <c r="X827">
        <v>90880</v>
      </c>
      <c r="Y827">
        <f>cleaneddata[[#This Row],[Unit Price]]-cleaneddata[[#This Row],[Discount]]</f>
        <v>387.99</v>
      </c>
      <c r="Z82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28" spans="1:26" x14ac:dyDescent="0.3">
      <c r="A828">
        <v>1711</v>
      </c>
      <c r="B828" t="s">
        <v>1662</v>
      </c>
      <c r="C828" t="s">
        <v>46</v>
      </c>
      <c r="D828">
        <v>7.0000000000000007E-2</v>
      </c>
      <c r="E828">
        <v>7.59</v>
      </c>
      <c r="F828">
        <v>4</v>
      </c>
      <c r="G828" t="s">
        <v>14</v>
      </c>
      <c r="H828" t="s">
        <v>70</v>
      </c>
      <c r="I828" t="s">
        <v>4</v>
      </c>
      <c r="J828" t="s">
        <v>102</v>
      </c>
      <c r="K828" t="s">
        <v>26</v>
      </c>
      <c r="L828" t="s">
        <v>1663</v>
      </c>
      <c r="M828">
        <v>0.42</v>
      </c>
      <c r="N828" t="s">
        <v>8</v>
      </c>
      <c r="O828" t="s">
        <v>9</v>
      </c>
      <c r="P828" t="s">
        <v>51</v>
      </c>
      <c r="Q828" t="s">
        <v>1664</v>
      </c>
      <c r="R828">
        <v>30062</v>
      </c>
      <c r="S828" s="1">
        <v>42079</v>
      </c>
      <c r="T828" s="1">
        <v>42081</v>
      </c>
      <c r="U828">
        <v>-167.048</v>
      </c>
      <c r="V828">
        <v>3</v>
      </c>
      <c r="W828">
        <v>22.48</v>
      </c>
      <c r="X828">
        <v>87747</v>
      </c>
      <c r="Y828">
        <f>cleaneddata[[#This Row],[Unit Price]]-cleaneddata[[#This Row],[Discount]]</f>
        <v>7.52</v>
      </c>
      <c r="Z82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29" spans="1:26" x14ac:dyDescent="0.3">
      <c r="A829">
        <v>2030</v>
      </c>
      <c r="B829" t="s">
        <v>1665</v>
      </c>
      <c r="C829" t="s">
        <v>1</v>
      </c>
      <c r="D829">
        <v>0.04</v>
      </c>
      <c r="E829">
        <v>120.97</v>
      </c>
      <c r="F829">
        <v>7.11</v>
      </c>
      <c r="G829" t="s">
        <v>14</v>
      </c>
      <c r="H829" t="s">
        <v>70</v>
      </c>
      <c r="I829" t="s">
        <v>16</v>
      </c>
      <c r="J829" t="s">
        <v>32</v>
      </c>
      <c r="K829" t="s">
        <v>120</v>
      </c>
      <c r="L829" t="s">
        <v>1666</v>
      </c>
      <c r="M829">
        <v>0.36</v>
      </c>
      <c r="N829" t="s">
        <v>8</v>
      </c>
      <c r="O829" t="s">
        <v>28</v>
      </c>
      <c r="P829" t="s">
        <v>163</v>
      </c>
      <c r="Q829" t="s">
        <v>1003</v>
      </c>
      <c r="R829">
        <v>75401</v>
      </c>
      <c r="S829" s="1">
        <v>42080</v>
      </c>
      <c r="T829" s="1">
        <v>42080</v>
      </c>
      <c r="U829">
        <v>1320.5496000000001</v>
      </c>
      <c r="V829">
        <v>16</v>
      </c>
      <c r="W829">
        <v>1913.84</v>
      </c>
      <c r="X829">
        <v>91059</v>
      </c>
      <c r="Y829">
        <f>cleaneddata[[#This Row],[Unit Price]]-cleaneddata[[#This Row],[Discount]]</f>
        <v>120.92999999999999</v>
      </c>
      <c r="Z8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30" spans="1:26" x14ac:dyDescent="0.3">
      <c r="A830">
        <v>2030</v>
      </c>
      <c r="B830" t="s">
        <v>1665</v>
      </c>
      <c r="C830" t="s">
        <v>1</v>
      </c>
      <c r="D830">
        <v>0</v>
      </c>
      <c r="E830">
        <v>195.99</v>
      </c>
      <c r="F830">
        <v>4.2</v>
      </c>
      <c r="G830" t="s">
        <v>14</v>
      </c>
      <c r="H830" t="s">
        <v>70</v>
      </c>
      <c r="I830" t="s">
        <v>16</v>
      </c>
      <c r="J830" t="s">
        <v>111</v>
      </c>
      <c r="K830" t="s">
        <v>49</v>
      </c>
      <c r="L830" t="s">
        <v>1667</v>
      </c>
      <c r="M830">
        <v>0.6</v>
      </c>
      <c r="N830" t="s">
        <v>8</v>
      </c>
      <c r="O830" t="s">
        <v>28</v>
      </c>
      <c r="P830" t="s">
        <v>163</v>
      </c>
      <c r="Q830" t="s">
        <v>1003</v>
      </c>
      <c r="R830">
        <v>75401</v>
      </c>
      <c r="S830" s="1">
        <v>42080</v>
      </c>
      <c r="T830" s="1">
        <v>42082</v>
      </c>
      <c r="U830">
        <v>1585.5029999999999</v>
      </c>
      <c r="V830">
        <v>16</v>
      </c>
      <c r="W830">
        <v>2692.12</v>
      </c>
      <c r="X830">
        <v>91059</v>
      </c>
      <c r="Y830">
        <f>cleaneddata[[#This Row],[Unit Price]]-cleaneddata[[#This Row],[Discount]]</f>
        <v>195.99</v>
      </c>
      <c r="Z8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31" spans="1:26" x14ac:dyDescent="0.3">
      <c r="A831">
        <v>2647</v>
      </c>
      <c r="B831" t="s">
        <v>1668</v>
      </c>
      <c r="C831" t="s">
        <v>23</v>
      </c>
      <c r="D831">
        <v>0.1</v>
      </c>
      <c r="E831">
        <v>10.98</v>
      </c>
      <c r="F831">
        <v>3.99</v>
      </c>
      <c r="G831" t="s">
        <v>14</v>
      </c>
      <c r="H831" t="s">
        <v>70</v>
      </c>
      <c r="I831" t="s">
        <v>24</v>
      </c>
      <c r="J831" t="s">
        <v>71</v>
      </c>
      <c r="K831" t="s">
        <v>49</v>
      </c>
      <c r="L831" t="s">
        <v>1669</v>
      </c>
      <c r="M831">
        <v>0.57999999999999996</v>
      </c>
      <c r="N831" t="s">
        <v>8</v>
      </c>
      <c r="O831" t="s">
        <v>35</v>
      </c>
      <c r="P831" t="s">
        <v>66</v>
      </c>
      <c r="Q831" t="s">
        <v>1670</v>
      </c>
      <c r="R831">
        <v>93309</v>
      </c>
      <c r="S831" s="1">
        <v>42080</v>
      </c>
      <c r="T831" s="1">
        <v>42087</v>
      </c>
      <c r="U831">
        <v>-21.03</v>
      </c>
      <c r="V831">
        <v>5</v>
      </c>
      <c r="W831">
        <v>52.21</v>
      </c>
      <c r="X831">
        <v>91386</v>
      </c>
      <c r="Y831">
        <f>cleaneddata[[#This Row],[Unit Price]]-cleaneddata[[#This Row],[Discount]]</f>
        <v>10.88</v>
      </c>
      <c r="Z83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32" spans="1:26" x14ac:dyDescent="0.3">
      <c r="A832">
        <v>2647</v>
      </c>
      <c r="B832" t="s">
        <v>1668</v>
      </c>
      <c r="C832" t="s">
        <v>23</v>
      </c>
      <c r="D832">
        <v>0.01</v>
      </c>
      <c r="E832">
        <v>39.979999999999997</v>
      </c>
      <c r="F832">
        <v>9.1999999999999993</v>
      </c>
      <c r="G832" t="s">
        <v>14</v>
      </c>
      <c r="H832" t="s">
        <v>70</v>
      </c>
      <c r="I832" t="s">
        <v>4</v>
      </c>
      <c r="J832" t="s">
        <v>102</v>
      </c>
      <c r="K832" t="s">
        <v>26</v>
      </c>
      <c r="L832" t="s">
        <v>1671</v>
      </c>
      <c r="M832">
        <v>0.65</v>
      </c>
      <c r="N832" t="s">
        <v>8</v>
      </c>
      <c r="O832" t="s">
        <v>35</v>
      </c>
      <c r="P832" t="s">
        <v>66</v>
      </c>
      <c r="Q832" t="s">
        <v>1670</v>
      </c>
      <c r="R832">
        <v>93309</v>
      </c>
      <c r="S832" s="1">
        <v>42080</v>
      </c>
      <c r="T832" s="1">
        <v>42082</v>
      </c>
      <c r="U832">
        <v>117.52079999999999</v>
      </c>
      <c r="V832">
        <v>4</v>
      </c>
      <c r="W832">
        <v>170.32</v>
      </c>
      <c r="X832">
        <v>91386</v>
      </c>
      <c r="Y832">
        <f>cleaneddata[[#This Row],[Unit Price]]-cleaneddata[[#This Row],[Discount]]</f>
        <v>39.97</v>
      </c>
      <c r="Z83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33" spans="1:26" x14ac:dyDescent="0.3">
      <c r="A833">
        <v>339</v>
      </c>
      <c r="B833" t="s">
        <v>1672</v>
      </c>
      <c r="C833" t="s">
        <v>92</v>
      </c>
      <c r="D833">
        <v>0.08</v>
      </c>
      <c r="E833">
        <v>7.77</v>
      </c>
      <c r="F833">
        <v>9.23</v>
      </c>
      <c r="G833" t="s">
        <v>14</v>
      </c>
      <c r="H833" t="s">
        <v>70</v>
      </c>
      <c r="I833" t="s">
        <v>24</v>
      </c>
      <c r="J833" t="s">
        <v>71</v>
      </c>
      <c r="K833" t="s">
        <v>49</v>
      </c>
      <c r="L833" t="s">
        <v>453</v>
      </c>
      <c r="M833">
        <v>0.57999999999999996</v>
      </c>
      <c r="N833" t="s">
        <v>8</v>
      </c>
      <c r="O833" t="s">
        <v>87</v>
      </c>
      <c r="P833" t="s">
        <v>293</v>
      </c>
      <c r="Q833" t="s">
        <v>1459</v>
      </c>
      <c r="R833">
        <v>43229</v>
      </c>
      <c r="S833" s="1">
        <v>42080</v>
      </c>
      <c r="T833" s="1">
        <v>42081</v>
      </c>
      <c r="U833">
        <v>-83.65</v>
      </c>
      <c r="V833">
        <v>5</v>
      </c>
      <c r="W833">
        <v>40.299999999999997</v>
      </c>
      <c r="X833">
        <v>90583</v>
      </c>
      <c r="Y833">
        <f>cleaneddata[[#This Row],[Unit Price]]-cleaneddata[[#This Row],[Discount]]</f>
        <v>7.6899999999999995</v>
      </c>
      <c r="Z83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34" spans="1:26" x14ac:dyDescent="0.3">
      <c r="A834">
        <v>339</v>
      </c>
      <c r="B834" t="s">
        <v>1672</v>
      </c>
      <c r="C834" t="s">
        <v>92</v>
      </c>
      <c r="D834">
        <v>7.0000000000000007E-2</v>
      </c>
      <c r="E834">
        <v>7.59</v>
      </c>
      <c r="F834">
        <v>4</v>
      </c>
      <c r="G834" t="s">
        <v>14</v>
      </c>
      <c r="H834" t="s">
        <v>70</v>
      </c>
      <c r="I834" t="s">
        <v>4</v>
      </c>
      <c r="J834" t="s">
        <v>102</v>
      </c>
      <c r="K834" t="s">
        <v>26</v>
      </c>
      <c r="L834" t="s">
        <v>1663</v>
      </c>
      <c r="M834">
        <v>0.42</v>
      </c>
      <c r="N834" t="s">
        <v>8</v>
      </c>
      <c r="O834" t="s">
        <v>87</v>
      </c>
      <c r="P834" t="s">
        <v>293</v>
      </c>
      <c r="Q834" t="s">
        <v>1459</v>
      </c>
      <c r="R834">
        <v>43229</v>
      </c>
      <c r="S834" s="1">
        <v>42080</v>
      </c>
      <c r="T834" s="1">
        <v>42082</v>
      </c>
      <c r="U834">
        <v>24.39</v>
      </c>
      <c r="V834">
        <v>15</v>
      </c>
      <c r="W834">
        <v>111.88</v>
      </c>
      <c r="X834">
        <v>90583</v>
      </c>
      <c r="Y834">
        <f>cleaneddata[[#This Row],[Unit Price]]-cleaneddata[[#This Row],[Discount]]</f>
        <v>7.52</v>
      </c>
      <c r="Z8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35" spans="1:26" x14ac:dyDescent="0.3">
      <c r="A835">
        <v>1808</v>
      </c>
      <c r="B835" t="s">
        <v>1673</v>
      </c>
      <c r="C835" t="s">
        <v>92</v>
      </c>
      <c r="D835">
        <v>0.01</v>
      </c>
      <c r="E835">
        <v>8.1199999999999992</v>
      </c>
      <c r="F835">
        <v>2.83</v>
      </c>
      <c r="G835" t="s">
        <v>63</v>
      </c>
      <c r="H835" t="s">
        <v>47</v>
      </c>
      <c r="I835" t="s">
        <v>16</v>
      </c>
      <c r="J835" t="s">
        <v>17</v>
      </c>
      <c r="K835" t="s">
        <v>18</v>
      </c>
      <c r="L835" t="s">
        <v>1674</v>
      </c>
      <c r="M835">
        <v>0.77</v>
      </c>
      <c r="N835" t="s">
        <v>8</v>
      </c>
      <c r="O835" t="s">
        <v>87</v>
      </c>
      <c r="P835" t="s">
        <v>879</v>
      </c>
      <c r="Q835" t="s">
        <v>1675</v>
      </c>
      <c r="R835">
        <v>26101</v>
      </c>
      <c r="S835" s="1">
        <v>42080</v>
      </c>
      <c r="T835" s="1">
        <v>42081</v>
      </c>
      <c r="U835">
        <v>-40.76</v>
      </c>
      <c r="V835">
        <v>10</v>
      </c>
      <c r="W835">
        <v>88.64</v>
      </c>
      <c r="X835">
        <v>89251</v>
      </c>
      <c r="Y835">
        <f>cleaneddata[[#This Row],[Unit Price]]-cleaneddata[[#This Row],[Discount]]</f>
        <v>8.11</v>
      </c>
      <c r="Z8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36" spans="1:26" x14ac:dyDescent="0.3">
      <c r="A836">
        <v>1364</v>
      </c>
      <c r="B836" t="s">
        <v>1676</v>
      </c>
      <c r="C836" t="s">
        <v>46</v>
      </c>
      <c r="D836">
        <v>0.1</v>
      </c>
      <c r="E836">
        <v>5.98</v>
      </c>
      <c r="F836">
        <v>5.35</v>
      </c>
      <c r="G836" t="s">
        <v>14</v>
      </c>
      <c r="H836" t="s">
        <v>47</v>
      </c>
      <c r="I836" t="s">
        <v>24</v>
      </c>
      <c r="J836" t="s">
        <v>64</v>
      </c>
      <c r="K836" t="s">
        <v>49</v>
      </c>
      <c r="L836" t="s">
        <v>785</v>
      </c>
      <c r="M836">
        <v>0.4</v>
      </c>
      <c r="N836" t="s">
        <v>8</v>
      </c>
      <c r="O836" t="s">
        <v>87</v>
      </c>
      <c r="P836" t="s">
        <v>394</v>
      </c>
      <c r="Q836" t="s">
        <v>1677</v>
      </c>
      <c r="R836">
        <v>20746</v>
      </c>
      <c r="S836" s="1">
        <v>42080</v>
      </c>
      <c r="T836" s="1">
        <v>42080</v>
      </c>
      <c r="U836">
        <v>-90.26</v>
      </c>
      <c r="V836">
        <v>10</v>
      </c>
      <c r="W836">
        <v>57.34</v>
      </c>
      <c r="X836">
        <v>89994</v>
      </c>
      <c r="Y836">
        <f>cleaneddata[[#This Row],[Unit Price]]-cleaneddata[[#This Row],[Discount]]</f>
        <v>5.8800000000000008</v>
      </c>
      <c r="Z8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37" spans="1:26" x14ac:dyDescent="0.3">
      <c r="A837">
        <v>3001</v>
      </c>
      <c r="B837" t="s">
        <v>1678</v>
      </c>
      <c r="C837" t="s">
        <v>46</v>
      </c>
      <c r="D837">
        <v>0.03</v>
      </c>
      <c r="E837">
        <v>5.4</v>
      </c>
      <c r="F837">
        <v>7.78</v>
      </c>
      <c r="G837" t="s">
        <v>14</v>
      </c>
      <c r="H837" t="s">
        <v>15</v>
      </c>
      <c r="I837" t="s">
        <v>24</v>
      </c>
      <c r="J837" t="s">
        <v>48</v>
      </c>
      <c r="K837" t="s">
        <v>49</v>
      </c>
      <c r="L837" t="s">
        <v>1460</v>
      </c>
      <c r="M837">
        <v>0.37</v>
      </c>
      <c r="N837" t="s">
        <v>8</v>
      </c>
      <c r="O837" t="s">
        <v>28</v>
      </c>
      <c r="P837" t="s">
        <v>265</v>
      </c>
      <c r="Q837" t="s">
        <v>1512</v>
      </c>
      <c r="R837">
        <v>48060</v>
      </c>
      <c r="S837" s="1">
        <v>42080</v>
      </c>
      <c r="T837" s="1">
        <v>42082</v>
      </c>
      <c r="U837">
        <v>-237.54400000000001</v>
      </c>
      <c r="V837">
        <v>21</v>
      </c>
      <c r="W837">
        <v>117.87</v>
      </c>
      <c r="X837">
        <v>87043</v>
      </c>
      <c r="Y837">
        <f>cleaneddata[[#This Row],[Unit Price]]-cleaneddata[[#This Row],[Discount]]</f>
        <v>5.37</v>
      </c>
      <c r="Z8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38" spans="1:26" x14ac:dyDescent="0.3">
      <c r="A838">
        <v>2127</v>
      </c>
      <c r="B838" t="s">
        <v>1679</v>
      </c>
      <c r="C838" t="s">
        <v>1</v>
      </c>
      <c r="D838">
        <v>0.1</v>
      </c>
      <c r="E838">
        <v>5.98</v>
      </c>
      <c r="F838">
        <v>5.14</v>
      </c>
      <c r="G838" t="s">
        <v>14</v>
      </c>
      <c r="H838" t="s">
        <v>47</v>
      </c>
      <c r="I838" t="s">
        <v>24</v>
      </c>
      <c r="J838" t="s">
        <v>64</v>
      </c>
      <c r="K838" t="s">
        <v>49</v>
      </c>
      <c r="L838" t="s">
        <v>1680</v>
      </c>
      <c r="M838">
        <v>0.36</v>
      </c>
      <c r="N838" t="s">
        <v>8</v>
      </c>
      <c r="O838" t="s">
        <v>28</v>
      </c>
      <c r="P838" t="s">
        <v>265</v>
      </c>
      <c r="Q838" t="s">
        <v>1681</v>
      </c>
      <c r="R838">
        <v>48310</v>
      </c>
      <c r="S838" s="1">
        <v>42081</v>
      </c>
      <c r="T838" s="1">
        <v>42083</v>
      </c>
      <c r="U838">
        <v>-49.53</v>
      </c>
      <c r="V838">
        <v>6</v>
      </c>
      <c r="W838">
        <v>33.950000000000003</v>
      </c>
      <c r="X838">
        <v>88418</v>
      </c>
      <c r="Y838">
        <f>cleaneddata[[#This Row],[Unit Price]]-cleaneddata[[#This Row],[Discount]]</f>
        <v>5.8800000000000008</v>
      </c>
      <c r="Z83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39" spans="1:26" x14ac:dyDescent="0.3">
      <c r="A839">
        <v>3191</v>
      </c>
      <c r="B839" t="s">
        <v>1682</v>
      </c>
      <c r="C839" t="s">
        <v>1</v>
      </c>
      <c r="D839">
        <v>0.01</v>
      </c>
      <c r="E839">
        <v>20.99</v>
      </c>
      <c r="F839">
        <v>4.8099999999999996</v>
      </c>
      <c r="G839" t="s">
        <v>14</v>
      </c>
      <c r="H839" t="s">
        <v>70</v>
      </c>
      <c r="I839" t="s">
        <v>16</v>
      </c>
      <c r="J839" t="s">
        <v>111</v>
      </c>
      <c r="K839" t="s">
        <v>120</v>
      </c>
      <c r="L839" t="s">
        <v>1407</v>
      </c>
      <c r="M839">
        <v>0.57999999999999996</v>
      </c>
      <c r="N839" t="s">
        <v>8</v>
      </c>
      <c r="O839" t="s">
        <v>28</v>
      </c>
      <c r="P839" t="s">
        <v>333</v>
      </c>
      <c r="Q839" t="s">
        <v>1683</v>
      </c>
      <c r="R839">
        <v>54481</v>
      </c>
      <c r="S839" s="1">
        <v>42081</v>
      </c>
      <c r="T839" s="1">
        <v>42081</v>
      </c>
      <c r="U839">
        <v>-9.1080000000000005</v>
      </c>
      <c r="V839">
        <v>5</v>
      </c>
      <c r="W839">
        <v>93.81</v>
      </c>
      <c r="X839">
        <v>86447</v>
      </c>
      <c r="Y839">
        <f>cleaneddata[[#This Row],[Unit Price]]-cleaneddata[[#This Row],[Discount]]</f>
        <v>20.979999999999997</v>
      </c>
      <c r="Z83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40" spans="1:26" x14ac:dyDescent="0.3">
      <c r="A840">
        <v>1197</v>
      </c>
      <c r="B840" t="s">
        <v>1684</v>
      </c>
      <c r="C840" t="s">
        <v>13</v>
      </c>
      <c r="D840">
        <v>0.08</v>
      </c>
      <c r="E840">
        <v>355.98</v>
      </c>
      <c r="F840">
        <v>58.92</v>
      </c>
      <c r="G840" t="s">
        <v>2</v>
      </c>
      <c r="H840" t="s">
        <v>3</v>
      </c>
      <c r="I840" t="s">
        <v>4</v>
      </c>
      <c r="J840" t="s">
        <v>85</v>
      </c>
      <c r="K840" t="s">
        <v>33</v>
      </c>
      <c r="L840" t="s">
        <v>670</v>
      </c>
      <c r="M840">
        <v>0.64</v>
      </c>
      <c r="N840" t="s">
        <v>8</v>
      </c>
      <c r="O840" t="s">
        <v>87</v>
      </c>
      <c r="P840" t="s">
        <v>379</v>
      </c>
      <c r="Q840" t="s">
        <v>1685</v>
      </c>
      <c r="R840">
        <v>1776</v>
      </c>
      <c r="S840" s="1">
        <v>42081</v>
      </c>
      <c r="T840" s="1">
        <v>42083</v>
      </c>
      <c r="U840">
        <v>103.83</v>
      </c>
      <c r="V840">
        <v>4</v>
      </c>
      <c r="W840">
        <v>1350.94</v>
      </c>
      <c r="X840">
        <v>87583</v>
      </c>
      <c r="Y840">
        <f>cleaneddata[[#This Row],[Unit Price]]-cleaneddata[[#This Row],[Discount]]</f>
        <v>355.90000000000003</v>
      </c>
      <c r="Z8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41" spans="1:26" x14ac:dyDescent="0.3">
      <c r="A841">
        <v>1894</v>
      </c>
      <c r="B841" t="s">
        <v>1315</v>
      </c>
      <c r="C841" t="s">
        <v>13</v>
      </c>
      <c r="D841">
        <v>0.01</v>
      </c>
      <c r="E841">
        <v>26.17</v>
      </c>
      <c r="F841">
        <v>1.39</v>
      </c>
      <c r="G841" t="s">
        <v>14</v>
      </c>
      <c r="H841" t="s">
        <v>15</v>
      </c>
      <c r="I841" t="s">
        <v>24</v>
      </c>
      <c r="J841" t="s">
        <v>321</v>
      </c>
      <c r="K841" t="s">
        <v>49</v>
      </c>
      <c r="L841" t="s">
        <v>1686</v>
      </c>
      <c r="M841">
        <v>0.38</v>
      </c>
      <c r="N841" t="s">
        <v>8</v>
      </c>
      <c r="O841" t="s">
        <v>28</v>
      </c>
      <c r="P841" t="s">
        <v>333</v>
      </c>
      <c r="Q841" t="s">
        <v>1317</v>
      </c>
      <c r="R841">
        <v>54915</v>
      </c>
      <c r="S841" s="1">
        <v>42081</v>
      </c>
      <c r="T841" s="1">
        <v>42082</v>
      </c>
      <c r="U841">
        <v>237.04259999999999</v>
      </c>
      <c r="V841">
        <v>13</v>
      </c>
      <c r="W841">
        <v>343.54</v>
      </c>
      <c r="X841">
        <v>91263</v>
      </c>
      <c r="Y841">
        <f>cleaneddata[[#This Row],[Unit Price]]-cleaneddata[[#This Row],[Discount]]</f>
        <v>26.16</v>
      </c>
      <c r="Z8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42" spans="1:26" x14ac:dyDescent="0.3">
      <c r="A842">
        <v>1015</v>
      </c>
      <c r="B842" t="s">
        <v>1687</v>
      </c>
      <c r="C842" t="s">
        <v>92</v>
      </c>
      <c r="D842">
        <v>0</v>
      </c>
      <c r="E842">
        <v>43.98</v>
      </c>
      <c r="F842">
        <v>8.99</v>
      </c>
      <c r="G842" t="s">
        <v>14</v>
      </c>
      <c r="H842" t="s">
        <v>47</v>
      </c>
      <c r="I842" t="s">
        <v>24</v>
      </c>
      <c r="J842" t="s">
        <v>25</v>
      </c>
      <c r="K842" t="s">
        <v>18</v>
      </c>
      <c r="L842" t="s">
        <v>798</v>
      </c>
      <c r="M842">
        <v>0.57999999999999996</v>
      </c>
      <c r="N842" t="s">
        <v>8</v>
      </c>
      <c r="O842" t="s">
        <v>9</v>
      </c>
      <c r="P842" t="s">
        <v>73</v>
      </c>
      <c r="Q842" t="s">
        <v>1688</v>
      </c>
      <c r="R842">
        <v>27502</v>
      </c>
      <c r="S842" s="1">
        <v>42081</v>
      </c>
      <c r="T842" s="1">
        <v>42081</v>
      </c>
      <c r="U842">
        <v>829.46699999999998</v>
      </c>
      <c r="V842">
        <v>14</v>
      </c>
      <c r="W842">
        <v>650.70000000000005</v>
      </c>
      <c r="X842">
        <v>88390</v>
      </c>
      <c r="Y842">
        <f>cleaneddata[[#This Row],[Unit Price]]-cleaneddata[[#This Row],[Discount]]</f>
        <v>43.98</v>
      </c>
      <c r="Z8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43" spans="1:26" x14ac:dyDescent="0.3">
      <c r="A843">
        <v>1967</v>
      </c>
      <c r="B843" t="s">
        <v>1689</v>
      </c>
      <c r="C843" t="s">
        <v>92</v>
      </c>
      <c r="D843">
        <v>0.01</v>
      </c>
      <c r="E843">
        <v>78.650000000000006</v>
      </c>
      <c r="F843">
        <v>13.99</v>
      </c>
      <c r="G843" t="s">
        <v>63</v>
      </c>
      <c r="H843" t="s">
        <v>3</v>
      </c>
      <c r="I843" t="s">
        <v>24</v>
      </c>
      <c r="J843" t="s">
        <v>71</v>
      </c>
      <c r="K843" t="s">
        <v>120</v>
      </c>
      <c r="L843" t="s">
        <v>1690</v>
      </c>
      <c r="M843">
        <v>0.52</v>
      </c>
      <c r="N843" t="s">
        <v>8</v>
      </c>
      <c r="O843" t="s">
        <v>28</v>
      </c>
      <c r="P843" t="s">
        <v>189</v>
      </c>
      <c r="Q843" t="s">
        <v>11</v>
      </c>
      <c r="R843">
        <v>52732</v>
      </c>
      <c r="S843" s="1">
        <v>42081</v>
      </c>
      <c r="T843" s="1">
        <v>42082</v>
      </c>
      <c r="U843">
        <v>442.36590000000001</v>
      </c>
      <c r="V843">
        <v>8</v>
      </c>
      <c r="W843">
        <v>641.11</v>
      </c>
      <c r="X843">
        <v>89456</v>
      </c>
      <c r="Y843">
        <f>cleaneddata[[#This Row],[Unit Price]]-cleaneddata[[#This Row],[Discount]]</f>
        <v>78.64</v>
      </c>
      <c r="Z84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44" spans="1:26" x14ac:dyDescent="0.3">
      <c r="A844">
        <v>2030</v>
      </c>
      <c r="B844" t="s">
        <v>1665</v>
      </c>
      <c r="C844" t="s">
        <v>92</v>
      </c>
      <c r="D844">
        <v>0.03</v>
      </c>
      <c r="E844">
        <v>55.98</v>
      </c>
      <c r="F844">
        <v>4.8600000000000003</v>
      </c>
      <c r="G844" t="s">
        <v>14</v>
      </c>
      <c r="H844" t="s">
        <v>70</v>
      </c>
      <c r="I844" t="s">
        <v>24</v>
      </c>
      <c r="J844" t="s">
        <v>64</v>
      </c>
      <c r="K844" t="s">
        <v>49</v>
      </c>
      <c r="L844" t="s">
        <v>1691</v>
      </c>
      <c r="M844">
        <v>0.36</v>
      </c>
      <c r="N844" t="s">
        <v>8</v>
      </c>
      <c r="O844" t="s">
        <v>28</v>
      </c>
      <c r="P844" t="s">
        <v>163</v>
      </c>
      <c r="Q844" t="s">
        <v>1003</v>
      </c>
      <c r="R844">
        <v>75401</v>
      </c>
      <c r="S844" s="1">
        <v>42081</v>
      </c>
      <c r="T844" s="1">
        <v>42083</v>
      </c>
      <c r="U844">
        <v>526.04219999999998</v>
      </c>
      <c r="V844">
        <v>13</v>
      </c>
      <c r="W844">
        <v>762.38</v>
      </c>
      <c r="X844">
        <v>91060</v>
      </c>
      <c r="Y844">
        <f>cleaneddata[[#This Row],[Unit Price]]-cleaneddata[[#This Row],[Discount]]</f>
        <v>55.949999999999996</v>
      </c>
      <c r="Z8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45" spans="1:26" x14ac:dyDescent="0.3">
      <c r="A845">
        <v>2745</v>
      </c>
      <c r="B845" t="s">
        <v>1692</v>
      </c>
      <c r="C845" t="s">
        <v>92</v>
      </c>
      <c r="D845">
        <v>0.01</v>
      </c>
      <c r="E845">
        <v>220.98</v>
      </c>
      <c r="F845">
        <v>64.66</v>
      </c>
      <c r="G845" t="s">
        <v>2</v>
      </c>
      <c r="H845" t="s">
        <v>70</v>
      </c>
      <c r="I845" t="s">
        <v>4</v>
      </c>
      <c r="J845" t="s">
        <v>93</v>
      </c>
      <c r="K845" t="s">
        <v>6</v>
      </c>
      <c r="L845" t="s">
        <v>1693</v>
      </c>
      <c r="M845">
        <v>0.62</v>
      </c>
      <c r="N845" t="s">
        <v>8</v>
      </c>
      <c r="O845" t="s">
        <v>35</v>
      </c>
      <c r="P845" t="s">
        <v>564</v>
      </c>
      <c r="Q845" t="s">
        <v>1694</v>
      </c>
      <c r="R845">
        <v>85224</v>
      </c>
      <c r="S845" s="1">
        <v>42081</v>
      </c>
      <c r="T845" s="1">
        <v>42082</v>
      </c>
      <c r="U845">
        <v>1049.03</v>
      </c>
      <c r="V845">
        <v>11</v>
      </c>
      <c r="W845">
        <v>2591.09</v>
      </c>
      <c r="X845">
        <v>86184</v>
      </c>
      <c r="Y845">
        <f>cleaneddata[[#This Row],[Unit Price]]-cleaneddata[[#This Row],[Discount]]</f>
        <v>220.97</v>
      </c>
      <c r="Z84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46" spans="1:26" x14ac:dyDescent="0.3">
      <c r="A846">
        <v>2747</v>
      </c>
      <c r="B846" t="s">
        <v>982</v>
      </c>
      <c r="C846" t="s">
        <v>92</v>
      </c>
      <c r="D846">
        <v>0.01</v>
      </c>
      <c r="E846">
        <v>220.98</v>
      </c>
      <c r="F846">
        <v>64.66</v>
      </c>
      <c r="G846" t="s">
        <v>2</v>
      </c>
      <c r="H846" t="s">
        <v>70</v>
      </c>
      <c r="I846" t="s">
        <v>4</v>
      </c>
      <c r="J846" t="s">
        <v>93</v>
      </c>
      <c r="K846" t="s">
        <v>6</v>
      </c>
      <c r="L846" t="s">
        <v>1693</v>
      </c>
      <c r="M846">
        <v>0.62</v>
      </c>
      <c r="N846" t="s">
        <v>8</v>
      </c>
      <c r="O846" t="s">
        <v>87</v>
      </c>
      <c r="P846" t="s">
        <v>88</v>
      </c>
      <c r="Q846" t="s">
        <v>89</v>
      </c>
      <c r="R846">
        <v>10115</v>
      </c>
      <c r="S846" s="1">
        <v>42081</v>
      </c>
      <c r="T846" s="1">
        <v>42082</v>
      </c>
      <c r="U846">
        <v>1049.03</v>
      </c>
      <c r="V846">
        <v>44</v>
      </c>
      <c r="W846">
        <v>10364.36</v>
      </c>
      <c r="X846">
        <v>23751</v>
      </c>
      <c r="Y846">
        <f>cleaneddata[[#This Row],[Unit Price]]-cleaneddata[[#This Row],[Discount]]</f>
        <v>220.97</v>
      </c>
      <c r="Z8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47" spans="1:26" x14ac:dyDescent="0.3">
      <c r="A847">
        <v>485</v>
      </c>
      <c r="B847" t="s">
        <v>1695</v>
      </c>
      <c r="C847" t="s">
        <v>46</v>
      </c>
      <c r="D847">
        <v>0.05</v>
      </c>
      <c r="E847">
        <v>2.88</v>
      </c>
      <c r="F847">
        <v>0.5</v>
      </c>
      <c r="G847" t="s">
        <v>14</v>
      </c>
      <c r="H847" t="s">
        <v>70</v>
      </c>
      <c r="I847" t="s">
        <v>24</v>
      </c>
      <c r="J847" t="s">
        <v>128</v>
      </c>
      <c r="K847" t="s">
        <v>49</v>
      </c>
      <c r="L847" t="s">
        <v>1696</v>
      </c>
      <c r="M847">
        <v>0.36</v>
      </c>
      <c r="N847" t="s">
        <v>8</v>
      </c>
      <c r="O847" t="s">
        <v>35</v>
      </c>
      <c r="P847" t="s">
        <v>66</v>
      </c>
      <c r="Q847" t="s">
        <v>1697</v>
      </c>
      <c r="R847">
        <v>93727</v>
      </c>
      <c r="S847" s="1">
        <v>42081</v>
      </c>
      <c r="T847" s="1">
        <v>42083</v>
      </c>
      <c r="U847">
        <v>6.0513000000000003</v>
      </c>
      <c r="V847">
        <v>3</v>
      </c>
      <c r="W847">
        <v>8.77</v>
      </c>
      <c r="X847">
        <v>91062</v>
      </c>
      <c r="Y847">
        <f>cleaneddata[[#This Row],[Unit Price]]-cleaneddata[[#This Row],[Discount]]</f>
        <v>2.83</v>
      </c>
      <c r="Z84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48" spans="1:26" x14ac:dyDescent="0.3">
      <c r="A848">
        <v>383</v>
      </c>
      <c r="B848" t="s">
        <v>1698</v>
      </c>
      <c r="C848" t="s">
        <v>1</v>
      </c>
      <c r="D848">
        <v>0.06</v>
      </c>
      <c r="E848">
        <v>5.34</v>
      </c>
      <c r="F848">
        <v>5.63</v>
      </c>
      <c r="G848" t="s">
        <v>14</v>
      </c>
      <c r="H848" t="s">
        <v>70</v>
      </c>
      <c r="I848" t="s">
        <v>24</v>
      </c>
      <c r="J848" t="s">
        <v>48</v>
      </c>
      <c r="K848" t="s">
        <v>49</v>
      </c>
      <c r="L848" t="s">
        <v>1699</v>
      </c>
      <c r="M848">
        <v>0.39</v>
      </c>
      <c r="N848" t="s">
        <v>8</v>
      </c>
      <c r="O848" t="s">
        <v>87</v>
      </c>
      <c r="P848" t="s">
        <v>296</v>
      </c>
      <c r="Q848" t="s">
        <v>1700</v>
      </c>
      <c r="R848">
        <v>19026</v>
      </c>
      <c r="S848" s="1">
        <v>42082</v>
      </c>
      <c r="T848" s="1">
        <v>42082</v>
      </c>
      <c r="U848">
        <v>-82.822999999999993</v>
      </c>
      <c r="V848">
        <v>7</v>
      </c>
      <c r="W848">
        <v>38.65</v>
      </c>
      <c r="X848">
        <v>88928</v>
      </c>
      <c r="Y848">
        <f>cleaneddata[[#This Row],[Unit Price]]-cleaneddata[[#This Row],[Discount]]</f>
        <v>5.28</v>
      </c>
      <c r="Z8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49" spans="1:26" x14ac:dyDescent="0.3">
      <c r="A849">
        <v>383</v>
      </c>
      <c r="B849" t="s">
        <v>1698</v>
      </c>
      <c r="C849" t="s">
        <v>1</v>
      </c>
      <c r="D849">
        <v>7.0000000000000007E-2</v>
      </c>
      <c r="E849">
        <v>65.989999999999995</v>
      </c>
      <c r="F849">
        <v>5.26</v>
      </c>
      <c r="G849" t="s">
        <v>63</v>
      </c>
      <c r="H849" t="s">
        <v>70</v>
      </c>
      <c r="I849" t="s">
        <v>16</v>
      </c>
      <c r="J849" t="s">
        <v>111</v>
      </c>
      <c r="K849" t="s">
        <v>49</v>
      </c>
      <c r="L849" t="s">
        <v>1701</v>
      </c>
      <c r="M849">
        <v>0.56000000000000005</v>
      </c>
      <c r="N849" t="s">
        <v>8</v>
      </c>
      <c r="O849" t="s">
        <v>87</v>
      </c>
      <c r="P849" t="s">
        <v>296</v>
      </c>
      <c r="Q849" t="s">
        <v>1700</v>
      </c>
      <c r="R849">
        <v>19026</v>
      </c>
      <c r="S849" s="1">
        <v>42082</v>
      </c>
      <c r="T849" s="1">
        <v>42084</v>
      </c>
      <c r="U849">
        <v>107.08199999999999</v>
      </c>
      <c r="V849">
        <v>5</v>
      </c>
      <c r="W849">
        <v>279.83</v>
      </c>
      <c r="X849">
        <v>88928</v>
      </c>
      <c r="Y849">
        <f>cleaneddata[[#This Row],[Unit Price]]-cleaneddata[[#This Row],[Discount]]</f>
        <v>65.92</v>
      </c>
      <c r="Z84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50" spans="1:26" x14ac:dyDescent="0.3">
      <c r="A850">
        <v>770</v>
      </c>
      <c r="B850" t="s">
        <v>1702</v>
      </c>
      <c r="C850" t="s">
        <v>1</v>
      </c>
      <c r="D850">
        <v>0.08</v>
      </c>
      <c r="E850">
        <v>30.73</v>
      </c>
      <c r="F850">
        <v>4</v>
      </c>
      <c r="G850" t="s">
        <v>14</v>
      </c>
      <c r="H850" t="s">
        <v>3</v>
      </c>
      <c r="I850" t="s">
        <v>16</v>
      </c>
      <c r="J850" t="s">
        <v>17</v>
      </c>
      <c r="K850" t="s">
        <v>49</v>
      </c>
      <c r="L850" t="s">
        <v>650</v>
      </c>
      <c r="M850">
        <v>0.75</v>
      </c>
      <c r="N850" t="s">
        <v>8</v>
      </c>
      <c r="O850" t="s">
        <v>35</v>
      </c>
      <c r="P850" t="s">
        <v>115</v>
      </c>
      <c r="Q850" t="s">
        <v>1090</v>
      </c>
      <c r="R850">
        <v>97062</v>
      </c>
      <c r="S850" s="1">
        <v>42082</v>
      </c>
      <c r="T850" s="1">
        <v>42082</v>
      </c>
      <c r="U850">
        <v>-45.07</v>
      </c>
      <c r="V850">
        <v>14</v>
      </c>
      <c r="W850">
        <v>429.33</v>
      </c>
      <c r="X850">
        <v>88667</v>
      </c>
      <c r="Y850">
        <f>cleaneddata[[#This Row],[Unit Price]]-cleaneddata[[#This Row],[Discount]]</f>
        <v>30.650000000000002</v>
      </c>
      <c r="Z85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51" spans="1:26" x14ac:dyDescent="0.3">
      <c r="A851">
        <v>771</v>
      </c>
      <c r="B851" t="s">
        <v>1703</v>
      </c>
      <c r="C851" t="s">
        <v>1</v>
      </c>
      <c r="D851">
        <v>0.05</v>
      </c>
      <c r="E851">
        <v>14.56</v>
      </c>
      <c r="F851">
        <v>3.5</v>
      </c>
      <c r="G851" t="s">
        <v>14</v>
      </c>
      <c r="H851" t="s">
        <v>3</v>
      </c>
      <c r="I851" t="s">
        <v>24</v>
      </c>
      <c r="J851" t="s">
        <v>71</v>
      </c>
      <c r="K851" t="s">
        <v>49</v>
      </c>
      <c r="L851" t="s">
        <v>310</v>
      </c>
      <c r="M851">
        <v>0.57999999999999996</v>
      </c>
      <c r="N851" t="s">
        <v>8</v>
      </c>
      <c r="O851" t="s">
        <v>35</v>
      </c>
      <c r="P851" t="s">
        <v>115</v>
      </c>
      <c r="Q851" t="s">
        <v>1704</v>
      </c>
      <c r="R851">
        <v>97068</v>
      </c>
      <c r="S851" s="1">
        <v>42082</v>
      </c>
      <c r="T851" s="1">
        <v>42084</v>
      </c>
      <c r="U851">
        <v>-8.5299999999999994</v>
      </c>
      <c r="V851">
        <v>3</v>
      </c>
      <c r="W851">
        <v>44.66</v>
      </c>
      <c r="X851">
        <v>88667</v>
      </c>
      <c r="Y851">
        <f>cleaneddata[[#This Row],[Unit Price]]-cleaneddata[[#This Row],[Discount]]</f>
        <v>14.51</v>
      </c>
      <c r="Z85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52" spans="1:26" x14ac:dyDescent="0.3">
      <c r="A852">
        <v>771</v>
      </c>
      <c r="B852" t="s">
        <v>1703</v>
      </c>
      <c r="C852" t="s">
        <v>1</v>
      </c>
      <c r="D852">
        <v>0</v>
      </c>
      <c r="E852">
        <v>299.99</v>
      </c>
      <c r="F852">
        <v>11.64</v>
      </c>
      <c r="G852" t="s">
        <v>14</v>
      </c>
      <c r="H852" t="s">
        <v>3</v>
      </c>
      <c r="I852" t="s">
        <v>16</v>
      </c>
      <c r="J852" t="s">
        <v>39</v>
      </c>
      <c r="K852" t="s">
        <v>40</v>
      </c>
      <c r="L852" t="s">
        <v>1705</v>
      </c>
      <c r="M852">
        <v>0.5</v>
      </c>
      <c r="N852" t="s">
        <v>8</v>
      </c>
      <c r="O852" t="s">
        <v>35</v>
      </c>
      <c r="P852" t="s">
        <v>115</v>
      </c>
      <c r="Q852" t="s">
        <v>1704</v>
      </c>
      <c r="R852">
        <v>97068</v>
      </c>
      <c r="S852" s="1">
        <v>42082</v>
      </c>
      <c r="T852" s="1">
        <v>42084</v>
      </c>
      <c r="U852">
        <v>285.95</v>
      </c>
      <c r="V852">
        <v>5</v>
      </c>
      <c r="W852">
        <v>1619.95</v>
      </c>
      <c r="X852">
        <v>88667</v>
      </c>
      <c r="Y852">
        <f>cleaneddata[[#This Row],[Unit Price]]-cleaneddata[[#This Row],[Discount]]</f>
        <v>299.99</v>
      </c>
      <c r="Z85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53" spans="1:26" x14ac:dyDescent="0.3">
      <c r="A853">
        <v>2502</v>
      </c>
      <c r="B853" t="s">
        <v>1706</v>
      </c>
      <c r="C853" t="s">
        <v>13</v>
      </c>
      <c r="D853">
        <v>0.1</v>
      </c>
      <c r="E853">
        <v>24.92</v>
      </c>
      <c r="F853">
        <v>12.98</v>
      </c>
      <c r="G853" t="s">
        <v>14</v>
      </c>
      <c r="H853" t="s">
        <v>47</v>
      </c>
      <c r="I853" t="s">
        <v>24</v>
      </c>
      <c r="J853" t="s">
        <v>48</v>
      </c>
      <c r="K853" t="s">
        <v>49</v>
      </c>
      <c r="L853" t="s">
        <v>1707</v>
      </c>
      <c r="M853">
        <v>0.39</v>
      </c>
      <c r="N853" t="s">
        <v>8</v>
      </c>
      <c r="O853" t="s">
        <v>28</v>
      </c>
      <c r="P853" t="s">
        <v>29</v>
      </c>
      <c r="Q853" t="s">
        <v>1708</v>
      </c>
      <c r="R853">
        <v>46321</v>
      </c>
      <c r="S853" s="1">
        <v>42082</v>
      </c>
      <c r="T853" s="1">
        <v>42082</v>
      </c>
      <c r="U853">
        <v>-45.816000000000003</v>
      </c>
      <c r="V853">
        <v>3</v>
      </c>
      <c r="W853">
        <v>70.819999999999993</v>
      </c>
      <c r="X853">
        <v>91310</v>
      </c>
      <c r="Y853">
        <f>cleaneddata[[#This Row],[Unit Price]]-cleaneddata[[#This Row],[Discount]]</f>
        <v>24.82</v>
      </c>
      <c r="Z8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54" spans="1:26" x14ac:dyDescent="0.3">
      <c r="A854">
        <v>2502</v>
      </c>
      <c r="B854" t="s">
        <v>1706</v>
      </c>
      <c r="C854" t="s">
        <v>13</v>
      </c>
      <c r="D854">
        <v>0</v>
      </c>
      <c r="E854">
        <v>12.28</v>
      </c>
      <c r="F854">
        <v>6.35</v>
      </c>
      <c r="G854" t="s">
        <v>63</v>
      </c>
      <c r="H854" t="s">
        <v>47</v>
      </c>
      <c r="I854" t="s">
        <v>24</v>
      </c>
      <c r="J854" t="s">
        <v>64</v>
      </c>
      <c r="K854" t="s">
        <v>49</v>
      </c>
      <c r="L854" t="s">
        <v>1709</v>
      </c>
      <c r="M854">
        <v>0.38</v>
      </c>
      <c r="N854" t="s">
        <v>8</v>
      </c>
      <c r="O854" t="s">
        <v>28</v>
      </c>
      <c r="P854" t="s">
        <v>29</v>
      </c>
      <c r="Q854" t="s">
        <v>1708</v>
      </c>
      <c r="R854">
        <v>46321</v>
      </c>
      <c r="S854" s="1">
        <v>42082</v>
      </c>
      <c r="T854" s="1">
        <v>42083</v>
      </c>
      <c r="U854">
        <v>30.63</v>
      </c>
      <c r="V854">
        <v>7</v>
      </c>
      <c r="W854">
        <v>90.44</v>
      </c>
      <c r="X854">
        <v>91310</v>
      </c>
      <c r="Y854">
        <f>cleaneddata[[#This Row],[Unit Price]]-cleaneddata[[#This Row],[Discount]]</f>
        <v>12.28</v>
      </c>
      <c r="Z8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55" spans="1:26" x14ac:dyDescent="0.3">
      <c r="A855">
        <v>2621</v>
      </c>
      <c r="B855" t="s">
        <v>1710</v>
      </c>
      <c r="C855" t="s">
        <v>13</v>
      </c>
      <c r="D855">
        <v>0.03</v>
      </c>
      <c r="E855">
        <v>40.97</v>
      </c>
      <c r="F855">
        <v>8.99</v>
      </c>
      <c r="G855" t="s">
        <v>63</v>
      </c>
      <c r="H855" t="s">
        <v>70</v>
      </c>
      <c r="I855" t="s">
        <v>24</v>
      </c>
      <c r="J855" t="s">
        <v>25</v>
      </c>
      <c r="K855" t="s">
        <v>18</v>
      </c>
      <c r="L855" t="s">
        <v>1711</v>
      </c>
      <c r="M855">
        <v>0.59</v>
      </c>
      <c r="N855" t="s">
        <v>8</v>
      </c>
      <c r="O855" t="s">
        <v>9</v>
      </c>
      <c r="P855" t="s">
        <v>376</v>
      </c>
      <c r="Q855" t="s">
        <v>1712</v>
      </c>
      <c r="R855">
        <v>37027</v>
      </c>
      <c r="S855" s="1">
        <v>42082</v>
      </c>
      <c r="T855" s="1">
        <v>42083</v>
      </c>
      <c r="U855">
        <v>-177.05799999999999</v>
      </c>
      <c r="V855">
        <v>5</v>
      </c>
      <c r="W855">
        <v>207.22</v>
      </c>
      <c r="X855">
        <v>88016</v>
      </c>
      <c r="Y855">
        <f>cleaneddata[[#This Row],[Unit Price]]-cleaneddata[[#This Row],[Discount]]</f>
        <v>40.94</v>
      </c>
      <c r="Z85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56" spans="1:26" x14ac:dyDescent="0.3">
      <c r="A856">
        <v>2840</v>
      </c>
      <c r="B856" t="s">
        <v>1713</v>
      </c>
      <c r="C856" t="s">
        <v>13</v>
      </c>
      <c r="D856">
        <v>0</v>
      </c>
      <c r="E856">
        <v>21.98</v>
      </c>
      <c r="F856">
        <v>2.87</v>
      </c>
      <c r="G856" t="s">
        <v>14</v>
      </c>
      <c r="H856" t="s">
        <v>70</v>
      </c>
      <c r="I856" t="s">
        <v>24</v>
      </c>
      <c r="J856" t="s">
        <v>25</v>
      </c>
      <c r="K856" t="s">
        <v>18</v>
      </c>
      <c r="L856" t="s">
        <v>1714</v>
      </c>
      <c r="M856">
        <v>0.55000000000000004</v>
      </c>
      <c r="N856" t="s">
        <v>8</v>
      </c>
      <c r="O856" t="s">
        <v>9</v>
      </c>
      <c r="P856" t="s">
        <v>99</v>
      </c>
      <c r="Q856" t="s">
        <v>1715</v>
      </c>
      <c r="R856">
        <v>33161</v>
      </c>
      <c r="S856" s="1">
        <v>42082</v>
      </c>
      <c r="T856" s="1">
        <v>42083</v>
      </c>
      <c r="U856">
        <v>21.096</v>
      </c>
      <c r="V856">
        <v>16</v>
      </c>
      <c r="W856">
        <v>360.03</v>
      </c>
      <c r="X856">
        <v>87884</v>
      </c>
      <c r="Y856">
        <f>cleaneddata[[#This Row],[Unit Price]]-cleaneddata[[#This Row],[Discount]]</f>
        <v>21.98</v>
      </c>
      <c r="Z85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57" spans="1:26" x14ac:dyDescent="0.3">
      <c r="A857">
        <v>2882</v>
      </c>
      <c r="B857" t="s">
        <v>647</v>
      </c>
      <c r="C857" t="s">
        <v>13</v>
      </c>
      <c r="D857">
        <v>7.0000000000000007E-2</v>
      </c>
      <c r="E857">
        <v>28.99</v>
      </c>
      <c r="F857">
        <v>8.59</v>
      </c>
      <c r="G857" t="s">
        <v>14</v>
      </c>
      <c r="H857" t="s">
        <v>15</v>
      </c>
      <c r="I857" t="s">
        <v>16</v>
      </c>
      <c r="J857" t="s">
        <v>111</v>
      </c>
      <c r="K857" t="s">
        <v>120</v>
      </c>
      <c r="L857" t="s">
        <v>1005</v>
      </c>
      <c r="M857">
        <v>0.56000000000000005</v>
      </c>
      <c r="N857" t="s">
        <v>8</v>
      </c>
      <c r="O857" t="s">
        <v>9</v>
      </c>
      <c r="P857" t="s">
        <v>73</v>
      </c>
      <c r="Q857" t="s">
        <v>649</v>
      </c>
      <c r="R857">
        <v>28206</v>
      </c>
      <c r="S857" s="1">
        <v>42082</v>
      </c>
      <c r="T857" s="1">
        <v>42082</v>
      </c>
      <c r="U857">
        <v>-16.063739999999999</v>
      </c>
      <c r="V857">
        <v>39</v>
      </c>
      <c r="W857">
        <v>936.8</v>
      </c>
      <c r="X857">
        <v>16676</v>
      </c>
      <c r="Y857">
        <f>cleaneddata[[#This Row],[Unit Price]]-cleaneddata[[#This Row],[Discount]]</f>
        <v>28.919999999999998</v>
      </c>
      <c r="Z85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58" spans="1:26" x14ac:dyDescent="0.3">
      <c r="A858">
        <v>2884</v>
      </c>
      <c r="B858" t="s">
        <v>1716</v>
      </c>
      <c r="C858" t="s">
        <v>13</v>
      </c>
      <c r="D858">
        <v>7.0000000000000007E-2</v>
      </c>
      <c r="E858">
        <v>28.99</v>
      </c>
      <c r="F858">
        <v>8.59</v>
      </c>
      <c r="G858" t="s">
        <v>14</v>
      </c>
      <c r="H858" t="s">
        <v>15</v>
      </c>
      <c r="I858" t="s">
        <v>16</v>
      </c>
      <c r="J858" t="s">
        <v>111</v>
      </c>
      <c r="K858" t="s">
        <v>120</v>
      </c>
      <c r="L858" t="s">
        <v>1005</v>
      </c>
      <c r="M858">
        <v>0.56000000000000005</v>
      </c>
      <c r="N858" t="s">
        <v>8</v>
      </c>
      <c r="O858" t="s">
        <v>87</v>
      </c>
      <c r="P858" t="s">
        <v>293</v>
      </c>
      <c r="Q858" t="s">
        <v>1717</v>
      </c>
      <c r="R858">
        <v>44039</v>
      </c>
      <c r="S858" s="1">
        <v>42082</v>
      </c>
      <c r="T858" s="1">
        <v>42082</v>
      </c>
      <c r="U858">
        <v>-12.077999999999999</v>
      </c>
      <c r="V858">
        <v>10</v>
      </c>
      <c r="W858">
        <v>240.21</v>
      </c>
      <c r="X858">
        <v>87631</v>
      </c>
      <c r="Y858">
        <f>cleaneddata[[#This Row],[Unit Price]]-cleaneddata[[#This Row],[Discount]]</f>
        <v>28.919999999999998</v>
      </c>
      <c r="Z85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59" spans="1:26" x14ac:dyDescent="0.3">
      <c r="A859">
        <v>3222</v>
      </c>
      <c r="B859" t="s">
        <v>1718</v>
      </c>
      <c r="C859" t="s">
        <v>13</v>
      </c>
      <c r="D859">
        <v>0.04</v>
      </c>
      <c r="E859">
        <v>39.479999999999997</v>
      </c>
      <c r="F859">
        <v>1.99</v>
      </c>
      <c r="G859" t="s">
        <v>63</v>
      </c>
      <c r="H859" t="s">
        <v>70</v>
      </c>
      <c r="I859" t="s">
        <v>16</v>
      </c>
      <c r="J859" t="s">
        <v>17</v>
      </c>
      <c r="K859" t="s">
        <v>18</v>
      </c>
      <c r="L859" t="s">
        <v>1233</v>
      </c>
      <c r="M859">
        <v>0.54</v>
      </c>
      <c r="N859" t="s">
        <v>8</v>
      </c>
      <c r="O859" t="s">
        <v>9</v>
      </c>
      <c r="P859" t="s">
        <v>99</v>
      </c>
      <c r="Q859" t="s">
        <v>1719</v>
      </c>
      <c r="R859">
        <v>32303</v>
      </c>
      <c r="S859" s="1">
        <v>42082</v>
      </c>
      <c r="T859" s="1">
        <v>42082</v>
      </c>
      <c r="U859">
        <v>-1535.4864</v>
      </c>
      <c r="V859">
        <v>8</v>
      </c>
      <c r="W859">
        <v>332.16</v>
      </c>
      <c r="X859">
        <v>90814</v>
      </c>
      <c r="Y859">
        <f>cleaneddata[[#This Row],[Unit Price]]-cleaneddata[[#This Row],[Discount]]</f>
        <v>39.44</v>
      </c>
      <c r="Z85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60" spans="1:26" x14ac:dyDescent="0.3">
      <c r="A860">
        <v>3222</v>
      </c>
      <c r="B860" t="s">
        <v>1718</v>
      </c>
      <c r="C860" t="s">
        <v>13</v>
      </c>
      <c r="D860">
        <v>0</v>
      </c>
      <c r="E860">
        <v>8.1199999999999992</v>
      </c>
      <c r="F860">
        <v>2.83</v>
      </c>
      <c r="G860" t="s">
        <v>14</v>
      </c>
      <c r="H860" t="s">
        <v>70</v>
      </c>
      <c r="I860" t="s">
        <v>16</v>
      </c>
      <c r="J860" t="s">
        <v>17</v>
      </c>
      <c r="K860" t="s">
        <v>18</v>
      </c>
      <c r="L860" t="s">
        <v>1674</v>
      </c>
      <c r="M860">
        <v>0.77</v>
      </c>
      <c r="N860" t="s">
        <v>8</v>
      </c>
      <c r="O860" t="s">
        <v>9</v>
      </c>
      <c r="P860" t="s">
        <v>99</v>
      </c>
      <c r="Q860" t="s">
        <v>1719</v>
      </c>
      <c r="R860">
        <v>32303</v>
      </c>
      <c r="S860" s="1">
        <v>42082</v>
      </c>
      <c r="T860" s="1">
        <v>42083</v>
      </c>
      <c r="U860">
        <v>-159.32</v>
      </c>
      <c r="V860">
        <v>17</v>
      </c>
      <c r="W860">
        <v>147.62</v>
      </c>
      <c r="X860">
        <v>90814</v>
      </c>
      <c r="Y860">
        <f>cleaneddata[[#This Row],[Unit Price]]-cleaneddata[[#This Row],[Discount]]</f>
        <v>8.1199999999999992</v>
      </c>
      <c r="Z86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61" spans="1:26" x14ac:dyDescent="0.3">
      <c r="A861">
        <v>1852</v>
      </c>
      <c r="B861" t="s">
        <v>1720</v>
      </c>
      <c r="C861" t="s">
        <v>46</v>
      </c>
      <c r="D861">
        <v>0.06</v>
      </c>
      <c r="E861">
        <v>6.48</v>
      </c>
      <c r="F861">
        <v>5.14</v>
      </c>
      <c r="G861" t="s">
        <v>63</v>
      </c>
      <c r="H861" t="s">
        <v>47</v>
      </c>
      <c r="I861" t="s">
        <v>24</v>
      </c>
      <c r="J861" t="s">
        <v>64</v>
      </c>
      <c r="K861" t="s">
        <v>49</v>
      </c>
      <c r="L861" t="s">
        <v>1721</v>
      </c>
      <c r="M861">
        <v>0.37</v>
      </c>
      <c r="N861" t="s">
        <v>8</v>
      </c>
      <c r="O861" t="s">
        <v>35</v>
      </c>
      <c r="P861" t="s">
        <v>66</v>
      </c>
      <c r="Q861" t="s">
        <v>1722</v>
      </c>
      <c r="R861">
        <v>92008</v>
      </c>
      <c r="S861" s="1">
        <v>42082</v>
      </c>
      <c r="T861" s="1">
        <v>42084</v>
      </c>
      <c r="U861">
        <v>-28.45</v>
      </c>
      <c r="V861">
        <v>10</v>
      </c>
      <c r="W861">
        <v>68.34</v>
      </c>
      <c r="X861">
        <v>86847</v>
      </c>
      <c r="Y861">
        <f>cleaneddata[[#This Row],[Unit Price]]-cleaneddata[[#This Row],[Discount]]</f>
        <v>6.4200000000000008</v>
      </c>
      <c r="Z8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62" spans="1:26" x14ac:dyDescent="0.3">
      <c r="A862">
        <v>1854</v>
      </c>
      <c r="B862" t="s">
        <v>1723</v>
      </c>
      <c r="C862" t="s">
        <v>46</v>
      </c>
      <c r="D862">
        <v>0.02</v>
      </c>
      <c r="E862">
        <v>30.73</v>
      </c>
      <c r="F862">
        <v>4</v>
      </c>
      <c r="G862" t="s">
        <v>14</v>
      </c>
      <c r="H862" t="s">
        <v>47</v>
      </c>
      <c r="I862" t="s">
        <v>16</v>
      </c>
      <c r="J862" t="s">
        <v>17</v>
      </c>
      <c r="K862" t="s">
        <v>49</v>
      </c>
      <c r="L862" t="s">
        <v>650</v>
      </c>
      <c r="M862">
        <v>0.75</v>
      </c>
      <c r="N862" t="s">
        <v>8</v>
      </c>
      <c r="O862" t="s">
        <v>87</v>
      </c>
      <c r="P862" t="s">
        <v>224</v>
      </c>
      <c r="Q862" t="s">
        <v>1724</v>
      </c>
      <c r="R862">
        <v>6478</v>
      </c>
      <c r="S862" s="1">
        <v>42082</v>
      </c>
      <c r="T862" s="1">
        <v>42085</v>
      </c>
      <c r="U862">
        <v>72.78</v>
      </c>
      <c r="V862">
        <v>16</v>
      </c>
      <c r="W862">
        <v>522.22</v>
      </c>
      <c r="X862">
        <v>86847</v>
      </c>
      <c r="Y862">
        <f>cleaneddata[[#This Row],[Unit Price]]-cleaneddata[[#This Row],[Discount]]</f>
        <v>30.71</v>
      </c>
      <c r="Z86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63" spans="1:26" x14ac:dyDescent="0.3">
      <c r="A863">
        <v>2639</v>
      </c>
      <c r="B863" t="s">
        <v>1725</v>
      </c>
      <c r="C863" t="s">
        <v>46</v>
      </c>
      <c r="D863">
        <v>0.05</v>
      </c>
      <c r="E863">
        <v>4.9800000000000004</v>
      </c>
      <c r="F863">
        <v>0.49</v>
      </c>
      <c r="G863" t="s">
        <v>14</v>
      </c>
      <c r="H863" t="s">
        <v>15</v>
      </c>
      <c r="I863" t="s">
        <v>24</v>
      </c>
      <c r="J863" t="s">
        <v>128</v>
      </c>
      <c r="K863" t="s">
        <v>49</v>
      </c>
      <c r="L863" t="s">
        <v>1079</v>
      </c>
      <c r="M863">
        <v>0.39</v>
      </c>
      <c r="N863" t="s">
        <v>8</v>
      </c>
      <c r="O863" t="s">
        <v>35</v>
      </c>
      <c r="P863" t="s">
        <v>616</v>
      </c>
      <c r="Q863" t="s">
        <v>171</v>
      </c>
      <c r="R863">
        <v>88201</v>
      </c>
      <c r="S863" s="1">
        <v>42082</v>
      </c>
      <c r="T863" s="1">
        <v>42082</v>
      </c>
      <c r="U863">
        <v>3.84</v>
      </c>
      <c r="V863">
        <v>3</v>
      </c>
      <c r="W863">
        <v>14.2</v>
      </c>
      <c r="X863">
        <v>90952</v>
      </c>
      <c r="Y863">
        <f>cleaneddata[[#This Row],[Unit Price]]-cleaneddata[[#This Row],[Discount]]</f>
        <v>4.9300000000000006</v>
      </c>
      <c r="Z8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64" spans="1:26" x14ac:dyDescent="0.3">
      <c r="A864">
        <v>3105</v>
      </c>
      <c r="B864" t="s">
        <v>1726</v>
      </c>
      <c r="C864" t="s">
        <v>1</v>
      </c>
      <c r="D864">
        <v>0.04</v>
      </c>
      <c r="E864">
        <v>3.08</v>
      </c>
      <c r="F864">
        <v>0.99</v>
      </c>
      <c r="G864" t="s">
        <v>14</v>
      </c>
      <c r="H864" t="s">
        <v>47</v>
      </c>
      <c r="I864" t="s">
        <v>24</v>
      </c>
      <c r="J864" t="s">
        <v>128</v>
      </c>
      <c r="K864" t="s">
        <v>49</v>
      </c>
      <c r="L864" t="s">
        <v>634</v>
      </c>
      <c r="M864">
        <v>0.37</v>
      </c>
      <c r="N864" t="s">
        <v>8</v>
      </c>
      <c r="O864" t="s">
        <v>9</v>
      </c>
      <c r="P864" t="s">
        <v>364</v>
      </c>
      <c r="Q864" t="s">
        <v>925</v>
      </c>
      <c r="R864">
        <v>42071</v>
      </c>
      <c r="S864" s="1">
        <v>42083</v>
      </c>
      <c r="T864" s="1">
        <v>42084</v>
      </c>
      <c r="U864">
        <v>13.8</v>
      </c>
      <c r="V864">
        <v>19</v>
      </c>
      <c r="W864">
        <v>60.01</v>
      </c>
      <c r="X864">
        <v>86327</v>
      </c>
      <c r="Y864">
        <f>cleaneddata[[#This Row],[Unit Price]]-cleaneddata[[#This Row],[Discount]]</f>
        <v>3.04</v>
      </c>
      <c r="Z86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65" spans="1:26" x14ac:dyDescent="0.3">
      <c r="A865">
        <v>3105</v>
      </c>
      <c r="B865" t="s">
        <v>1726</v>
      </c>
      <c r="C865" t="s">
        <v>1</v>
      </c>
      <c r="D865">
        <v>0.02</v>
      </c>
      <c r="E865">
        <v>6.48</v>
      </c>
      <c r="F865">
        <v>5.9</v>
      </c>
      <c r="G865" t="s">
        <v>14</v>
      </c>
      <c r="H865" t="s">
        <v>47</v>
      </c>
      <c r="I865" t="s">
        <v>24</v>
      </c>
      <c r="J865" t="s">
        <v>64</v>
      </c>
      <c r="K865" t="s">
        <v>49</v>
      </c>
      <c r="L865" t="s">
        <v>1727</v>
      </c>
      <c r="M865">
        <v>0.37</v>
      </c>
      <c r="N865" t="s">
        <v>8</v>
      </c>
      <c r="O865" t="s">
        <v>9</v>
      </c>
      <c r="P865" t="s">
        <v>364</v>
      </c>
      <c r="Q865" t="s">
        <v>925</v>
      </c>
      <c r="R865">
        <v>42071</v>
      </c>
      <c r="S865" s="1">
        <v>42083</v>
      </c>
      <c r="T865" s="1">
        <v>42084</v>
      </c>
      <c r="U865">
        <v>4.3920000000000003</v>
      </c>
      <c r="V865">
        <v>13</v>
      </c>
      <c r="W865">
        <v>90.98</v>
      </c>
      <c r="X865">
        <v>86327</v>
      </c>
      <c r="Y865">
        <f>cleaneddata[[#This Row],[Unit Price]]-cleaneddata[[#This Row],[Discount]]</f>
        <v>6.4600000000000009</v>
      </c>
      <c r="Z86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66" spans="1:26" x14ac:dyDescent="0.3">
      <c r="A866">
        <v>3105</v>
      </c>
      <c r="B866" t="s">
        <v>1726</v>
      </c>
      <c r="C866" t="s">
        <v>1</v>
      </c>
      <c r="D866">
        <v>0.04</v>
      </c>
      <c r="E866">
        <v>125.99</v>
      </c>
      <c r="F866">
        <v>4.2</v>
      </c>
      <c r="G866" t="s">
        <v>14</v>
      </c>
      <c r="H866" t="s">
        <v>47</v>
      </c>
      <c r="I866" t="s">
        <v>16</v>
      </c>
      <c r="J866" t="s">
        <v>111</v>
      </c>
      <c r="K866" t="s">
        <v>49</v>
      </c>
      <c r="L866" t="s">
        <v>1402</v>
      </c>
      <c r="M866">
        <v>0.59</v>
      </c>
      <c r="N866" t="s">
        <v>8</v>
      </c>
      <c r="O866" t="s">
        <v>9</v>
      </c>
      <c r="P866" t="s">
        <v>364</v>
      </c>
      <c r="Q866" t="s">
        <v>925</v>
      </c>
      <c r="R866">
        <v>42071</v>
      </c>
      <c r="S866" s="1">
        <v>42083</v>
      </c>
      <c r="T866" s="1">
        <v>42085</v>
      </c>
      <c r="U866">
        <v>-236.25</v>
      </c>
      <c r="V866">
        <v>12</v>
      </c>
      <c r="W866">
        <v>1270.7</v>
      </c>
      <c r="X866">
        <v>86327</v>
      </c>
      <c r="Y866">
        <f>cleaneddata[[#This Row],[Unit Price]]-cleaneddata[[#This Row],[Discount]]</f>
        <v>125.94999999999999</v>
      </c>
      <c r="Z8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67" spans="1:26" x14ac:dyDescent="0.3">
      <c r="A867">
        <v>3106</v>
      </c>
      <c r="B867" t="s">
        <v>1728</v>
      </c>
      <c r="C867" t="s">
        <v>1</v>
      </c>
      <c r="D867">
        <v>0.04</v>
      </c>
      <c r="E867">
        <v>3.08</v>
      </c>
      <c r="F867">
        <v>0.99</v>
      </c>
      <c r="G867" t="s">
        <v>14</v>
      </c>
      <c r="H867" t="s">
        <v>47</v>
      </c>
      <c r="I867" t="s">
        <v>24</v>
      </c>
      <c r="J867" t="s">
        <v>128</v>
      </c>
      <c r="K867" t="s">
        <v>49</v>
      </c>
      <c r="L867" t="s">
        <v>634</v>
      </c>
      <c r="M867">
        <v>0.37</v>
      </c>
      <c r="N867" t="s">
        <v>8</v>
      </c>
      <c r="O867" t="s">
        <v>28</v>
      </c>
      <c r="P867" t="s">
        <v>163</v>
      </c>
      <c r="Q867" t="s">
        <v>1729</v>
      </c>
      <c r="R867">
        <v>77041</v>
      </c>
      <c r="S867" s="1">
        <v>42083</v>
      </c>
      <c r="T867" s="1">
        <v>42084</v>
      </c>
      <c r="U867">
        <v>36.020000000000003</v>
      </c>
      <c r="V867">
        <v>75</v>
      </c>
      <c r="W867">
        <v>236.87</v>
      </c>
      <c r="X867">
        <v>548</v>
      </c>
      <c r="Y867">
        <f>cleaneddata[[#This Row],[Unit Price]]-cleaneddata[[#This Row],[Discount]]</f>
        <v>3.04</v>
      </c>
      <c r="Z86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68" spans="1:26" x14ac:dyDescent="0.3">
      <c r="A868">
        <v>3106</v>
      </c>
      <c r="B868" t="s">
        <v>1728</v>
      </c>
      <c r="C868" t="s">
        <v>1</v>
      </c>
      <c r="D868">
        <v>0.02</v>
      </c>
      <c r="E868">
        <v>6.48</v>
      </c>
      <c r="F868">
        <v>5.9</v>
      </c>
      <c r="G868" t="s">
        <v>14</v>
      </c>
      <c r="H868" t="s">
        <v>47</v>
      </c>
      <c r="I868" t="s">
        <v>24</v>
      </c>
      <c r="J868" t="s">
        <v>64</v>
      </c>
      <c r="K868" t="s">
        <v>49</v>
      </c>
      <c r="L868" t="s">
        <v>1727</v>
      </c>
      <c r="M868">
        <v>0.37</v>
      </c>
      <c r="N868" t="s">
        <v>8</v>
      </c>
      <c r="O868" t="s">
        <v>28</v>
      </c>
      <c r="P868" t="s">
        <v>163</v>
      </c>
      <c r="Q868" t="s">
        <v>1729</v>
      </c>
      <c r="R868">
        <v>77041</v>
      </c>
      <c r="S868" s="1">
        <v>42083</v>
      </c>
      <c r="T868" s="1">
        <v>42084</v>
      </c>
      <c r="U868">
        <v>-50.64</v>
      </c>
      <c r="V868">
        <v>53</v>
      </c>
      <c r="W868">
        <v>370.91</v>
      </c>
      <c r="X868">
        <v>548</v>
      </c>
      <c r="Y868">
        <f>cleaneddata[[#This Row],[Unit Price]]-cleaneddata[[#This Row],[Discount]]</f>
        <v>6.4600000000000009</v>
      </c>
      <c r="Z86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69" spans="1:26" x14ac:dyDescent="0.3">
      <c r="A869">
        <v>3106</v>
      </c>
      <c r="B869" t="s">
        <v>1728</v>
      </c>
      <c r="C869" t="s">
        <v>1</v>
      </c>
      <c r="D869">
        <v>0.04</v>
      </c>
      <c r="E869">
        <v>125.99</v>
      </c>
      <c r="F869">
        <v>4.2</v>
      </c>
      <c r="G869" t="s">
        <v>14</v>
      </c>
      <c r="H869" t="s">
        <v>47</v>
      </c>
      <c r="I869" t="s">
        <v>16</v>
      </c>
      <c r="J869" t="s">
        <v>111</v>
      </c>
      <c r="K869" t="s">
        <v>49</v>
      </c>
      <c r="L869" t="s">
        <v>1402</v>
      </c>
      <c r="M869">
        <v>0.59</v>
      </c>
      <c r="N869" t="s">
        <v>8</v>
      </c>
      <c r="O869" t="s">
        <v>28</v>
      </c>
      <c r="P869" t="s">
        <v>163</v>
      </c>
      <c r="Q869" t="s">
        <v>1729</v>
      </c>
      <c r="R869">
        <v>77041</v>
      </c>
      <c r="S869" s="1">
        <v>42083</v>
      </c>
      <c r="T869" s="1">
        <v>42085</v>
      </c>
      <c r="U869">
        <v>510.48899999999998</v>
      </c>
      <c r="V869">
        <v>47</v>
      </c>
      <c r="W869">
        <v>4976.92</v>
      </c>
      <c r="X869">
        <v>548</v>
      </c>
      <c r="Y869">
        <f>cleaneddata[[#This Row],[Unit Price]]-cleaneddata[[#This Row],[Discount]]</f>
        <v>125.94999999999999</v>
      </c>
      <c r="Z86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0" spans="1:26" x14ac:dyDescent="0.3">
      <c r="A870">
        <v>637</v>
      </c>
      <c r="B870" t="s">
        <v>1730</v>
      </c>
      <c r="C870" t="s">
        <v>23</v>
      </c>
      <c r="D870">
        <v>0.06</v>
      </c>
      <c r="E870">
        <v>160.97999999999999</v>
      </c>
      <c r="F870">
        <v>35.020000000000003</v>
      </c>
      <c r="G870" t="s">
        <v>2</v>
      </c>
      <c r="H870" t="s">
        <v>15</v>
      </c>
      <c r="I870" t="s">
        <v>4</v>
      </c>
      <c r="J870" t="s">
        <v>93</v>
      </c>
      <c r="K870" t="s">
        <v>6</v>
      </c>
      <c r="L870" t="s">
        <v>1731</v>
      </c>
      <c r="M870">
        <v>0.72</v>
      </c>
      <c r="N870" t="s">
        <v>8</v>
      </c>
      <c r="O870" t="s">
        <v>35</v>
      </c>
      <c r="P870" t="s">
        <v>66</v>
      </c>
      <c r="Q870" t="s">
        <v>1732</v>
      </c>
      <c r="R870">
        <v>95051</v>
      </c>
      <c r="S870" s="1">
        <v>42083</v>
      </c>
      <c r="T870" s="1">
        <v>42087</v>
      </c>
      <c r="U870">
        <v>-229.68</v>
      </c>
      <c r="V870">
        <v>8</v>
      </c>
      <c r="W870">
        <v>1232.01</v>
      </c>
      <c r="X870">
        <v>87953</v>
      </c>
      <c r="Y870">
        <f>cleaneddata[[#This Row],[Unit Price]]-cleaneddata[[#This Row],[Discount]]</f>
        <v>160.91999999999999</v>
      </c>
      <c r="Z8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71" spans="1:26" x14ac:dyDescent="0.3">
      <c r="A871">
        <v>640</v>
      </c>
      <c r="B871" t="s">
        <v>1161</v>
      </c>
      <c r="C871" t="s">
        <v>23</v>
      </c>
      <c r="D871">
        <v>0.06</v>
      </c>
      <c r="E871">
        <v>160.97999999999999</v>
      </c>
      <c r="F871">
        <v>35.020000000000003</v>
      </c>
      <c r="G871" t="s">
        <v>2</v>
      </c>
      <c r="H871" t="s">
        <v>15</v>
      </c>
      <c r="I871" t="s">
        <v>4</v>
      </c>
      <c r="J871" t="s">
        <v>93</v>
      </c>
      <c r="K871" t="s">
        <v>6</v>
      </c>
      <c r="L871" t="s">
        <v>1731</v>
      </c>
      <c r="M871">
        <v>0.72</v>
      </c>
      <c r="N871" t="s">
        <v>8</v>
      </c>
      <c r="O871" t="s">
        <v>35</v>
      </c>
      <c r="P871" t="s">
        <v>42</v>
      </c>
      <c r="Q871" t="s">
        <v>118</v>
      </c>
      <c r="R871">
        <v>98119</v>
      </c>
      <c r="S871" s="1">
        <v>42083</v>
      </c>
      <c r="T871" s="1">
        <v>42087</v>
      </c>
      <c r="U871">
        <v>-229.68</v>
      </c>
      <c r="V871">
        <v>30</v>
      </c>
      <c r="W871">
        <v>4620.05</v>
      </c>
      <c r="X871">
        <v>11077</v>
      </c>
      <c r="Y871">
        <f>cleaneddata[[#This Row],[Unit Price]]-cleaneddata[[#This Row],[Discount]]</f>
        <v>160.91999999999999</v>
      </c>
      <c r="Z8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72" spans="1:26" x14ac:dyDescent="0.3">
      <c r="A872">
        <v>314</v>
      </c>
      <c r="B872" t="s">
        <v>1733</v>
      </c>
      <c r="C872" t="s">
        <v>92</v>
      </c>
      <c r="D872">
        <v>0.04</v>
      </c>
      <c r="E872">
        <v>1637.53</v>
      </c>
      <c r="F872">
        <v>24.49</v>
      </c>
      <c r="G872" t="s">
        <v>14</v>
      </c>
      <c r="H872" t="s">
        <v>70</v>
      </c>
      <c r="I872" t="s">
        <v>24</v>
      </c>
      <c r="J872" t="s">
        <v>544</v>
      </c>
      <c r="K872" t="s">
        <v>120</v>
      </c>
      <c r="L872" t="s">
        <v>1734</v>
      </c>
      <c r="M872">
        <v>0.81</v>
      </c>
      <c r="N872" t="s">
        <v>8</v>
      </c>
      <c r="O872" t="s">
        <v>28</v>
      </c>
      <c r="P872" t="s">
        <v>79</v>
      </c>
      <c r="Q872" t="s">
        <v>1735</v>
      </c>
      <c r="R872">
        <v>60130</v>
      </c>
      <c r="S872" s="1">
        <v>42083</v>
      </c>
      <c r="T872" s="1">
        <v>42085</v>
      </c>
      <c r="U872">
        <v>-1759.58</v>
      </c>
      <c r="V872">
        <v>2</v>
      </c>
      <c r="W872">
        <v>3206.94</v>
      </c>
      <c r="X872">
        <v>89166</v>
      </c>
      <c r="Y872">
        <f>cleaneddata[[#This Row],[Unit Price]]-cleaneddata[[#This Row],[Discount]]</f>
        <v>1637.49</v>
      </c>
      <c r="Z8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3" spans="1:26" x14ac:dyDescent="0.3">
      <c r="A873">
        <v>315</v>
      </c>
      <c r="B873" t="s">
        <v>1736</v>
      </c>
      <c r="C873" t="s">
        <v>92</v>
      </c>
      <c r="D873">
        <v>0.01</v>
      </c>
      <c r="E873">
        <v>19.98</v>
      </c>
      <c r="F873">
        <v>4</v>
      </c>
      <c r="G873" t="s">
        <v>14</v>
      </c>
      <c r="H873" t="s">
        <v>70</v>
      </c>
      <c r="I873" t="s">
        <v>16</v>
      </c>
      <c r="J873" t="s">
        <v>17</v>
      </c>
      <c r="K873" t="s">
        <v>49</v>
      </c>
      <c r="L873" t="s">
        <v>1737</v>
      </c>
      <c r="M873">
        <v>0.68</v>
      </c>
      <c r="N873" t="s">
        <v>8</v>
      </c>
      <c r="O873" t="s">
        <v>87</v>
      </c>
      <c r="P873" t="s">
        <v>379</v>
      </c>
      <c r="Q873" t="s">
        <v>1738</v>
      </c>
      <c r="R873">
        <v>1007</v>
      </c>
      <c r="S873" s="1">
        <v>42083</v>
      </c>
      <c r="T873" s="1">
        <v>42083</v>
      </c>
      <c r="U873">
        <v>-72.23</v>
      </c>
      <c r="V873">
        <v>2</v>
      </c>
      <c r="W873">
        <v>43.08</v>
      </c>
      <c r="X873">
        <v>89166</v>
      </c>
      <c r="Y873">
        <f>cleaneddata[[#This Row],[Unit Price]]-cleaneddata[[#This Row],[Discount]]</f>
        <v>19.97</v>
      </c>
      <c r="Z87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74" spans="1:26" x14ac:dyDescent="0.3">
      <c r="A874">
        <v>669</v>
      </c>
      <c r="B874" t="s">
        <v>1739</v>
      </c>
      <c r="C874" t="s">
        <v>92</v>
      </c>
      <c r="D874">
        <v>0.09</v>
      </c>
      <c r="E874">
        <v>2.89</v>
      </c>
      <c r="F874">
        <v>0.5</v>
      </c>
      <c r="G874" t="s">
        <v>14</v>
      </c>
      <c r="H874" t="s">
        <v>47</v>
      </c>
      <c r="I874" t="s">
        <v>24</v>
      </c>
      <c r="J874" t="s">
        <v>128</v>
      </c>
      <c r="K874" t="s">
        <v>49</v>
      </c>
      <c r="L874" t="s">
        <v>705</v>
      </c>
      <c r="M874">
        <v>0.38</v>
      </c>
      <c r="N874" t="s">
        <v>8</v>
      </c>
      <c r="O874" t="s">
        <v>28</v>
      </c>
      <c r="P874" t="s">
        <v>189</v>
      </c>
      <c r="Q874" t="s">
        <v>1740</v>
      </c>
      <c r="R874">
        <v>52501</v>
      </c>
      <c r="S874" s="1">
        <v>42083</v>
      </c>
      <c r="T874" s="1">
        <v>42085</v>
      </c>
      <c r="U874">
        <v>40.482300000000002</v>
      </c>
      <c r="V874">
        <v>22</v>
      </c>
      <c r="W874">
        <v>58.67</v>
      </c>
      <c r="X874">
        <v>88475</v>
      </c>
      <c r="Y874">
        <f>cleaneddata[[#This Row],[Unit Price]]-cleaneddata[[#This Row],[Discount]]</f>
        <v>2.8000000000000003</v>
      </c>
      <c r="Z8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5" spans="1:26" x14ac:dyDescent="0.3">
      <c r="A875">
        <v>669</v>
      </c>
      <c r="B875" t="s">
        <v>1739</v>
      </c>
      <c r="C875" t="s">
        <v>92</v>
      </c>
      <c r="D875">
        <v>0.02</v>
      </c>
      <c r="E875">
        <v>48.91</v>
      </c>
      <c r="F875">
        <v>5.81</v>
      </c>
      <c r="G875" t="s">
        <v>14</v>
      </c>
      <c r="H875" t="s">
        <v>47</v>
      </c>
      <c r="I875" t="s">
        <v>24</v>
      </c>
      <c r="J875" t="s">
        <v>64</v>
      </c>
      <c r="K875" t="s">
        <v>49</v>
      </c>
      <c r="L875" t="s">
        <v>1741</v>
      </c>
      <c r="M875">
        <v>0.38</v>
      </c>
      <c r="N875" t="s">
        <v>8</v>
      </c>
      <c r="O875" t="s">
        <v>28</v>
      </c>
      <c r="P875" t="s">
        <v>189</v>
      </c>
      <c r="Q875" t="s">
        <v>1740</v>
      </c>
      <c r="R875">
        <v>52501</v>
      </c>
      <c r="S875" s="1">
        <v>42083</v>
      </c>
      <c r="T875" s="1">
        <v>42084</v>
      </c>
      <c r="U875">
        <v>32.86</v>
      </c>
      <c r="V875">
        <v>2</v>
      </c>
      <c r="W875">
        <v>101.06</v>
      </c>
      <c r="X875">
        <v>88475</v>
      </c>
      <c r="Y875">
        <f>cleaneddata[[#This Row],[Unit Price]]-cleaneddata[[#This Row],[Discount]]</f>
        <v>48.889999999999993</v>
      </c>
      <c r="Z87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6" spans="1:26" x14ac:dyDescent="0.3">
      <c r="A876">
        <v>1679</v>
      </c>
      <c r="B876" t="s">
        <v>1742</v>
      </c>
      <c r="C876" t="s">
        <v>92</v>
      </c>
      <c r="D876">
        <v>7.0000000000000007E-2</v>
      </c>
      <c r="E876">
        <v>13.73</v>
      </c>
      <c r="F876">
        <v>6.85</v>
      </c>
      <c r="G876" t="s">
        <v>14</v>
      </c>
      <c r="H876" t="s">
        <v>15</v>
      </c>
      <c r="I876" t="s">
        <v>4</v>
      </c>
      <c r="J876" t="s">
        <v>102</v>
      </c>
      <c r="K876" t="s">
        <v>26</v>
      </c>
      <c r="L876" t="s">
        <v>1743</v>
      </c>
      <c r="M876">
        <v>0.54</v>
      </c>
      <c r="N876" t="s">
        <v>8</v>
      </c>
      <c r="O876" t="s">
        <v>87</v>
      </c>
      <c r="P876" t="s">
        <v>293</v>
      </c>
      <c r="Q876" t="s">
        <v>1744</v>
      </c>
      <c r="R876">
        <v>45324</v>
      </c>
      <c r="S876" s="1">
        <v>42083</v>
      </c>
      <c r="T876" s="1">
        <v>42084</v>
      </c>
      <c r="U876">
        <v>-22.72</v>
      </c>
      <c r="V876">
        <v>21</v>
      </c>
      <c r="W876">
        <v>276.64</v>
      </c>
      <c r="X876">
        <v>86646</v>
      </c>
      <c r="Y876">
        <f>cleaneddata[[#This Row],[Unit Price]]-cleaneddata[[#This Row],[Discount]]</f>
        <v>13.66</v>
      </c>
      <c r="Z87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77" spans="1:26" x14ac:dyDescent="0.3">
      <c r="A877">
        <v>2794</v>
      </c>
      <c r="B877" t="s">
        <v>1745</v>
      </c>
      <c r="C877" t="s">
        <v>92</v>
      </c>
      <c r="D877">
        <v>0.06</v>
      </c>
      <c r="E877">
        <v>2.61</v>
      </c>
      <c r="F877">
        <v>0.5</v>
      </c>
      <c r="G877" t="s">
        <v>14</v>
      </c>
      <c r="H877" t="s">
        <v>70</v>
      </c>
      <c r="I877" t="s">
        <v>24</v>
      </c>
      <c r="J877" t="s">
        <v>128</v>
      </c>
      <c r="K877" t="s">
        <v>49</v>
      </c>
      <c r="L877" t="s">
        <v>1545</v>
      </c>
      <c r="M877">
        <v>0.39</v>
      </c>
      <c r="N877" t="s">
        <v>8</v>
      </c>
      <c r="O877" t="s">
        <v>28</v>
      </c>
      <c r="P877" t="s">
        <v>189</v>
      </c>
      <c r="Q877" t="s">
        <v>1746</v>
      </c>
      <c r="R877">
        <v>50158</v>
      </c>
      <c r="S877" s="1">
        <v>42083</v>
      </c>
      <c r="T877" s="1">
        <v>42085</v>
      </c>
      <c r="U877">
        <v>3.5949</v>
      </c>
      <c r="V877">
        <v>2</v>
      </c>
      <c r="W877">
        <v>5.21</v>
      </c>
      <c r="X877">
        <v>87554</v>
      </c>
      <c r="Y877">
        <f>cleaneddata[[#This Row],[Unit Price]]-cleaneddata[[#This Row],[Discount]]</f>
        <v>2.5499999999999998</v>
      </c>
      <c r="Z87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8" spans="1:26" x14ac:dyDescent="0.3">
      <c r="A878">
        <v>3360</v>
      </c>
      <c r="B878" t="s">
        <v>1747</v>
      </c>
      <c r="C878" t="s">
        <v>46</v>
      </c>
      <c r="D878">
        <v>0.02</v>
      </c>
      <c r="E878">
        <v>9.11</v>
      </c>
      <c r="F878">
        <v>2.15</v>
      </c>
      <c r="G878" t="s">
        <v>14</v>
      </c>
      <c r="H878" t="s">
        <v>47</v>
      </c>
      <c r="I878" t="s">
        <v>24</v>
      </c>
      <c r="J878" t="s">
        <v>64</v>
      </c>
      <c r="K878" t="s">
        <v>26</v>
      </c>
      <c r="L878" t="s">
        <v>65</v>
      </c>
      <c r="M878">
        <v>0.4</v>
      </c>
      <c r="N878" t="s">
        <v>8</v>
      </c>
      <c r="O878" t="s">
        <v>28</v>
      </c>
      <c r="P878" t="s">
        <v>333</v>
      </c>
      <c r="Q878" t="s">
        <v>1748</v>
      </c>
      <c r="R878">
        <v>53214</v>
      </c>
      <c r="S878" s="1">
        <v>42083</v>
      </c>
      <c r="T878" s="1">
        <v>42085</v>
      </c>
      <c r="U878">
        <v>18.41</v>
      </c>
      <c r="V878">
        <v>3</v>
      </c>
      <c r="W878">
        <v>27.37</v>
      </c>
      <c r="X878">
        <v>91435</v>
      </c>
      <c r="Y878">
        <f>cleaneddata[[#This Row],[Unit Price]]-cleaneddata[[#This Row],[Discount]]</f>
        <v>9.09</v>
      </c>
      <c r="Z87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79" spans="1:26" x14ac:dyDescent="0.3">
      <c r="A879">
        <v>3361</v>
      </c>
      <c r="B879" t="s">
        <v>786</v>
      </c>
      <c r="C879" t="s">
        <v>46</v>
      </c>
      <c r="D879">
        <v>0.06</v>
      </c>
      <c r="E879">
        <v>12.64</v>
      </c>
      <c r="F879">
        <v>4.9800000000000004</v>
      </c>
      <c r="G879" t="s">
        <v>14</v>
      </c>
      <c r="H879" t="s">
        <v>47</v>
      </c>
      <c r="I879" t="s">
        <v>4</v>
      </c>
      <c r="J879" t="s">
        <v>102</v>
      </c>
      <c r="K879" t="s">
        <v>18</v>
      </c>
      <c r="L879" t="s">
        <v>1749</v>
      </c>
      <c r="M879">
        <v>0.48</v>
      </c>
      <c r="N879" t="s">
        <v>8</v>
      </c>
      <c r="O879" t="s">
        <v>28</v>
      </c>
      <c r="P879" t="s">
        <v>333</v>
      </c>
      <c r="Q879" t="s">
        <v>788</v>
      </c>
      <c r="R879">
        <v>53095</v>
      </c>
      <c r="S879" s="1">
        <v>42083</v>
      </c>
      <c r="T879" s="1">
        <v>42085</v>
      </c>
      <c r="U879">
        <v>65.63</v>
      </c>
      <c r="V879">
        <v>8</v>
      </c>
      <c r="W879">
        <v>98.16</v>
      </c>
      <c r="X879">
        <v>91435</v>
      </c>
      <c r="Y879">
        <f>cleaneddata[[#This Row],[Unit Price]]-cleaneddata[[#This Row],[Discount]]</f>
        <v>12.58</v>
      </c>
      <c r="Z87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80" spans="1:26" x14ac:dyDescent="0.3">
      <c r="A880">
        <v>691</v>
      </c>
      <c r="B880" t="s">
        <v>1750</v>
      </c>
      <c r="C880" t="s">
        <v>13</v>
      </c>
      <c r="D880">
        <v>0.09</v>
      </c>
      <c r="E880">
        <v>6.48</v>
      </c>
      <c r="F880">
        <v>6.35</v>
      </c>
      <c r="G880" t="s">
        <v>14</v>
      </c>
      <c r="H880" t="s">
        <v>47</v>
      </c>
      <c r="I880" t="s">
        <v>24</v>
      </c>
      <c r="J880" t="s">
        <v>64</v>
      </c>
      <c r="K880" t="s">
        <v>49</v>
      </c>
      <c r="L880" t="s">
        <v>1751</v>
      </c>
      <c r="M880">
        <v>0.37</v>
      </c>
      <c r="N880" t="s">
        <v>8</v>
      </c>
      <c r="O880" t="s">
        <v>35</v>
      </c>
      <c r="P880" t="s">
        <v>42</v>
      </c>
      <c r="Q880" t="s">
        <v>1752</v>
      </c>
      <c r="R880">
        <v>98408</v>
      </c>
      <c r="S880" s="1">
        <v>42084</v>
      </c>
      <c r="T880" s="1">
        <v>42085</v>
      </c>
      <c r="U880">
        <v>-88.6</v>
      </c>
      <c r="V880">
        <v>8</v>
      </c>
      <c r="W880">
        <v>49.81</v>
      </c>
      <c r="X880">
        <v>89915</v>
      </c>
      <c r="Y880">
        <f>cleaneddata[[#This Row],[Unit Price]]-cleaneddata[[#This Row],[Discount]]</f>
        <v>6.3900000000000006</v>
      </c>
      <c r="Z88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81" spans="1:26" x14ac:dyDescent="0.3">
      <c r="A881">
        <v>1471</v>
      </c>
      <c r="B881" t="s">
        <v>1753</v>
      </c>
      <c r="C881" t="s">
        <v>13</v>
      </c>
      <c r="D881">
        <v>0.03</v>
      </c>
      <c r="E881">
        <v>420.98</v>
      </c>
      <c r="F881">
        <v>19.989999999999998</v>
      </c>
      <c r="G881" t="s">
        <v>14</v>
      </c>
      <c r="H881" t="s">
        <v>47</v>
      </c>
      <c r="I881" t="s">
        <v>24</v>
      </c>
      <c r="J881" t="s">
        <v>48</v>
      </c>
      <c r="K881" t="s">
        <v>49</v>
      </c>
      <c r="L881" t="s">
        <v>843</v>
      </c>
      <c r="M881">
        <v>0.35</v>
      </c>
      <c r="N881" t="s">
        <v>8</v>
      </c>
      <c r="O881" t="s">
        <v>87</v>
      </c>
      <c r="P881" t="s">
        <v>293</v>
      </c>
      <c r="Q881" t="s">
        <v>1114</v>
      </c>
      <c r="R881">
        <v>43081</v>
      </c>
      <c r="S881" s="1">
        <v>42084</v>
      </c>
      <c r="T881" s="1">
        <v>42085</v>
      </c>
      <c r="U881">
        <v>3043.0311000000002</v>
      </c>
      <c r="V881">
        <v>10</v>
      </c>
      <c r="W881">
        <v>4410.1899999999996</v>
      </c>
      <c r="X881">
        <v>87077</v>
      </c>
      <c r="Y881">
        <f>cleaneddata[[#This Row],[Unit Price]]-cleaneddata[[#This Row],[Discount]]</f>
        <v>420.95000000000005</v>
      </c>
      <c r="Z88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82" spans="1:26" x14ac:dyDescent="0.3">
      <c r="A882">
        <v>2601</v>
      </c>
      <c r="B882" t="s">
        <v>1754</v>
      </c>
      <c r="C882" t="s">
        <v>23</v>
      </c>
      <c r="D882">
        <v>0.05</v>
      </c>
      <c r="E882">
        <v>5.74</v>
      </c>
      <c r="F882">
        <v>5.3</v>
      </c>
      <c r="G882" t="s">
        <v>14</v>
      </c>
      <c r="H882" t="s">
        <v>70</v>
      </c>
      <c r="I882" t="s">
        <v>24</v>
      </c>
      <c r="J882" t="s">
        <v>544</v>
      </c>
      <c r="K882" t="s">
        <v>18</v>
      </c>
      <c r="L882" t="s">
        <v>1755</v>
      </c>
      <c r="M882">
        <v>0.55000000000000004</v>
      </c>
      <c r="N882" t="s">
        <v>8</v>
      </c>
      <c r="O882" t="s">
        <v>87</v>
      </c>
      <c r="P882" t="s">
        <v>1332</v>
      </c>
      <c r="Q882" t="s">
        <v>1756</v>
      </c>
      <c r="R882">
        <v>3054</v>
      </c>
      <c r="S882" s="1">
        <v>42084</v>
      </c>
      <c r="T882" s="1">
        <v>42089</v>
      </c>
      <c r="U882">
        <v>-50.75</v>
      </c>
      <c r="V882">
        <v>7</v>
      </c>
      <c r="W882">
        <v>42.02</v>
      </c>
      <c r="X882">
        <v>87382</v>
      </c>
      <c r="Y882">
        <f>cleaneddata[[#This Row],[Unit Price]]-cleaneddata[[#This Row],[Discount]]</f>
        <v>5.69</v>
      </c>
      <c r="Z88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883" spans="1:26" x14ac:dyDescent="0.3">
      <c r="A883">
        <v>3275</v>
      </c>
      <c r="B883" t="s">
        <v>38</v>
      </c>
      <c r="C883" t="s">
        <v>23</v>
      </c>
      <c r="D883">
        <v>0.02</v>
      </c>
      <c r="E883">
        <v>13.48</v>
      </c>
      <c r="F883">
        <v>4.51</v>
      </c>
      <c r="G883" t="s">
        <v>14</v>
      </c>
      <c r="H883" t="s">
        <v>47</v>
      </c>
      <c r="I883" t="s">
        <v>24</v>
      </c>
      <c r="J883" t="s">
        <v>54</v>
      </c>
      <c r="K883" t="s">
        <v>49</v>
      </c>
      <c r="L883" t="s">
        <v>1757</v>
      </c>
      <c r="M883">
        <v>0.59</v>
      </c>
      <c r="N883" t="s">
        <v>8</v>
      </c>
      <c r="O883" t="s">
        <v>35</v>
      </c>
      <c r="P883" t="s">
        <v>42</v>
      </c>
      <c r="Q883" t="s">
        <v>43</v>
      </c>
      <c r="R883">
        <v>98273</v>
      </c>
      <c r="S883" s="1">
        <v>42084</v>
      </c>
      <c r="T883" s="1">
        <v>42086</v>
      </c>
      <c r="U883">
        <v>34.520000000000003</v>
      </c>
      <c r="V883">
        <v>9</v>
      </c>
      <c r="W883">
        <v>127.12</v>
      </c>
      <c r="X883">
        <v>86233</v>
      </c>
      <c r="Y883">
        <f>cleaneddata[[#This Row],[Unit Price]]-cleaneddata[[#This Row],[Discount]]</f>
        <v>13.46</v>
      </c>
      <c r="Z88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84" spans="1:26" x14ac:dyDescent="0.3">
      <c r="A884">
        <v>247</v>
      </c>
      <c r="B884" t="s">
        <v>1311</v>
      </c>
      <c r="C884" t="s">
        <v>92</v>
      </c>
      <c r="D884">
        <v>0.09</v>
      </c>
      <c r="E884">
        <v>2.88</v>
      </c>
      <c r="F884">
        <v>0.99</v>
      </c>
      <c r="G884" t="s">
        <v>14</v>
      </c>
      <c r="H884" t="s">
        <v>70</v>
      </c>
      <c r="I884" t="s">
        <v>24</v>
      </c>
      <c r="J884" t="s">
        <v>128</v>
      </c>
      <c r="K884" t="s">
        <v>49</v>
      </c>
      <c r="L884" t="s">
        <v>198</v>
      </c>
      <c r="M884">
        <v>0.36</v>
      </c>
      <c r="N884" t="s">
        <v>8</v>
      </c>
      <c r="O884" t="s">
        <v>9</v>
      </c>
      <c r="P884" t="s">
        <v>376</v>
      </c>
      <c r="Q884" t="s">
        <v>1312</v>
      </c>
      <c r="R884">
        <v>37804</v>
      </c>
      <c r="S884" s="1">
        <v>42084</v>
      </c>
      <c r="T884" s="1">
        <v>42086</v>
      </c>
      <c r="U884">
        <v>-145.08199999999999</v>
      </c>
      <c r="V884">
        <v>10</v>
      </c>
      <c r="W884">
        <v>28.73</v>
      </c>
      <c r="X884">
        <v>89140</v>
      </c>
      <c r="Y884">
        <f>cleaneddata[[#This Row],[Unit Price]]-cleaneddata[[#This Row],[Discount]]</f>
        <v>2.79</v>
      </c>
      <c r="Z88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85" spans="1:26" x14ac:dyDescent="0.3">
      <c r="A885">
        <v>1185</v>
      </c>
      <c r="B885" t="s">
        <v>1758</v>
      </c>
      <c r="C885" t="s">
        <v>92</v>
      </c>
      <c r="D885">
        <v>0</v>
      </c>
      <c r="E885">
        <v>6783.02</v>
      </c>
      <c r="F885">
        <v>24.49</v>
      </c>
      <c r="G885" t="s">
        <v>14</v>
      </c>
      <c r="H885" t="s">
        <v>15</v>
      </c>
      <c r="I885" t="s">
        <v>16</v>
      </c>
      <c r="J885" t="s">
        <v>32</v>
      </c>
      <c r="K885" t="s">
        <v>40</v>
      </c>
      <c r="L885" t="s">
        <v>290</v>
      </c>
      <c r="M885">
        <v>0.39</v>
      </c>
      <c r="N885" t="s">
        <v>8</v>
      </c>
      <c r="O885" t="s">
        <v>9</v>
      </c>
      <c r="P885" t="s">
        <v>140</v>
      </c>
      <c r="Q885" t="s">
        <v>334</v>
      </c>
      <c r="R885">
        <v>35756</v>
      </c>
      <c r="S885" s="1">
        <v>42084</v>
      </c>
      <c r="T885" s="1">
        <v>42085</v>
      </c>
      <c r="U885">
        <v>4.1100000000000003</v>
      </c>
      <c r="V885">
        <v>3</v>
      </c>
      <c r="W885">
        <v>20552.55</v>
      </c>
      <c r="X885">
        <v>85938</v>
      </c>
      <c r="Y885">
        <f>cleaneddata[[#This Row],[Unit Price]]-cleaneddata[[#This Row],[Discount]]</f>
        <v>6783.02</v>
      </c>
      <c r="Z88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86" spans="1:26" x14ac:dyDescent="0.3">
      <c r="A886">
        <v>3258</v>
      </c>
      <c r="B886" t="s">
        <v>1759</v>
      </c>
      <c r="C886" t="s">
        <v>46</v>
      </c>
      <c r="D886">
        <v>0.02</v>
      </c>
      <c r="E886">
        <v>55.94</v>
      </c>
      <c r="F886">
        <v>6.55</v>
      </c>
      <c r="G886" t="s">
        <v>14</v>
      </c>
      <c r="H886" t="s">
        <v>15</v>
      </c>
      <c r="I886" t="s">
        <v>16</v>
      </c>
      <c r="J886" t="s">
        <v>17</v>
      </c>
      <c r="K886" t="s">
        <v>49</v>
      </c>
      <c r="L886" t="s">
        <v>1760</v>
      </c>
      <c r="M886">
        <v>0.68</v>
      </c>
      <c r="N886" t="s">
        <v>8</v>
      </c>
      <c r="O886" t="s">
        <v>35</v>
      </c>
      <c r="P886" t="s">
        <v>42</v>
      </c>
      <c r="Q886" t="s">
        <v>1761</v>
      </c>
      <c r="R886">
        <v>98037</v>
      </c>
      <c r="S886" s="1">
        <v>42084</v>
      </c>
      <c r="T886" s="1">
        <v>42086</v>
      </c>
      <c r="U886">
        <v>401.85</v>
      </c>
      <c r="V886">
        <v>11</v>
      </c>
      <c r="W886">
        <v>646.88</v>
      </c>
      <c r="X886">
        <v>88824</v>
      </c>
      <c r="Y886">
        <f>cleaneddata[[#This Row],[Unit Price]]-cleaneddata[[#This Row],[Discount]]</f>
        <v>55.919999999999995</v>
      </c>
      <c r="Z88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87" spans="1:26" x14ac:dyDescent="0.3">
      <c r="A887">
        <v>87</v>
      </c>
      <c r="B887" t="s">
        <v>1762</v>
      </c>
      <c r="C887" t="s">
        <v>13</v>
      </c>
      <c r="D887">
        <v>0.09</v>
      </c>
      <c r="E887">
        <v>4.91</v>
      </c>
      <c r="F887">
        <v>0.5</v>
      </c>
      <c r="G887" t="s">
        <v>14</v>
      </c>
      <c r="H887" t="s">
        <v>70</v>
      </c>
      <c r="I887" t="s">
        <v>24</v>
      </c>
      <c r="J887" t="s">
        <v>128</v>
      </c>
      <c r="K887" t="s">
        <v>49</v>
      </c>
      <c r="L887" t="s">
        <v>949</v>
      </c>
      <c r="M887">
        <v>0.36</v>
      </c>
      <c r="N887" t="s">
        <v>8</v>
      </c>
      <c r="O887" t="s">
        <v>35</v>
      </c>
      <c r="P887" t="s">
        <v>66</v>
      </c>
      <c r="Q887" t="s">
        <v>1763</v>
      </c>
      <c r="R887">
        <v>95687</v>
      </c>
      <c r="S887" s="1">
        <v>42085</v>
      </c>
      <c r="T887" s="1">
        <v>42086</v>
      </c>
      <c r="U887">
        <v>28.855799999999999</v>
      </c>
      <c r="V887">
        <v>9</v>
      </c>
      <c r="W887">
        <v>41.82</v>
      </c>
      <c r="X887">
        <v>90597</v>
      </c>
      <c r="Y887">
        <f>cleaneddata[[#This Row],[Unit Price]]-cleaneddata[[#This Row],[Discount]]</f>
        <v>4.82</v>
      </c>
      <c r="Z88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88" spans="1:26" x14ac:dyDescent="0.3">
      <c r="A888">
        <v>87</v>
      </c>
      <c r="B888" t="s">
        <v>1762</v>
      </c>
      <c r="C888" t="s">
        <v>13</v>
      </c>
      <c r="D888">
        <v>0.01</v>
      </c>
      <c r="E888">
        <v>296.18</v>
      </c>
      <c r="F888">
        <v>54.12</v>
      </c>
      <c r="G888" t="s">
        <v>2</v>
      </c>
      <c r="H888" t="s">
        <v>70</v>
      </c>
      <c r="I888" t="s">
        <v>4</v>
      </c>
      <c r="J888" t="s">
        <v>5</v>
      </c>
      <c r="K888" t="s">
        <v>6</v>
      </c>
      <c r="L888" t="s">
        <v>1055</v>
      </c>
      <c r="M888">
        <v>0.76</v>
      </c>
      <c r="N888" t="s">
        <v>8</v>
      </c>
      <c r="O888" t="s">
        <v>35</v>
      </c>
      <c r="P888" t="s">
        <v>66</v>
      </c>
      <c r="Q888" t="s">
        <v>1763</v>
      </c>
      <c r="R888">
        <v>95687</v>
      </c>
      <c r="S888" s="1">
        <v>42085</v>
      </c>
      <c r="T888" s="1">
        <v>42088</v>
      </c>
      <c r="U888">
        <v>173.48</v>
      </c>
      <c r="V888">
        <v>9</v>
      </c>
      <c r="W888">
        <v>2875.72</v>
      </c>
      <c r="X888">
        <v>90597</v>
      </c>
      <c r="Y888">
        <f>cleaneddata[[#This Row],[Unit Price]]-cleaneddata[[#This Row],[Discount]]</f>
        <v>296.17</v>
      </c>
      <c r="Z88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89" spans="1:26" x14ac:dyDescent="0.3">
      <c r="A889">
        <v>2014</v>
      </c>
      <c r="B889" t="s">
        <v>1764</v>
      </c>
      <c r="C889" t="s">
        <v>13</v>
      </c>
      <c r="D889">
        <v>7.0000000000000007E-2</v>
      </c>
      <c r="E889">
        <v>39.479999999999997</v>
      </c>
      <c r="F889">
        <v>1.99</v>
      </c>
      <c r="G889" t="s">
        <v>14</v>
      </c>
      <c r="H889" t="s">
        <v>47</v>
      </c>
      <c r="I889" t="s">
        <v>16</v>
      </c>
      <c r="J889" t="s">
        <v>17</v>
      </c>
      <c r="K889" t="s">
        <v>18</v>
      </c>
      <c r="L889" t="s">
        <v>1233</v>
      </c>
      <c r="M889">
        <v>0.54</v>
      </c>
      <c r="N889" t="s">
        <v>8</v>
      </c>
      <c r="O889" t="s">
        <v>28</v>
      </c>
      <c r="P889" t="s">
        <v>189</v>
      </c>
      <c r="Q889" t="s">
        <v>1765</v>
      </c>
      <c r="R889">
        <v>51503</v>
      </c>
      <c r="S889" s="1">
        <v>42085</v>
      </c>
      <c r="T889" s="1">
        <v>42087</v>
      </c>
      <c r="U889">
        <v>88.72</v>
      </c>
      <c r="V889">
        <v>4</v>
      </c>
      <c r="W889">
        <v>151.27000000000001</v>
      </c>
      <c r="X889">
        <v>88367</v>
      </c>
      <c r="Y889">
        <f>cleaneddata[[#This Row],[Unit Price]]-cleaneddata[[#This Row],[Discount]]</f>
        <v>39.409999999999997</v>
      </c>
      <c r="Z88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0" spans="1:26" x14ac:dyDescent="0.3">
      <c r="A890">
        <v>2014</v>
      </c>
      <c r="B890" t="s">
        <v>1764</v>
      </c>
      <c r="C890" t="s">
        <v>13</v>
      </c>
      <c r="D890">
        <v>0</v>
      </c>
      <c r="E890">
        <v>4.91</v>
      </c>
      <c r="F890">
        <v>0.5</v>
      </c>
      <c r="G890" t="s">
        <v>14</v>
      </c>
      <c r="H890" t="s">
        <v>47</v>
      </c>
      <c r="I890" t="s">
        <v>24</v>
      </c>
      <c r="J890" t="s">
        <v>128</v>
      </c>
      <c r="K890" t="s">
        <v>49</v>
      </c>
      <c r="L890" t="s">
        <v>949</v>
      </c>
      <c r="M890">
        <v>0.36</v>
      </c>
      <c r="N890" t="s">
        <v>8</v>
      </c>
      <c r="O890" t="s">
        <v>28</v>
      </c>
      <c r="P890" t="s">
        <v>189</v>
      </c>
      <c r="Q890" t="s">
        <v>1765</v>
      </c>
      <c r="R890">
        <v>51503</v>
      </c>
      <c r="S890" s="1">
        <v>42085</v>
      </c>
      <c r="T890" s="1">
        <v>42087</v>
      </c>
      <c r="U890">
        <v>7.2519</v>
      </c>
      <c r="V890">
        <v>2</v>
      </c>
      <c r="W890">
        <v>10.51</v>
      </c>
      <c r="X890">
        <v>88367</v>
      </c>
      <c r="Y890">
        <f>cleaneddata[[#This Row],[Unit Price]]-cleaneddata[[#This Row],[Discount]]</f>
        <v>4.91</v>
      </c>
      <c r="Z89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1" spans="1:26" x14ac:dyDescent="0.3">
      <c r="A891">
        <v>949</v>
      </c>
      <c r="B891" t="s">
        <v>75</v>
      </c>
      <c r="C891" t="s">
        <v>23</v>
      </c>
      <c r="D891">
        <v>0.02</v>
      </c>
      <c r="E891">
        <v>48.04</v>
      </c>
      <c r="F891">
        <v>5.09</v>
      </c>
      <c r="G891" t="s">
        <v>14</v>
      </c>
      <c r="H891" t="s">
        <v>15</v>
      </c>
      <c r="I891" t="s">
        <v>24</v>
      </c>
      <c r="J891" t="s">
        <v>64</v>
      </c>
      <c r="K891" t="s">
        <v>49</v>
      </c>
      <c r="L891" t="s">
        <v>438</v>
      </c>
      <c r="M891">
        <v>0.37</v>
      </c>
      <c r="N891" t="s">
        <v>8</v>
      </c>
      <c r="O891" t="s">
        <v>35</v>
      </c>
      <c r="P891" t="s">
        <v>66</v>
      </c>
      <c r="Q891" t="s">
        <v>76</v>
      </c>
      <c r="R891">
        <v>90049</v>
      </c>
      <c r="S891" s="1">
        <v>42085</v>
      </c>
      <c r="T891" s="1">
        <v>42089</v>
      </c>
      <c r="U891">
        <v>373.67</v>
      </c>
      <c r="V891">
        <v>18</v>
      </c>
      <c r="W891">
        <v>881.32</v>
      </c>
      <c r="X891">
        <v>8257</v>
      </c>
      <c r="Y891">
        <f>cleaneddata[[#This Row],[Unit Price]]-cleaneddata[[#This Row],[Discount]]</f>
        <v>48.019999999999996</v>
      </c>
      <c r="Z89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92" spans="1:26" x14ac:dyDescent="0.3">
      <c r="A892">
        <v>950</v>
      </c>
      <c r="B892" t="s">
        <v>58</v>
      </c>
      <c r="C892" t="s">
        <v>23</v>
      </c>
      <c r="D892">
        <v>0.05</v>
      </c>
      <c r="E892">
        <v>1500.97</v>
      </c>
      <c r="F892">
        <v>29.7</v>
      </c>
      <c r="G892" t="s">
        <v>2</v>
      </c>
      <c r="H892" t="s">
        <v>15</v>
      </c>
      <c r="I892" t="s">
        <v>16</v>
      </c>
      <c r="J892" t="s">
        <v>32</v>
      </c>
      <c r="K892" t="s">
        <v>33</v>
      </c>
      <c r="L892" t="s">
        <v>1766</v>
      </c>
      <c r="M892">
        <v>0.56999999999999995</v>
      </c>
      <c r="N892" t="s">
        <v>8</v>
      </c>
      <c r="O892" t="s">
        <v>28</v>
      </c>
      <c r="P892" t="s">
        <v>60</v>
      </c>
      <c r="Q892" t="s">
        <v>61</v>
      </c>
      <c r="R892">
        <v>55372</v>
      </c>
      <c r="S892" s="1">
        <v>42085</v>
      </c>
      <c r="T892" s="1">
        <v>42085</v>
      </c>
      <c r="U892">
        <v>-2561.3235</v>
      </c>
      <c r="V892">
        <v>1</v>
      </c>
      <c r="W892">
        <v>1497.22</v>
      </c>
      <c r="X892">
        <v>89084</v>
      </c>
      <c r="Y892">
        <f>cleaneddata[[#This Row],[Unit Price]]-cleaneddata[[#This Row],[Discount]]</f>
        <v>1500.92</v>
      </c>
      <c r="Z8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3" spans="1:26" x14ac:dyDescent="0.3">
      <c r="A893">
        <v>950</v>
      </c>
      <c r="B893" t="s">
        <v>58</v>
      </c>
      <c r="C893" t="s">
        <v>23</v>
      </c>
      <c r="D893">
        <v>0.02</v>
      </c>
      <c r="E893">
        <v>48.04</v>
      </c>
      <c r="F893">
        <v>5.09</v>
      </c>
      <c r="G893" t="s">
        <v>14</v>
      </c>
      <c r="H893" t="s">
        <v>15</v>
      </c>
      <c r="I893" t="s">
        <v>24</v>
      </c>
      <c r="J893" t="s">
        <v>64</v>
      </c>
      <c r="K893" t="s">
        <v>49</v>
      </c>
      <c r="L893" t="s">
        <v>438</v>
      </c>
      <c r="M893">
        <v>0.37</v>
      </c>
      <c r="N893" t="s">
        <v>8</v>
      </c>
      <c r="O893" t="s">
        <v>28</v>
      </c>
      <c r="P893" t="s">
        <v>60</v>
      </c>
      <c r="Q893" t="s">
        <v>61</v>
      </c>
      <c r="R893">
        <v>55372</v>
      </c>
      <c r="S893" s="1">
        <v>42085</v>
      </c>
      <c r="T893" s="1">
        <v>42089</v>
      </c>
      <c r="U893">
        <v>168.91890000000001</v>
      </c>
      <c r="V893">
        <v>5</v>
      </c>
      <c r="W893">
        <v>244.81</v>
      </c>
      <c r="X893">
        <v>89084</v>
      </c>
      <c r="Y893">
        <f>cleaneddata[[#This Row],[Unit Price]]-cleaneddata[[#This Row],[Discount]]</f>
        <v>48.019999999999996</v>
      </c>
      <c r="Z8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4" spans="1:26" x14ac:dyDescent="0.3">
      <c r="A894">
        <v>950</v>
      </c>
      <c r="B894" t="s">
        <v>58</v>
      </c>
      <c r="C894" t="s">
        <v>23</v>
      </c>
      <c r="D894">
        <v>0.03</v>
      </c>
      <c r="E894">
        <v>4.28</v>
      </c>
      <c r="F894">
        <v>1.6</v>
      </c>
      <c r="G894" t="s">
        <v>14</v>
      </c>
      <c r="H894" t="s">
        <v>15</v>
      </c>
      <c r="I894" t="s">
        <v>24</v>
      </c>
      <c r="J894" t="s">
        <v>25</v>
      </c>
      <c r="K894" t="s">
        <v>26</v>
      </c>
      <c r="L894" t="s">
        <v>1767</v>
      </c>
      <c r="M894">
        <v>0.57999999999999996</v>
      </c>
      <c r="N894" t="s">
        <v>8</v>
      </c>
      <c r="O894" t="s">
        <v>28</v>
      </c>
      <c r="P894" t="s">
        <v>60</v>
      </c>
      <c r="Q894" t="s">
        <v>61</v>
      </c>
      <c r="R894">
        <v>55372</v>
      </c>
      <c r="S894" s="1">
        <v>42085</v>
      </c>
      <c r="T894" s="1">
        <v>42092</v>
      </c>
      <c r="U894">
        <v>-6.2</v>
      </c>
      <c r="V894">
        <v>1</v>
      </c>
      <c r="W894">
        <v>4.55</v>
      </c>
      <c r="X894">
        <v>89084</v>
      </c>
      <c r="Y894">
        <f>cleaneddata[[#This Row],[Unit Price]]-cleaneddata[[#This Row],[Discount]]</f>
        <v>4.25</v>
      </c>
      <c r="Z8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5" spans="1:26" x14ac:dyDescent="0.3">
      <c r="A895">
        <v>1938</v>
      </c>
      <c r="B895" t="s">
        <v>1768</v>
      </c>
      <c r="C895" t="s">
        <v>92</v>
      </c>
      <c r="D895">
        <v>0.1</v>
      </c>
      <c r="E895">
        <v>152.47999999999999</v>
      </c>
      <c r="F895">
        <v>4</v>
      </c>
      <c r="G895" t="s">
        <v>63</v>
      </c>
      <c r="H895" t="s">
        <v>70</v>
      </c>
      <c r="I895" t="s">
        <v>16</v>
      </c>
      <c r="J895" t="s">
        <v>17</v>
      </c>
      <c r="K895" t="s">
        <v>49</v>
      </c>
      <c r="L895" t="s">
        <v>1769</v>
      </c>
      <c r="M895">
        <v>0.79</v>
      </c>
      <c r="N895" t="s">
        <v>8</v>
      </c>
      <c r="O895" t="s">
        <v>28</v>
      </c>
      <c r="P895" t="s">
        <v>513</v>
      </c>
      <c r="Q895" t="s">
        <v>1770</v>
      </c>
      <c r="R895">
        <v>66801</v>
      </c>
      <c r="S895" s="1">
        <v>42085</v>
      </c>
      <c r="T895" s="1">
        <v>42086</v>
      </c>
      <c r="U895">
        <v>-521.09</v>
      </c>
      <c r="V895">
        <v>4</v>
      </c>
      <c r="W895">
        <v>558.16999999999996</v>
      </c>
      <c r="X895">
        <v>88870</v>
      </c>
      <c r="Y895">
        <f>cleaneddata[[#This Row],[Unit Price]]-cleaneddata[[#This Row],[Discount]]</f>
        <v>152.38</v>
      </c>
      <c r="Z8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6" spans="1:26" x14ac:dyDescent="0.3">
      <c r="A896">
        <v>1940</v>
      </c>
      <c r="B896" t="s">
        <v>1771</v>
      </c>
      <c r="C896" t="s">
        <v>92</v>
      </c>
      <c r="D896">
        <v>0.08</v>
      </c>
      <c r="E896">
        <v>6.84</v>
      </c>
      <c r="F896">
        <v>8.3699999999999992</v>
      </c>
      <c r="G896" t="s">
        <v>14</v>
      </c>
      <c r="H896" t="s">
        <v>70</v>
      </c>
      <c r="I896" t="s">
        <v>24</v>
      </c>
      <c r="J896" t="s">
        <v>544</v>
      </c>
      <c r="K896" t="s">
        <v>18</v>
      </c>
      <c r="L896" t="s">
        <v>712</v>
      </c>
      <c r="M896">
        <v>0.57999999999999996</v>
      </c>
      <c r="N896" t="s">
        <v>8</v>
      </c>
      <c r="O896" t="s">
        <v>35</v>
      </c>
      <c r="P896" t="s">
        <v>122</v>
      </c>
      <c r="Q896" t="s">
        <v>123</v>
      </c>
      <c r="R896">
        <v>84020</v>
      </c>
      <c r="S896" s="1">
        <v>42085</v>
      </c>
      <c r="T896" s="1">
        <v>42087</v>
      </c>
      <c r="U896">
        <v>-29.49</v>
      </c>
      <c r="V896">
        <v>1</v>
      </c>
      <c r="W896">
        <v>8.39</v>
      </c>
      <c r="X896">
        <v>88870</v>
      </c>
      <c r="Y896">
        <f>cleaneddata[[#This Row],[Unit Price]]-cleaneddata[[#This Row],[Discount]]</f>
        <v>6.76</v>
      </c>
      <c r="Z89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897" spans="1:26" x14ac:dyDescent="0.3">
      <c r="A897">
        <v>959</v>
      </c>
      <c r="B897" t="s">
        <v>1772</v>
      </c>
      <c r="C897" t="s">
        <v>46</v>
      </c>
      <c r="D897">
        <v>0.01</v>
      </c>
      <c r="E897">
        <v>145.44999999999999</v>
      </c>
      <c r="F897">
        <v>17.850000000000001</v>
      </c>
      <c r="G897" t="s">
        <v>2</v>
      </c>
      <c r="H897" t="s">
        <v>70</v>
      </c>
      <c r="I897" t="s">
        <v>16</v>
      </c>
      <c r="J897" t="s">
        <v>32</v>
      </c>
      <c r="K897" t="s">
        <v>33</v>
      </c>
      <c r="L897" t="s">
        <v>186</v>
      </c>
      <c r="M897">
        <v>0.56000000000000005</v>
      </c>
      <c r="N897" t="s">
        <v>8</v>
      </c>
      <c r="O897" t="s">
        <v>28</v>
      </c>
      <c r="P897" t="s">
        <v>163</v>
      </c>
      <c r="Q897" t="s">
        <v>173</v>
      </c>
      <c r="R897">
        <v>76028</v>
      </c>
      <c r="S897" s="1">
        <v>42085</v>
      </c>
      <c r="T897" s="1">
        <v>42086</v>
      </c>
      <c r="U897">
        <v>837.6807</v>
      </c>
      <c r="V897">
        <v>8</v>
      </c>
      <c r="W897">
        <v>1214.03</v>
      </c>
      <c r="X897">
        <v>91581</v>
      </c>
      <c r="Y897">
        <f>cleaneddata[[#This Row],[Unit Price]]-cleaneddata[[#This Row],[Discount]]</f>
        <v>145.44</v>
      </c>
      <c r="Z89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898" spans="1:26" x14ac:dyDescent="0.3">
      <c r="A898">
        <v>1553</v>
      </c>
      <c r="B898" t="s">
        <v>1773</v>
      </c>
      <c r="C898" t="s">
        <v>46</v>
      </c>
      <c r="D898">
        <v>0.03</v>
      </c>
      <c r="E898">
        <v>12.28</v>
      </c>
      <c r="F898">
        <v>6.35</v>
      </c>
      <c r="G898" t="s">
        <v>14</v>
      </c>
      <c r="H898" t="s">
        <v>3</v>
      </c>
      <c r="I898" t="s">
        <v>24</v>
      </c>
      <c r="J898" t="s">
        <v>64</v>
      </c>
      <c r="K898" t="s">
        <v>49</v>
      </c>
      <c r="L898" t="s">
        <v>1709</v>
      </c>
      <c r="M898">
        <v>0.38</v>
      </c>
      <c r="N898" t="s">
        <v>8</v>
      </c>
      <c r="O898" t="s">
        <v>9</v>
      </c>
      <c r="P898" t="s">
        <v>10</v>
      </c>
      <c r="Q898" t="s">
        <v>1003</v>
      </c>
      <c r="R898">
        <v>38701</v>
      </c>
      <c r="S898" s="1">
        <v>42085</v>
      </c>
      <c r="T898" s="1">
        <v>42087</v>
      </c>
      <c r="U898">
        <v>68.676000000000002</v>
      </c>
      <c r="V898">
        <v>7</v>
      </c>
      <c r="W898">
        <v>87.53</v>
      </c>
      <c r="X898">
        <v>87484</v>
      </c>
      <c r="Y898">
        <f>cleaneddata[[#This Row],[Unit Price]]-cleaneddata[[#This Row],[Discount]]</f>
        <v>12.25</v>
      </c>
      <c r="Z8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899" spans="1:26" x14ac:dyDescent="0.3">
      <c r="A899">
        <v>2561</v>
      </c>
      <c r="B899" t="s">
        <v>1774</v>
      </c>
      <c r="C899" t="s">
        <v>46</v>
      </c>
      <c r="D899">
        <v>0.03</v>
      </c>
      <c r="E899">
        <v>160.97999999999999</v>
      </c>
      <c r="F899">
        <v>30</v>
      </c>
      <c r="G899" t="s">
        <v>2</v>
      </c>
      <c r="H899" t="s">
        <v>15</v>
      </c>
      <c r="I899" t="s">
        <v>4</v>
      </c>
      <c r="J899" t="s">
        <v>85</v>
      </c>
      <c r="K899" t="s">
        <v>33</v>
      </c>
      <c r="L899" t="s">
        <v>868</v>
      </c>
      <c r="M899">
        <v>0.62</v>
      </c>
      <c r="N899" t="s">
        <v>8</v>
      </c>
      <c r="O899" t="s">
        <v>87</v>
      </c>
      <c r="P899" t="s">
        <v>88</v>
      </c>
      <c r="Q899" t="s">
        <v>1775</v>
      </c>
      <c r="R899">
        <v>10562</v>
      </c>
      <c r="S899" s="1">
        <v>42085</v>
      </c>
      <c r="T899" s="1">
        <v>42088</v>
      </c>
      <c r="U899">
        <v>1261.4718</v>
      </c>
      <c r="V899">
        <v>11</v>
      </c>
      <c r="W899">
        <v>1828.22</v>
      </c>
      <c r="X899">
        <v>86465</v>
      </c>
      <c r="Y899">
        <f>cleaneddata[[#This Row],[Unit Price]]-cleaneddata[[#This Row],[Discount]]</f>
        <v>160.94999999999999</v>
      </c>
      <c r="Z8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00" spans="1:26" x14ac:dyDescent="0.3">
      <c r="A900">
        <v>1976</v>
      </c>
      <c r="B900" t="s">
        <v>353</v>
      </c>
      <c r="C900" t="s">
        <v>1</v>
      </c>
      <c r="D900">
        <v>0.06</v>
      </c>
      <c r="E900">
        <v>40.99</v>
      </c>
      <c r="F900">
        <v>17.48</v>
      </c>
      <c r="G900" t="s">
        <v>14</v>
      </c>
      <c r="H900" t="s">
        <v>15</v>
      </c>
      <c r="I900" t="s">
        <v>24</v>
      </c>
      <c r="J900" t="s">
        <v>64</v>
      </c>
      <c r="K900" t="s">
        <v>49</v>
      </c>
      <c r="L900" t="s">
        <v>1374</v>
      </c>
      <c r="M900">
        <v>0.36</v>
      </c>
      <c r="N900" t="s">
        <v>8</v>
      </c>
      <c r="O900" t="s">
        <v>28</v>
      </c>
      <c r="P900" t="s">
        <v>265</v>
      </c>
      <c r="Q900" t="s">
        <v>355</v>
      </c>
      <c r="R900">
        <v>48823</v>
      </c>
      <c r="S900" s="1">
        <v>42086</v>
      </c>
      <c r="T900" s="1">
        <v>42088</v>
      </c>
      <c r="U900">
        <v>214.23</v>
      </c>
      <c r="V900">
        <v>14</v>
      </c>
      <c r="W900">
        <v>585.08000000000004</v>
      </c>
      <c r="X900">
        <v>89041</v>
      </c>
      <c r="Y900">
        <f>cleaneddata[[#This Row],[Unit Price]]-cleaneddata[[#This Row],[Discount]]</f>
        <v>40.93</v>
      </c>
      <c r="Z9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01" spans="1:26" x14ac:dyDescent="0.3">
      <c r="A901">
        <v>2618</v>
      </c>
      <c r="B901" t="s">
        <v>583</v>
      </c>
      <c r="C901" t="s">
        <v>1</v>
      </c>
      <c r="D901">
        <v>0.1</v>
      </c>
      <c r="E901">
        <v>20.27</v>
      </c>
      <c r="F901">
        <v>3.99</v>
      </c>
      <c r="G901" t="s">
        <v>14</v>
      </c>
      <c r="H901" t="s">
        <v>70</v>
      </c>
      <c r="I901" t="s">
        <v>24</v>
      </c>
      <c r="J901" t="s">
        <v>71</v>
      </c>
      <c r="K901" t="s">
        <v>49</v>
      </c>
      <c r="L901" t="s">
        <v>1776</v>
      </c>
      <c r="M901">
        <v>0.56999999999999995</v>
      </c>
      <c r="N901" t="s">
        <v>8</v>
      </c>
      <c r="O901" t="s">
        <v>87</v>
      </c>
      <c r="P901" t="s">
        <v>88</v>
      </c>
      <c r="Q901" t="s">
        <v>89</v>
      </c>
      <c r="R901">
        <v>10004</v>
      </c>
      <c r="S901" s="1">
        <v>42086</v>
      </c>
      <c r="T901" s="1">
        <v>42087</v>
      </c>
      <c r="U901">
        <v>84.05</v>
      </c>
      <c r="V901">
        <v>53</v>
      </c>
      <c r="W901">
        <v>1051.52</v>
      </c>
      <c r="X901">
        <v>53153</v>
      </c>
      <c r="Y901">
        <f>cleaneddata[[#This Row],[Unit Price]]-cleaneddata[[#This Row],[Discount]]</f>
        <v>20.169999999999998</v>
      </c>
      <c r="Z90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02" spans="1:26" x14ac:dyDescent="0.3">
      <c r="A902">
        <v>2620</v>
      </c>
      <c r="B902" t="s">
        <v>1777</v>
      </c>
      <c r="C902" t="s">
        <v>1</v>
      </c>
      <c r="D902">
        <v>0.1</v>
      </c>
      <c r="E902">
        <v>20.27</v>
      </c>
      <c r="F902">
        <v>3.99</v>
      </c>
      <c r="G902" t="s">
        <v>14</v>
      </c>
      <c r="H902" t="s">
        <v>70</v>
      </c>
      <c r="I902" t="s">
        <v>24</v>
      </c>
      <c r="J902" t="s">
        <v>71</v>
      </c>
      <c r="K902" t="s">
        <v>49</v>
      </c>
      <c r="L902" t="s">
        <v>1776</v>
      </c>
      <c r="M902">
        <v>0.56999999999999995</v>
      </c>
      <c r="N902" t="s">
        <v>8</v>
      </c>
      <c r="O902" t="s">
        <v>9</v>
      </c>
      <c r="P902" t="s">
        <v>376</v>
      </c>
      <c r="Q902" t="s">
        <v>1778</v>
      </c>
      <c r="R902">
        <v>38134</v>
      </c>
      <c r="S902" s="1">
        <v>42086</v>
      </c>
      <c r="T902" s="1">
        <v>42087</v>
      </c>
      <c r="U902">
        <v>381.61799999999999</v>
      </c>
      <c r="V902">
        <v>13</v>
      </c>
      <c r="W902">
        <v>257.92</v>
      </c>
      <c r="X902">
        <v>88017</v>
      </c>
      <c r="Y902">
        <f>cleaneddata[[#This Row],[Unit Price]]-cleaneddata[[#This Row],[Discount]]</f>
        <v>20.169999999999998</v>
      </c>
      <c r="Z90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03" spans="1:26" x14ac:dyDescent="0.3">
      <c r="A903">
        <v>2618</v>
      </c>
      <c r="B903" t="s">
        <v>583</v>
      </c>
      <c r="C903" t="s">
        <v>13</v>
      </c>
      <c r="D903">
        <v>0.05</v>
      </c>
      <c r="E903">
        <v>4.84</v>
      </c>
      <c r="F903">
        <v>0.71</v>
      </c>
      <c r="G903" t="s">
        <v>63</v>
      </c>
      <c r="H903" t="s">
        <v>70</v>
      </c>
      <c r="I903" t="s">
        <v>24</v>
      </c>
      <c r="J903" t="s">
        <v>25</v>
      </c>
      <c r="K903" t="s">
        <v>26</v>
      </c>
      <c r="L903" t="s">
        <v>27</v>
      </c>
      <c r="M903">
        <v>0.52</v>
      </c>
      <c r="N903" t="s">
        <v>8</v>
      </c>
      <c r="O903" t="s">
        <v>87</v>
      </c>
      <c r="P903" t="s">
        <v>88</v>
      </c>
      <c r="Q903" t="s">
        <v>89</v>
      </c>
      <c r="R903">
        <v>10004</v>
      </c>
      <c r="S903" s="1">
        <v>42086</v>
      </c>
      <c r="T903" s="1">
        <v>42086</v>
      </c>
      <c r="U903">
        <v>29.17</v>
      </c>
      <c r="V903">
        <v>20</v>
      </c>
      <c r="W903">
        <v>103.39</v>
      </c>
      <c r="X903">
        <v>34017</v>
      </c>
      <c r="Y903">
        <f>cleaneddata[[#This Row],[Unit Price]]-cleaneddata[[#This Row],[Discount]]</f>
        <v>4.79</v>
      </c>
      <c r="Z90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04" spans="1:26" x14ac:dyDescent="0.3">
      <c r="A904">
        <v>2618</v>
      </c>
      <c r="B904" t="s">
        <v>583</v>
      </c>
      <c r="C904" t="s">
        <v>13</v>
      </c>
      <c r="D904">
        <v>0.01</v>
      </c>
      <c r="E904">
        <v>14.98</v>
      </c>
      <c r="F904">
        <v>7.69</v>
      </c>
      <c r="G904" t="s">
        <v>14</v>
      </c>
      <c r="H904" t="s">
        <v>70</v>
      </c>
      <c r="I904" t="s">
        <v>24</v>
      </c>
      <c r="J904" t="s">
        <v>54</v>
      </c>
      <c r="K904" t="s">
        <v>49</v>
      </c>
      <c r="L904" t="s">
        <v>664</v>
      </c>
      <c r="M904">
        <v>0.56999999999999995</v>
      </c>
      <c r="N904" t="s">
        <v>8</v>
      </c>
      <c r="O904" t="s">
        <v>87</v>
      </c>
      <c r="P904" t="s">
        <v>88</v>
      </c>
      <c r="Q904" t="s">
        <v>89</v>
      </c>
      <c r="R904">
        <v>10004</v>
      </c>
      <c r="S904" s="1">
        <v>42086</v>
      </c>
      <c r="T904" s="1">
        <v>42088</v>
      </c>
      <c r="U904">
        <v>-48.97</v>
      </c>
      <c r="V904">
        <v>28</v>
      </c>
      <c r="W904">
        <v>435.39</v>
      </c>
      <c r="X904">
        <v>34017</v>
      </c>
      <c r="Y904">
        <f>cleaneddata[[#This Row],[Unit Price]]-cleaneddata[[#This Row],[Discount]]</f>
        <v>14.97</v>
      </c>
      <c r="Z90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05" spans="1:26" x14ac:dyDescent="0.3">
      <c r="A905">
        <v>2619</v>
      </c>
      <c r="B905" t="s">
        <v>1046</v>
      </c>
      <c r="C905" t="s">
        <v>13</v>
      </c>
      <c r="D905">
        <v>0.05</v>
      </c>
      <c r="E905">
        <v>4.84</v>
      </c>
      <c r="F905">
        <v>0.71</v>
      </c>
      <c r="G905" t="s">
        <v>63</v>
      </c>
      <c r="H905" t="s">
        <v>70</v>
      </c>
      <c r="I905" t="s">
        <v>24</v>
      </c>
      <c r="J905" t="s">
        <v>25</v>
      </c>
      <c r="K905" t="s">
        <v>26</v>
      </c>
      <c r="L905" t="s">
        <v>27</v>
      </c>
      <c r="M905">
        <v>0.52</v>
      </c>
      <c r="N905" t="s">
        <v>8</v>
      </c>
      <c r="O905" t="s">
        <v>28</v>
      </c>
      <c r="P905" t="s">
        <v>1047</v>
      </c>
      <c r="Q905" t="s">
        <v>1048</v>
      </c>
      <c r="R905">
        <v>57103</v>
      </c>
      <c r="S905" s="1">
        <v>42086</v>
      </c>
      <c r="T905" s="1">
        <v>42086</v>
      </c>
      <c r="U905">
        <v>17.836500000000001</v>
      </c>
      <c r="V905">
        <v>5</v>
      </c>
      <c r="W905">
        <v>25.85</v>
      </c>
      <c r="X905">
        <v>88014</v>
      </c>
      <c r="Y905">
        <f>cleaneddata[[#This Row],[Unit Price]]-cleaneddata[[#This Row],[Discount]]</f>
        <v>4.79</v>
      </c>
      <c r="Z9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06" spans="1:26" x14ac:dyDescent="0.3">
      <c r="A906">
        <v>2958</v>
      </c>
      <c r="B906" t="s">
        <v>1779</v>
      </c>
      <c r="C906" t="s">
        <v>23</v>
      </c>
      <c r="D906">
        <v>0.06</v>
      </c>
      <c r="E906">
        <v>20.99</v>
      </c>
      <c r="F906">
        <v>0.99</v>
      </c>
      <c r="G906" t="s">
        <v>14</v>
      </c>
      <c r="H906" t="s">
        <v>70</v>
      </c>
      <c r="I906" t="s">
        <v>16</v>
      </c>
      <c r="J906" t="s">
        <v>111</v>
      </c>
      <c r="K906" t="s">
        <v>26</v>
      </c>
      <c r="L906" t="s">
        <v>1780</v>
      </c>
      <c r="M906">
        <v>0.37</v>
      </c>
      <c r="N906" t="s">
        <v>8</v>
      </c>
      <c r="O906" t="s">
        <v>28</v>
      </c>
      <c r="P906" t="s">
        <v>333</v>
      </c>
      <c r="Q906" t="s">
        <v>1781</v>
      </c>
      <c r="R906">
        <v>54956</v>
      </c>
      <c r="S906" s="1">
        <v>42086</v>
      </c>
      <c r="T906" s="1">
        <v>42091</v>
      </c>
      <c r="U906">
        <v>224.9607</v>
      </c>
      <c r="V906">
        <v>18</v>
      </c>
      <c r="W906">
        <v>326.02999999999997</v>
      </c>
      <c r="X906">
        <v>90265</v>
      </c>
      <c r="Y906">
        <f>cleaneddata[[#This Row],[Unit Price]]-cleaneddata[[#This Row],[Discount]]</f>
        <v>20.93</v>
      </c>
      <c r="Z9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07" spans="1:26" x14ac:dyDescent="0.3">
      <c r="A907">
        <v>1368</v>
      </c>
      <c r="B907" t="s">
        <v>1782</v>
      </c>
      <c r="C907" t="s">
        <v>92</v>
      </c>
      <c r="D907">
        <v>0.09</v>
      </c>
      <c r="E907">
        <v>4.55</v>
      </c>
      <c r="F907">
        <v>1.49</v>
      </c>
      <c r="G907" t="s">
        <v>14</v>
      </c>
      <c r="H907" t="s">
        <v>15</v>
      </c>
      <c r="I907" t="s">
        <v>24</v>
      </c>
      <c r="J907" t="s">
        <v>48</v>
      </c>
      <c r="K907" t="s">
        <v>49</v>
      </c>
      <c r="L907" t="s">
        <v>1479</v>
      </c>
      <c r="M907">
        <v>0.35</v>
      </c>
      <c r="N907" t="s">
        <v>8</v>
      </c>
      <c r="O907" t="s">
        <v>28</v>
      </c>
      <c r="P907" t="s">
        <v>163</v>
      </c>
      <c r="Q907" t="s">
        <v>1783</v>
      </c>
      <c r="R907">
        <v>75901</v>
      </c>
      <c r="S907" s="1">
        <v>42086</v>
      </c>
      <c r="T907" s="1">
        <v>42088</v>
      </c>
      <c r="U907">
        <v>16.898</v>
      </c>
      <c r="V907">
        <v>6</v>
      </c>
      <c r="W907">
        <v>25.45</v>
      </c>
      <c r="X907">
        <v>90514</v>
      </c>
      <c r="Y907">
        <f>cleaneddata[[#This Row],[Unit Price]]-cleaneddata[[#This Row],[Discount]]</f>
        <v>4.46</v>
      </c>
      <c r="Z90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08" spans="1:26" x14ac:dyDescent="0.3">
      <c r="A908">
        <v>1369</v>
      </c>
      <c r="B908" t="s">
        <v>1784</v>
      </c>
      <c r="C908" t="s">
        <v>92</v>
      </c>
      <c r="D908">
        <v>7.0000000000000007E-2</v>
      </c>
      <c r="E908">
        <v>9.7799999999999994</v>
      </c>
      <c r="F908">
        <v>5.76</v>
      </c>
      <c r="G908" t="s">
        <v>63</v>
      </c>
      <c r="H908" t="s">
        <v>15</v>
      </c>
      <c r="I908" t="s">
        <v>24</v>
      </c>
      <c r="J908" t="s">
        <v>321</v>
      </c>
      <c r="K908" t="s">
        <v>49</v>
      </c>
      <c r="L908" t="s">
        <v>1487</v>
      </c>
      <c r="M908">
        <v>0.35</v>
      </c>
      <c r="N908" t="s">
        <v>8</v>
      </c>
      <c r="O908" t="s">
        <v>28</v>
      </c>
      <c r="P908" t="s">
        <v>163</v>
      </c>
      <c r="Q908" t="s">
        <v>1430</v>
      </c>
      <c r="R908">
        <v>76063</v>
      </c>
      <c r="S908" s="1">
        <v>42086</v>
      </c>
      <c r="T908" s="1">
        <v>42088</v>
      </c>
      <c r="U908">
        <v>20.14</v>
      </c>
      <c r="V908">
        <v>11</v>
      </c>
      <c r="W908">
        <v>110.72</v>
      </c>
      <c r="X908">
        <v>90514</v>
      </c>
      <c r="Y908">
        <f>cleaneddata[[#This Row],[Unit Price]]-cleaneddata[[#This Row],[Discount]]</f>
        <v>9.7099999999999991</v>
      </c>
      <c r="Z90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09" spans="1:26" x14ac:dyDescent="0.3">
      <c r="A909">
        <v>2395</v>
      </c>
      <c r="B909" t="s">
        <v>1785</v>
      </c>
      <c r="C909" t="s">
        <v>46</v>
      </c>
      <c r="D909">
        <v>0.04</v>
      </c>
      <c r="E909">
        <v>60.97</v>
      </c>
      <c r="F909">
        <v>4.5</v>
      </c>
      <c r="G909" t="s">
        <v>14</v>
      </c>
      <c r="H909" t="s">
        <v>70</v>
      </c>
      <c r="I909" t="s">
        <v>24</v>
      </c>
      <c r="J909" t="s">
        <v>71</v>
      </c>
      <c r="K909" t="s">
        <v>49</v>
      </c>
      <c r="L909" t="s">
        <v>72</v>
      </c>
      <c r="M909">
        <v>0.56000000000000005</v>
      </c>
      <c r="N909" t="s">
        <v>8</v>
      </c>
      <c r="O909" t="s">
        <v>9</v>
      </c>
      <c r="P909" t="s">
        <v>51</v>
      </c>
      <c r="Q909" t="s">
        <v>1786</v>
      </c>
      <c r="R909">
        <v>31401</v>
      </c>
      <c r="S909" s="1">
        <v>42086</v>
      </c>
      <c r="T909" s="1">
        <v>42087</v>
      </c>
      <c r="U909">
        <v>79.423199999999994</v>
      </c>
      <c r="V909">
        <v>15</v>
      </c>
      <c r="W909">
        <v>904.31</v>
      </c>
      <c r="X909">
        <v>86952</v>
      </c>
      <c r="Y909">
        <f>cleaneddata[[#This Row],[Unit Price]]-cleaneddata[[#This Row],[Discount]]</f>
        <v>60.93</v>
      </c>
      <c r="Z90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10" spans="1:26" x14ac:dyDescent="0.3">
      <c r="A910">
        <v>3381</v>
      </c>
      <c r="B910" t="s">
        <v>1787</v>
      </c>
      <c r="C910" t="s">
        <v>46</v>
      </c>
      <c r="D910">
        <v>0.05</v>
      </c>
      <c r="E910">
        <v>11.97</v>
      </c>
      <c r="F910">
        <v>5.81</v>
      </c>
      <c r="G910" t="s">
        <v>14</v>
      </c>
      <c r="H910" t="s">
        <v>70</v>
      </c>
      <c r="I910" t="s">
        <v>24</v>
      </c>
      <c r="J910" t="s">
        <v>25</v>
      </c>
      <c r="K910" t="s">
        <v>18</v>
      </c>
      <c r="L910" t="s">
        <v>1788</v>
      </c>
      <c r="M910">
        <v>0.6</v>
      </c>
      <c r="N910" t="s">
        <v>8</v>
      </c>
      <c r="O910" t="s">
        <v>9</v>
      </c>
      <c r="P910" t="s">
        <v>51</v>
      </c>
      <c r="Q910" t="s">
        <v>1789</v>
      </c>
      <c r="R910">
        <v>31204</v>
      </c>
      <c r="S910" s="1">
        <v>42086</v>
      </c>
      <c r="T910" s="1">
        <v>42088</v>
      </c>
      <c r="U910">
        <v>349.05930000000001</v>
      </c>
      <c r="V910">
        <v>2</v>
      </c>
      <c r="W910">
        <v>25.31</v>
      </c>
      <c r="X910">
        <v>88836</v>
      </c>
      <c r="Y910">
        <f>cleaneddata[[#This Row],[Unit Price]]-cleaneddata[[#This Row],[Discount]]</f>
        <v>11.92</v>
      </c>
      <c r="Z91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11" spans="1:26" x14ac:dyDescent="0.3">
      <c r="A911">
        <v>618</v>
      </c>
      <c r="B911" t="s">
        <v>1790</v>
      </c>
      <c r="C911" t="s">
        <v>1</v>
      </c>
      <c r="D911">
        <v>0.06</v>
      </c>
      <c r="E911">
        <v>17.98</v>
      </c>
      <c r="F911">
        <v>4</v>
      </c>
      <c r="G911" t="s">
        <v>14</v>
      </c>
      <c r="H911" t="s">
        <v>15</v>
      </c>
      <c r="I911" t="s">
        <v>16</v>
      </c>
      <c r="J911" t="s">
        <v>17</v>
      </c>
      <c r="K911" t="s">
        <v>49</v>
      </c>
      <c r="L911" t="s">
        <v>1633</v>
      </c>
      <c r="M911">
        <v>0.79</v>
      </c>
      <c r="N911" t="s">
        <v>8</v>
      </c>
      <c r="O911" t="s">
        <v>35</v>
      </c>
      <c r="P911" t="s">
        <v>36</v>
      </c>
      <c r="Q911" t="s">
        <v>1791</v>
      </c>
      <c r="R911">
        <v>81007</v>
      </c>
      <c r="S911" s="1">
        <v>42087</v>
      </c>
      <c r="T911" s="1">
        <v>42088</v>
      </c>
      <c r="U911">
        <v>-78.13</v>
      </c>
      <c r="V911">
        <v>4</v>
      </c>
      <c r="W911">
        <v>70.06</v>
      </c>
      <c r="X911">
        <v>88197</v>
      </c>
      <c r="Y911">
        <f>cleaneddata[[#This Row],[Unit Price]]-cleaneddata[[#This Row],[Discount]]</f>
        <v>17.920000000000002</v>
      </c>
      <c r="Z91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12" spans="1:26" x14ac:dyDescent="0.3">
      <c r="A912">
        <v>3309</v>
      </c>
      <c r="B912" t="s">
        <v>1792</v>
      </c>
      <c r="C912" t="s">
        <v>1</v>
      </c>
      <c r="D912">
        <v>0.1</v>
      </c>
      <c r="E912">
        <v>6.64</v>
      </c>
      <c r="F912">
        <v>54.95</v>
      </c>
      <c r="G912" t="s">
        <v>14</v>
      </c>
      <c r="H912" t="s">
        <v>3</v>
      </c>
      <c r="I912" t="s">
        <v>4</v>
      </c>
      <c r="J912" t="s">
        <v>102</v>
      </c>
      <c r="K912" t="s">
        <v>18</v>
      </c>
      <c r="L912" t="s">
        <v>244</v>
      </c>
      <c r="M912">
        <v>0.37</v>
      </c>
      <c r="N912" t="s">
        <v>8</v>
      </c>
      <c r="O912" t="s">
        <v>87</v>
      </c>
      <c r="P912" t="s">
        <v>379</v>
      </c>
      <c r="Q912" t="s">
        <v>1793</v>
      </c>
      <c r="R912">
        <v>1760</v>
      </c>
      <c r="S912" s="1">
        <v>42087</v>
      </c>
      <c r="T912" s="1">
        <v>42089</v>
      </c>
      <c r="U912">
        <v>-25</v>
      </c>
      <c r="V912">
        <v>4</v>
      </c>
      <c r="W912">
        <v>25.31</v>
      </c>
      <c r="X912">
        <v>90460</v>
      </c>
      <c r="Y912">
        <f>cleaneddata[[#This Row],[Unit Price]]-cleaneddata[[#This Row],[Discount]]</f>
        <v>6.54</v>
      </c>
      <c r="Z91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13" spans="1:26" x14ac:dyDescent="0.3">
      <c r="A913">
        <v>3310</v>
      </c>
      <c r="B913" t="s">
        <v>1794</v>
      </c>
      <c r="C913" t="s">
        <v>1</v>
      </c>
      <c r="D913">
        <v>0.05</v>
      </c>
      <c r="E913">
        <v>90.48</v>
      </c>
      <c r="F913">
        <v>19.989999999999998</v>
      </c>
      <c r="G913" t="s">
        <v>14</v>
      </c>
      <c r="H913" t="s">
        <v>3</v>
      </c>
      <c r="I913" t="s">
        <v>24</v>
      </c>
      <c r="J913" t="s">
        <v>321</v>
      </c>
      <c r="K913" t="s">
        <v>49</v>
      </c>
      <c r="L913" t="s">
        <v>478</v>
      </c>
      <c r="M913">
        <v>0.4</v>
      </c>
      <c r="N913" t="s">
        <v>8</v>
      </c>
      <c r="O913" t="s">
        <v>87</v>
      </c>
      <c r="P913" t="s">
        <v>379</v>
      </c>
      <c r="Q913" t="s">
        <v>1795</v>
      </c>
      <c r="R913">
        <v>2563</v>
      </c>
      <c r="S913" s="1">
        <v>42087</v>
      </c>
      <c r="T913" s="1">
        <v>42088</v>
      </c>
      <c r="U913">
        <v>255.1482</v>
      </c>
      <c r="V913">
        <v>4</v>
      </c>
      <c r="W913">
        <v>369.78</v>
      </c>
      <c r="X913">
        <v>90460</v>
      </c>
      <c r="Y913">
        <f>cleaneddata[[#This Row],[Unit Price]]-cleaneddata[[#This Row],[Discount]]</f>
        <v>90.43</v>
      </c>
      <c r="Z91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14" spans="1:26" x14ac:dyDescent="0.3">
      <c r="A914">
        <v>1689</v>
      </c>
      <c r="B914" t="s">
        <v>1796</v>
      </c>
      <c r="C914" t="s">
        <v>13</v>
      </c>
      <c r="D914">
        <v>0</v>
      </c>
      <c r="E914">
        <v>48.91</v>
      </c>
      <c r="F914">
        <v>35</v>
      </c>
      <c r="G914" t="s">
        <v>14</v>
      </c>
      <c r="H914" t="s">
        <v>70</v>
      </c>
      <c r="I914" t="s">
        <v>24</v>
      </c>
      <c r="J914" t="s">
        <v>54</v>
      </c>
      <c r="K914" t="s">
        <v>40</v>
      </c>
      <c r="L914" t="s">
        <v>1797</v>
      </c>
      <c r="M914">
        <v>0.83</v>
      </c>
      <c r="N914" t="s">
        <v>8</v>
      </c>
      <c r="O914" t="s">
        <v>28</v>
      </c>
      <c r="P914" t="s">
        <v>29</v>
      </c>
      <c r="Q914" t="s">
        <v>1798</v>
      </c>
      <c r="R914">
        <v>46322</v>
      </c>
      <c r="S914" s="1">
        <v>42087</v>
      </c>
      <c r="T914" s="1">
        <v>42088</v>
      </c>
      <c r="U914">
        <v>-628.38</v>
      </c>
      <c r="V914">
        <v>10</v>
      </c>
      <c r="W914">
        <v>514.79</v>
      </c>
      <c r="X914">
        <v>91077</v>
      </c>
      <c r="Y914">
        <f>cleaneddata[[#This Row],[Unit Price]]-cleaneddata[[#This Row],[Discount]]</f>
        <v>48.91</v>
      </c>
      <c r="Z91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15" spans="1:26" x14ac:dyDescent="0.3">
      <c r="A915">
        <v>2308</v>
      </c>
      <c r="B915" t="s">
        <v>1799</v>
      </c>
      <c r="C915" t="s">
        <v>23</v>
      </c>
      <c r="D915">
        <v>0.08</v>
      </c>
      <c r="E915">
        <v>9.48</v>
      </c>
      <c r="F915">
        <v>7.29</v>
      </c>
      <c r="G915" t="s">
        <v>14</v>
      </c>
      <c r="H915" t="s">
        <v>3</v>
      </c>
      <c r="I915" t="s">
        <v>4</v>
      </c>
      <c r="J915" t="s">
        <v>102</v>
      </c>
      <c r="K915" t="s">
        <v>18</v>
      </c>
      <c r="L915" t="s">
        <v>480</v>
      </c>
      <c r="M915">
        <v>0.45</v>
      </c>
      <c r="N915" t="s">
        <v>8</v>
      </c>
      <c r="O915" t="s">
        <v>9</v>
      </c>
      <c r="P915" t="s">
        <v>99</v>
      </c>
      <c r="Q915" t="s">
        <v>1800</v>
      </c>
      <c r="R915">
        <v>33971</v>
      </c>
      <c r="S915" s="1">
        <v>42087</v>
      </c>
      <c r="T915" s="1">
        <v>42089</v>
      </c>
      <c r="U915">
        <v>-50.4</v>
      </c>
      <c r="V915">
        <v>2</v>
      </c>
      <c r="W915">
        <v>20.22</v>
      </c>
      <c r="X915">
        <v>90557</v>
      </c>
      <c r="Y915">
        <f>cleaneddata[[#This Row],[Unit Price]]-cleaneddata[[#This Row],[Discount]]</f>
        <v>9.4</v>
      </c>
      <c r="Z91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16" spans="1:26" x14ac:dyDescent="0.3">
      <c r="A916">
        <v>2308</v>
      </c>
      <c r="B916" t="s">
        <v>1799</v>
      </c>
      <c r="C916" t="s">
        <v>23</v>
      </c>
      <c r="D916">
        <v>0.03</v>
      </c>
      <c r="E916">
        <v>193.17</v>
      </c>
      <c r="F916">
        <v>19.989999999999998</v>
      </c>
      <c r="G916" t="s">
        <v>14</v>
      </c>
      <c r="H916" t="s">
        <v>3</v>
      </c>
      <c r="I916" t="s">
        <v>24</v>
      </c>
      <c r="J916" t="s">
        <v>54</v>
      </c>
      <c r="K916" t="s">
        <v>49</v>
      </c>
      <c r="L916" t="s">
        <v>1558</v>
      </c>
      <c r="M916">
        <v>0.71</v>
      </c>
      <c r="N916" t="s">
        <v>8</v>
      </c>
      <c r="O916" t="s">
        <v>9</v>
      </c>
      <c r="P916" t="s">
        <v>99</v>
      </c>
      <c r="Q916" t="s">
        <v>1800</v>
      </c>
      <c r="R916">
        <v>33971</v>
      </c>
      <c r="S916" s="1">
        <v>42087</v>
      </c>
      <c r="T916" s="1">
        <v>42091</v>
      </c>
      <c r="U916">
        <v>-348.75400000000002</v>
      </c>
      <c r="V916">
        <v>8</v>
      </c>
      <c r="W916">
        <v>1548.97</v>
      </c>
      <c r="X916">
        <v>90557</v>
      </c>
      <c r="Y916">
        <f>cleaneddata[[#This Row],[Unit Price]]-cleaneddata[[#This Row],[Discount]]</f>
        <v>193.14</v>
      </c>
      <c r="Z91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17" spans="1:26" x14ac:dyDescent="0.3">
      <c r="A917">
        <v>1060</v>
      </c>
      <c r="B917" t="s">
        <v>1801</v>
      </c>
      <c r="C917" t="s">
        <v>92</v>
      </c>
      <c r="D917">
        <v>0.09</v>
      </c>
      <c r="E917">
        <v>138.75</v>
      </c>
      <c r="F917">
        <v>52.42</v>
      </c>
      <c r="G917" t="s">
        <v>2</v>
      </c>
      <c r="H917" t="s">
        <v>3</v>
      </c>
      <c r="I917" t="s">
        <v>4</v>
      </c>
      <c r="J917" t="s">
        <v>5</v>
      </c>
      <c r="K917" t="s">
        <v>6</v>
      </c>
      <c r="L917" t="s">
        <v>1802</v>
      </c>
      <c r="M917">
        <v>0.74</v>
      </c>
      <c r="N917" t="s">
        <v>8</v>
      </c>
      <c r="O917" t="s">
        <v>9</v>
      </c>
      <c r="P917" t="s">
        <v>51</v>
      </c>
      <c r="Q917" t="s">
        <v>337</v>
      </c>
      <c r="R917">
        <v>30318</v>
      </c>
      <c r="S917" s="1">
        <v>42087</v>
      </c>
      <c r="T917" s="1">
        <v>42088</v>
      </c>
      <c r="U917">
        <v>-445.97177625</v>
      </c>
      <c r="V917">
        <v>23</v>
      </c>
      <c r="W917">
        <v>2527.79</v>
      </c>
      <c r="X917">
        <v>58628</v>
      </c>
      <c r="Y917">
        <f>cleaneddata[[#This Row],[Unit Price]]-cleaneddata[[#This Row],[Discount]]</f>
        <v>138.66</v>
      </c>
      <c r="Z91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18" spans="1:26" x14ac:dyDescent="0.3">
      <c r="A918">
        <v>1062</v>
      </c>
      <c r="B918" t="s">
        <v>1803</v>
      </c>
      <c r="C918" t="s">
        <v>92</v>
      </c>
      <c r="D918">
        <v>0.09</v>
      </c>
      <c r="E918">
        <v>138.75</v>
      </c>
      <c r="F918">
        <v>52.42</v>
      </c>
      <c r="G918" t="s">
        <v>2</v>
      </c>
      <c r="H918" t="s">
        <v>3</v>
      </c>
      <c r="I918" t="s">
        <v>4</v>
      </c>
      <c r="J918" t="s">
        <v>5</v>
      </c>
      <c r="K918" t="s">
        <v>6</v>
      </c>
      <c r="L918" t="s">
        <v>1802</v>
      </c>
      <c r="M918">
        <v>0.74</v>
      </c>
      <c r="N918" t="s">
        <v>8</v>
      </c>
      <c r="O918" t="s">
        <v>87</v>
      </c>
      <c r="P918" t="s">
        <v>88</v>
      </c>
      <c r="Q918" t="s">
        <v>1804</v>
      </c>
      <c r="R918">
        <v>11727</v>
      </c>
      <c r="S918" s="1">
        <v>42087</v>
      </c>
      <c r="T918" s="1">
        <v>42088</v>
      </c>
      <c r="U918">
        <v>-335.31712499999998</v>
      </c>
      <c r="V918">
        <v>6</v>
      </c>
      <c r="W918">
        <v>659.42</v>
      </c>
      <c r="X918">
        <v>91354</v>
      </c>
      <c r="Y918">
        <f>cleaneddata[[#This Row],[Unit Price]]-cleaneddata[[#This Row],[Discount]]</f>
        <v>138.66</v>
      </c>
      <c r="Z9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19" spans="1:26" x14ac:dyDescent="0.3">
      <c r="A919">
        <v>1254</v>
      </c>
      <c r="B919" t="s">
        <v>1566</v>
      </c>
      <c r="C919" t="s">
        <v>92</v>
      </c>
      <c r="D919">
        <v>0.06</v>
      </c>
      <c r="E919">
        <v>3.95</v>
      </c>
      <c r="F919">
        <v>2</v>
      </c>
      <c r="G919" t="s">
        <v>14</v>
      </c>
      <c r="H919" t="s">
        <v>47</v>
      </c>
      <c r="I919" t="s">
        <v>24</v>
      </c>
      <c r="J919" t="s">
        <v>152</v>
      </c>
      <c r="K919" t="s">
        <v>26</v>
      </c>
      <c r="L919" t="s">
        <v>1805</v>
      </c>
      <c r="M919">
        <v>0.53</v>
      </c>
      <c r="N919" t="s">
        <v>8</v>
      </c>
      <c r="O919" t="s">
        <v>28</v>
      </c>
      <c r="P919" t="s">
        <v>163</v>
      </c>
      <c r="Q919" t="s">
        <v>1567</v>
      </c>
      <c r="R919">
        <v>77530</v>
      </c>
      <c r="S919" s="1">
        <v>42087</v>
      </c>
      <c r="T919" s="1">
        <v>42088</v>
      </c>
      <c r="U919">
        <v>-9.68</v>
      </c>
      <c r="V919">
        <v>5</v>
      </c>
      <c r="W919">
        <v>19.66</v>
      </c>
      <c r="X919">
        <v>89984</v>
      </c>
      <c r="Y919">
        <f>cleaneddata[[#This Row],[Unit Price]]-cleaneddata[[#This Row],[Discount]]</f>
        <v>3.89</v>
      </c>
      <c r="Z91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20" spans="1:26" x14ac:dyDescent="0.3">
      <c r="A920">
        <v>2256</v>
      </c>
      <c r="B920" t="s">
        <v>69</v>
      </c>
      <c r="C920" t="s">
        <v>92</v>
      </c>
      <c r="D920">
        <v>7.0000000000000007E-2</v>
      </c>
      <c r="E920">
        <v>70.98</v>
      </c>
      <c r="F920">
        <v>30</v>
      </c>
      <c r="G920" t="s">
        <v>2</v>
      </c>
      <c r="H920" t="s">
        <v>70</v>
      </c>
      <c r="I920" t="s">
        <v>4</v>
      </c>
      <c r="J920" t="s">
        <v>85</v>
      </c>
      <c r="K920" t="s">
        <v>33</v>
      </c>
      <c r="L920" t="s">
        <v>1806</v>
      </c>
      <c r="M920">
        <v>0.73</v>
      </c>
      <c r="N920" t="s">
        <v>8</v>
      </c>
      <c r="O920" t="s">
        <v>9</v>
      </c>
      <c r="P920" t="s">
        <v>73</v>
      </c>
      <c r="Q920" t="s">
        <v>74</v>
      </c>
      <c r="R920">
        <v>28560</v>
      </c>
      <c r="S920" s="1">
        <v>42087</v>
      </c>
      <c r="T920" s="1">
        <v>42089</v>
      </c>
      <c r="U920">
        <v>-222.95</v>
      </c>
      <c r="V920">
        <v>20</v>
      </c>
      <c r="W920">
        <v>1373.47</v>
      </c>
      <c r="X920">
        <v>87964</v>
      </c>
      <c r="Y920">
        <f>cleaneddata[[#This Row],[Unit Price]]-cleaneddata[[#This Row],[Discount]]</f>
        <v>70.910000000000011</v>
      </c>
      <c r="Z92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21" spans="1:26" x14ac:dyDescent="0.3">
      <c r="A921">
        <v>2330</v>
      </c>
      <c r="B921" t="s">
        <v>1807</v>
      </c>
      <c r="C921" t="s">
        <v>92</v>
      </c>
      <c r="D921">
        <v>0.06</v>
      </c>
      <c r="E921">
        <v>28.53</v>
      </c>
      <c r="F921">
        <v>1.49</v>
      </c>
      <c r="G921" t="s">
        <v>14</v>
      </c>
      <c r="H921" t="s">
        <v>47</v>
      </c>
      <c r="I921" t="s">
        <v>24</v>
      </c>
      <c r="J921" t="s">
        <v>48</v>
      </c>
      <c r="K921" t="s">
        <v>49</v>
      </c>
      <c r="L921" t="s">
        <v>1808</v>
      </c>
      <c r="M921">
        <v>0.38</v>
      </c>
      <c r="N921" t="s">
        <v>8</v>
      </c>
      <c r="O921" t="s">
        <v>28</v>
      </c>
      <c r="P921" t="s">
        <v>189</v>
      </c>
      <c r="Q921" t="s">
        <v>1809</v>
      </c>
      <c r="R921">
        <v>52302</v>
      </c>
      <c r="S921" s="1">
        <v>42087</v>
      </c>
      <c r="T921" s="1">
        <v>42090</v>
      </c>
      <c r="U921">
        <v>74.638499999999993</v>
      </c>
      <c r="V921">
        <v>5</v>
      </c>
      <c r="W921">
        <v>134.09</v>
      </c>
      <c r="X921">
        <v>90964</v>
      </c>
      <c r="Y921">
        <f>cleaneddata[[#This Row],[Unit Price]]-cleaneddata[[#This Row],[Discount]]</f>
        <v>28.470000000000002</v>
      </c>
      <c r="Z92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22" spans="1:26" x14ac:dyDescent="0.3">
      <c r="A922">
        <v>3143</v>
      </c>
      <c r="B922" t="s">
        <v>1810</v>
      </c>
      <c r="C922" t="s">
        <v>92</v>
      </c>
      <c r="D922">
        <v>0.02</v>
      </c>
      <c r="E922">
        <v>15.42</v>
      </c>
      <c r="F922">
        <v>5.41</v>
      </c>
      <c r="G922" t="s">
        <v>14</v>
      </c>
      <c r="H922" t="s">
        <v>15</v>
      </c>
      <c r="I922" t="s">
        <v>24</v>
      </c>
      <c r="J922" t="s">
        <v>54</v>
      </c>
      <c r="K922" t="s">
        <v>49</v>
      </c>
      <c r="L922" t="s">
        <v>1811</v>
      </c>
      <c r="M922">
        <v>0.59</v>
      </c>
      <c r="N922" t="s">
        <v>8</v>
      </c>
      <c r="O922" t="s">
        <v>28</v>
      </c>
      <c r="P922" t="s">
        <v>163</v>
      </c>
      <c r="Q922" t="s">
        <v>1812</v>
      </c>
      <c r="R922">
        <v>78660</v>
      </c>
      <c r="S922" s="1">
        <v>42087</v>
      </c>
      <c r="T922" s="1">
        <v>42088</v>
      </c>
      <c r="U922">
        <v>-16.37</v>
      </c>
      <c r="V922">
        <v>2</v>
      </c>
      <c r="W922">
        <v>33.840000000000003</v>
      </c>
      <c r="X922">
        <v>86368</v>
      </c>
      <c r="Y922">
        <f>cleaneddata[[#This Row],[Unit Price]]-cleaneddata[[#This Row],[Discount]]</f>
        <v>15.4</v>
      </c>
      <c r="Z92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23" spans="1:26" x14ac:dyDescent="0.3">
      <c r="A923">
        <v>2430</v>
      </c>
      <c r="B923" t="s">
        <v>1813</v>
      </c>
      <c r="C923" t="s">
        <v>46</v>
      </c>
      <c r="D923">
        <v>0.1</v>
      </c>
      <c r="E923">
        <v>14.28</v>
      </c>
      <c r="F923">
        <v>2.99</v>
      </c>
      <c r="G923" t="s">
        <v>14</v>
      </c>
      <c r="H923" t="s">
        <v>47</v>
      </c>
      <c r="I923" t="s">
        <v>24</v>
      </c>
      <c r="J923" t="s">
        <v>48</v>
      </c>
      <c r="K923" t="s">
        <v>49</v>
      </c>
      <c r="L923" t="s">
        <v>661</v>
      </c>
      <c r="M923">
        <v>0.39</v>
      </c>
      <c r="N923" t="s">
        <v>8</v>
      </c>
      <c r="O923" t="s">
        <v>28</v>
      </c>
      <c r="P923" t="s">
        <v>163</v>
      </c>
      <c r="Q923" t="s">
        <v>1814</v>
      </c>
      <c r="R923">
        <v>76541</v>
      </c>
      <c r="S923" s="1">
        <v>42087</v>
      </c>
      <c r="T923" s="1">
        <v>42088</v>
      </c>
      <c r="U923">
        <v>104.9145</v>
      </c>
      <c r="V923">
        <v>11</v>
      </c>
      <c r="W923">
        <v>152.05000000000001</v>
      </c>
      <c r="X923">
        <v>91108</v>
      </c>
      <c r="Y923">
        <f>cleaneddata[[#This Row],[Unit Price]]-cleaneddata[[#This Row],[Discount]]</f>
        <v>14.18</v>
      </c>
      <c r="Z92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24" spans="1:26" x14ac:dyDescent="0.3">
      <c r="A924">
        <v>880</v>
      </c>
      <c r="B924" t="s">
        <v>1815</v>
      </c>
      <c r="C924" t="s">
        <v>1</v>
      </c>
      <c r="D924">
        <v>7.0000000000000007E-2</v>
      </c>
      <c r="E924">
        <v>5.68</v>
      </c>
      <c r="F924">
        <v>1.39</v>
      </c>
      <c r="G924" t="s">
        <v>14</v>
      </c>
      <c r="H924" t="s">
        <v>3</v>
      </c>
      <c r="I924" t="s">
        <v>24</v>
      </c>
      <c r="J924" t="s">
        <v>321</v>
      </c>
      <c r="K924" t="s">
        <v>49</v>
      </c>
      <c r="L924" t="s">
        <v>574</v>
      </c>
      <c r="M924">
        <v>0.38</v>
      </c>
      <c r="N924" t="s">
        <v>8</v>
      </c>
      <c r="O924" t="s">
        <v>35</v>
      </c>
      <c r="P924" t="s">
        <v>564</v>
      </c>
      <c r="Q924" t="s">
        <v>1816</v>
      </c>
      <c r="R924">
        <v>85254</v>
      </c>
      <c r="S924" s="1">
        <v>42088</v>
      </c>
      <c r="T924" s="1">
        <v>42090</v>
      </c>
      <c r="U924">
        <v>18.643799999999999</v>
      </c>
      <c r="V924">
        <v>5</v>
      </c>
      <c r="W924">
        <v>27.02</v>
      </c>
      <c r="X924">
        <v>86153</v>
      </c>
      <c r="Y924">
        <f>cleaneddata[[#This Row],[Unit Price]]-cleaneddata[[#This Row],[Discount]]</f>
        <v>5.6099999999999994</v>
      </c>
      <c r="Z92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25" spans="1:26" x14ac:dyDescent="0.3">
      <c r="A925">
        <v>880</v>
      </c>
      <c r="B925" t="s">
        <v>1815</v>
      </c>
      <c r="C925" t="s">
        <v>1</v>
      </c>
      <c r="D925">
        <v>0.06</v>
      </c>
      <c r="E925">
        <v>22.84</v>
      </c>
      <c r="F925">
        <v>11.54</v>
      </c>
      <c r="G925" t="s">
        <v>14</v>
      </c>
      <c r="H925" t="s">
        <v>3</v>
      </c>
      <c r="I925" t="s">
        <v>24</v>
      </c>
      <c r="J925" t="s">
        <v>64</v>
      </c>
      <c r="K925" t="s">
        <v>49</v>
      </c>
      <c r="L925" t="s">
        <v>1817</v>
      </c>
      <c r="M925">
        <v>0.39</v>
      </c>
      <c r="N925" t="s">
        <v>8</v>
      </c>
      <c r="O925" t="s">
        <v>35</v>
      </c>
      <c r="P925" t="s">
        <v>564</v>
      </c>
      <c r="Q925" t="s">
        <v>1816</v>
      </c>
      <c r="R925">
        <v>85254</v>
      </c>
      <c r="S925" s="1">
        <v>42088</v>
      </c>
      <c r="T925" s="1">
        <v>42090</v>
      </c>
      <c r="U925">
        <v>-31.24</v>
      </c>
      <c r="V925">
        <v>1</v>
      </c>
      <c r="W925">
        <v>27.67</v>
      </c>
      <c r="X925">
        <v>86153</v>
      </c>
      <c r="Y925">
        <f>cleaneddata[[#This Row],[Unit Price]]-cleaneddata[[#This Row],[Discount]]</f>
        <v>22.78</v>
      </c>
      <c r="Z92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26" spans="1:26" x14ac:dyDescent="0.3">
      <c r="A926">
        <v>1241</v>
      </c>
      <c r="B926" t="s">
        <v>1660</v>
      </c>
      <c r="C926" t="s">
        <v>1</v>
      </c>
      <c r="D926">
        <v>0.06</v>
      </c>
      <c r="E926">
        <v>200.97</v>
      </c>
      <c r="F926">
        <v>15.59</v>
      </c>
      <c r="G926" t="s">
        <v>2</v>
      </c>
      <c r="H926" t="s">
        <v>3</v>
      </c>
      <c r="I926" t="s">
        <v>16</v>
      </c>
      <c r="J926" t="s">
        <v>32</v>
      </c>
      <c r="K926" t="s">
        <v>33</v>
      </c>
      <c r="L926" t="s">
        <v>916</v>
      </c>
      <c r="M926">
        <v>0.36</v>
      </c>
      <c r="N926" t="s">
        <v>8</v>
      </c>
      <c r="O926" t="s">
        <v>9</v>
      </c>
      <c r="P926" t="s">
        <v>140</v>
      </c>
      <c r="Q926" t="s">
        <v>1180</v>
      </c>
      <c r="R926">
        <v>36830</v>
      </c>
      <c r="S926" s="1">
        <v>42088</v>
      </c>
      <c r="T926" s="1">
        <v>42088</v>
      </c>
      <c r="U926">
        <v>531.61800000000005</v>
      </c>
      <c r="V926">
        <v>7</v>
      </c>
      <c r="W926">
        <v>1348.83</v>
      </c>
      <c r="X926">
        <v>90881</v>
      </c>
      <c r="Y926">
        <f>cleaneddata[[#This Row],[Unit Price]]-cleaneddata[[#This Row],[Discount]]</f>
        <v>200.91</v>
      </c>
      <c r="Z92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27" spans="1:26" x14ac:dyDescent="0.3">
      <c r="A927">
        <v>1648</v>
      </c>
      <c r="B927" t="s">
        <v>1818</v>
      </c>
      <c r="C927" t="s">
        <v>1</v>
      </c>
      <c r="D927">
        <v>0.08</v>
      </c>
      <c r="E927">
        <v>46.89</v>
      </c>
      <c r="F927">
        <v>5.0999999999999996</v>
      </c>
      <c r="G927" t="s">
        <v>14</v>
      </c>
      <c r="H927" t="s">
        <v>70</v>
      </c>
      <c r="I927" t="s">
        <v>24</v>
      </c>
      <c r="J927" t="s">
        <v>71</v>
      </c>
      <c r="K927" t="s">
        <v>120</v>
      </c>
      <c r="L927" t="s">
        <v>1819</v>
      </c>
      <c r="M927">
        <v>0.46</v>
      </c>
      <c r="N927" t="s">
        <v>8</v>
      </c>
      <c r="O927" t="s">
        <v>28</v>
      </c>
      <c r="P927" t="s">
        <v>79</v>
      </c>
      <c r="Q927" t="s">
        <v>640</v>
      </c>
      <c r="R927">
        <v>60098</v>
      </c>
      <c r="S927" s="1">
        <v>42088</v>
      </c>
      <c r="T927" s="1">
        <v>42090</v>
      </c>
      <c r="U927">
        <v>507.63299999999998</v>
      </c>
      <c r="V927">
        <v>17</v>
      </c>
      <c r="W927">
        <v>735.7</v>
      </c>
      <c r="X927">
        <v>91043</v>
      </c>
      <c r="Y927">
        <f>cleaneddata[[#This Row],[Unit Price]]-cleaneddata[[#This Row],[Discount]]</f>
        <v>46.81</v>
      </c>
      <c r="Z92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28" spans="1:26" x14ac:dyDescent="0.3">
      <c r="A928">
        <v>1648</v>
      </c>
      <c r="B928" t="s">
        <v>1818</v>
      </c>
      <c r="C928" t="s">
        <v>1</v>
      </c>
      <c r="D928">
        <v>0.05</v>
      </c>
      <c r="E928">
        <v>12.98</v>
      </c>
      <c r="F928">
        <v>3.14</v>
      </c>
      <c r="G928" t="s">
        <v>14</v>
      </c>
      <c r="H928" t="s">
        <v>70</v>
      </c>
      <c r="I928" t="s">
        <v>24</v>
      </c>
      <c r="J928" t="s">
        <v>544</v>
      </c>
      <c r="K928" t="s">
        <v>18</v>
      </c>
      <c r="L928" t="s">
        <v>545</v>
      </c>
      <c r="M928">
        <v>0.6</v>
      </c>
      <c r="N928" t="s">
        <v>8</v>
      </c>
      <c r="O928" t="s">
        <v>28</v>
      </c>
      <c r="P928" t="s">
        <v>79</v>
      </c>
      <c r="Q928" t="s">
        <v>640</v>
      </c>
      <c r="R928">
        <v>60098</v>
      </c>
      <c r="S928" s="1">
        <v>42088</v>
      </c>
      <c r="T928" s="1">
        <v>42088</v>
      </c>
      <c r="U928">
        <v>38.229999999999997</v>
      </c>
      <c r="V928">
        <v>18</v>
      </c>
      <c r="W928">
        <v>225.59</v>
      </c>
      <c r="X928">
        <v>91043</v>
      </c>
      <c r="Y928">
        <f>cleaneddata[[#This Row],[Unit Price]]-cleaneddata[[#This Row],[Discount]]</f>
        <v>12.93</v>
      </c>
      <c r="Z9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29" spans="1:26" x14ac:dyDescent="0.3">
      <c r="A929">
        <v>1829</v>
      </c>
      <c r="B929" t="s">
        <v>230</v>
      </c>
      <c r="C929" t="s">
        <v>1</v>
      </c>
      <c r="D929">
        <v>0.01</v>
      </c>
      <c r="E929">
        <v>10.64</v>
      </c>
      <c r="F929">
        <v>5.16</v>
      </c>
      <c r="G929" t="s">
        <v>63</v>
      </c>
      <c r="H929" t="s">
        <v>70</v>
      </c>
      <c r="I929" t="s">
        <v>4</v>
      </c>
      <c r="J929" t="s">
        <v>102</v>
      </c>
      <c r="K929" t="s">
        <v>49</v>
      </c>
      <c r="L929" t="s">
        <v>1820</v>
      </c>
      <c r="M929">
        <v>0.56999999999999995</v>
      </c>
      <c r="N929" t="s">
        <v>8</v>
      </c>
      <c r="O929" t="s">
        <v>28</v>
      </c>
      <c r="P929" t="s">
        <v>189</v>
      </c>
      <c r="Q929" t="s">
        <v>232</v>
      </c>
      <c r="R929">
        <v>52402</v>
      </c>
      <c r="S929" s="1">
        <v>42088</v>
      </c>
      <c r="T929" s="1">
        <v>42090</v>
      </c>
      <c r="U929">
        <v>-11.69</v>
      </c>
      <c r="V929">
        <v>5</v>
      </c>
      <c r="W929">
        <v>58.52</v>
      </c>
      <c r="X929">
        <v>86957</v>
      </c>
      <c r="Y929">
        <f>cleaneddata[[#This Row],[Unit Price]]-cleaneddata[[#This Row],[Discount]]</f>
        <v>10.63</v>
      </c>
      <c r="Z9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30" spans="1:26" x14ac:dyDescent="0.3">
      <c r="A930">
        <v>2201</v>
      </c>
      <c r="B930" t="s">
        <v>1821</v>
      </c>
      <c r="C930" t="s">
        <v>1</v>
      </c>
      <c r="D930">
        <v>0.17</v>
      </c>
      <c r="E930">
        <v>14.89</v>
      </c>
      <c r="F930">
        <v>13.56</v>
      </c>
      <c r="G930" t="s">
        <v>14</v>
      </c>
      <c r="H930" t="s">
        <v>3</v>
      </c>
      <c r="I930" t="s">
        <v>4</v>
      </c>
      <c r="J930" t="s">
        <v>102</v>
      </c>
      <c r="K930" t="s">
        <v>40</v>
      </c>
      <c r="L930" t="s">
        <v>1822</v>
      </c>
      <c r="M930">
        <v>0.57999999999999996</v>
      </c>
      <c r="N930" t="s">
        <v>8</v>
      </c>
      <c r="O930" t="s">
        <v>28</v>
      </c>
      <c r="P930" t="s">
        <v>60</v>
      </c>
      <c r="Q930" t="s">
        <v>1823</v>
      </c>
      <c r="R930">
        <v>55420</v>
      </c>
      <c r="S930" s="1">
        <v>42088</v>
      </c>
      <c r="T930" s="1">
        <v>42090</v>
      </c>
      <c r="U930">
        <v>-9.1300000000000008</v>
      </c>
      <c r="V930">
        <v>1</v>
      </c>
      <c r="W930">
        <v>27.96</v>
      </c>
      <c r="X930">
        <v>86054</v>
      </c>
      <c r="Y930">
        <f>cleaneddata[[#This Row],[Unit Price]]-cleaneddata[[#This Row],[Discount]]</f>
        <v>14.72</v>
      </c>
      <c r="Z9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31" spans="1:26" x14ac:dyDescent="0.3">
      <c r="A931">
        <v>3100</v>
      </c>
      <c r="B931" t="s">
        <v>1824</v>
      </c>
      <c r="C931" t="s">
        <v>1</v>
      </c>
      <c r="D931">
        <v>7.0000000000000007E-2</v>
      </c>
      <c r="E931">
        <v>35.99</v>
      </c>
      <c r="F931">
        <v>5</v>
      </c>
      <c r="G931" t="s">
        <v>14</v>
      </c>
      <c r="H931" t="s">
        <v>15</v>
      </c>
      <c r="I931" t="s">
        <v>16</v>
      </c>
      <c r="J931" t="s">
        <v>111</v>
      </c>
      <c r="K931" t="s">
        <v>26</v>
      </c>
      <c r="L931" t="s">
        <v>1825</v>
      </c>
      <c r="M931">
        <v>0.82</v>
      </c>
      <c r="N931" t="s">
        <v>8</v>
      </c>
      <c r="O931" t="s">
        <v>9</v>
      </c>
      <c r="P931" t="s">
        <v>99</v>
      </c>
      <c r="Q931" t="s">
        <v>1826</v>
      </c>
      <c r="R931">
        <v>33334</v>
      </c>
      <c r="S931" s="1">
        <v>42088</v>
      </c>
      <c r="T931" s="1">
        <v>42090</v>
      </c>
      <c r="U931">
        <v>-299.81420000000003</v>
      </c>
      <c r="V931">
        <v>1</v>
      </c>
      <c r="W931">
        <v>31.71</v>
      </c>
      <c r="X931">
        <v>89988</v>
      </c>
      <c r="Y931">
        <f>cleaneddata[[#This Row],[Unit Price]]-cleaneddata[[#This Row],[Discount]]</f>
        <v>35.92</v>
      </c>
      <c r="Z93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32" spans="1:26" x14ac:dyDescent="0.3">
      <c r="A932">
        <v>693</v>
      </c>
      <c r="B932" t="s">
        <v>1525</v>
      </c>
      <c r="C932" t="s">
        <v>23</v>
      </c>
      <c r="D932">
        <v>0.02</v>
      </c>
      <c r="E932">
        <v>500.98</v>
      </c>
      <c r="F932">
        <v>41.44</v>
      </c>
      <c r="G932" t="s">
        <v>2</v>
      </c>
      <c r="H932" t="s">
        <v>3</v>
      </c>
      <c r="I932" t="s">
        <v>4</v>
      </c>
      <c r="J932" t="s">
        <v>93</v>
      </c>
      <c r="K932" t="s">
        <v>6</v>
      </c>
      <c r="L932" t="s">
        <v>1827</v>
      </c>
      <c r="M932">
        <v>0.66</v>
      </c>
      <c r="N932" t="s">
        <v>8</v>
      </c>
      <c r="O932" t="s">
        <v>35</v>
      </c>
      <c r="P932" t="s">
        <v>36</v>
      </c>
      <c r="Q932" t="s">
        <v>1526</v>
      </c>
      <c r="R932">
        <v>80229</v>
      </c>
      <c r="S932" s="1">
        <v>42088</v>
      </c>
      <c r="T932" s="1">
        <v>42088</v>
      </c>
      <c r="U932">
        <v>2568.4629</v>
      </c>
      <c r="V932">
        <v>7</v>
      </c>
      <c r="W932">
        <v>3722.41</v>
      </c>
      <c r="X932">
        <v>87811</v>
      </c>
      <c r="Y932">
        <f>cleaneddata[[#This Row],[Unit Price]]-cleaneddata[[#This Row],[Discount]]</f>
        <v>500.96000000000004</v>
      </c>
      <c r="Z93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33" spans="1:26" x14ac:dyDescent="0.3">
      <c r="A933">
        <v>1557</v>
      </c>
      <c r="B933" t="s">
        <v>1828</v>
      </c>
      <c r="C933" t="s">
        <v>23</v>
      </c>
      <c r="D933">
        <v>0.09</v>
      </c>
      <c r="E933">
        <v>60.98</v>
      </c>
      <c r="F933">
        <v>49</v>
      </c>
      <c r="G933" t="s">
        <v>14</v>
      </c>
      <c r="H933" t="s">
        <v>15</v>
      </c>
      <c r="I933" t="s">
        <v>24</v>
      </c>
      <c r="J933" t="s">
        <v>71</v>
      </c>
      <c r="K933" t="s">
        <v>40</v>
      </c>
      <c r="L933" t="s">
        <v>1506</v>
      </c>
      <c r="M933">
        <v>0.59</v>
      </c>
      <c r="N933" t="s">
        <v>8</v>
      </c>
      <c r="O933" t="s">
        <v>9</v>
      </c>
      <c r="P933" t="s">
        <v>218</v>
      </c>
      <c r="Q933" t="s">
        <v>1829</v>
      </c>
      <c r="R933">
        <v>22003</v>
      </c>
      <c r="S933" s="1">
        <v>42088</v>
      </c>
      <c r="T933" s="1">
        <v>42096</v>
      </c>
      <c r="U933">
        <v>-954.75800000000004</v>
      </c>
      <c r="V933">
        <v>15</v>
      </c>
      <c r="W933">
        <v>879.62</v>
      </c>
      <c r="X933">
        <v>87426</v>
      </c>
      <c r="Y933">
        <f>cleaneddata[[#This Row],[Unit Price]]-cleaneddata[[#This Row],[Discount]]</f>
        <v>60.889999999999993</v>
      </c>
      <c r="Z9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34" spans="1:26" x14ac:dyDescent="0.3">
      <c r="A934">
        <v>1557</v>
      </c>
      <c r="B934" t="s">
        <v>1828</v>
      </c>
      <c r="C934" t="s">
        <v>23</v>
      </c>
      <c r="D934">
        <v>0.05</v>
      </c>
      <c r="E934">
        <v>29.89</v>
      </c>
      <c r="F934">
        <v>1.99</v>
      </c>
      <c r="G934" t="s">
        <v>14</v>
      </c>
      <c r="H934" t="s">
        <v>15</v>
      </c>
      <c r="I934" t="s">
        <v>16</v>
      </c>
      <c r="J934" t="s">
        <v>17</v>
      </c>
      <c r="K934" t="s">
        <v>18</v>
      </c>
      <c r="L934" t="s">
        <v>419</v>
      </c>
      <c r="M934">
        <v>0.5</v>
      </c>
      <c r="N934" t="s">
        <v>8</v>
      </c>
      <c r="O934" t="s">
        <v>9</v>
      </c>
      <c r="P934" t="s">
        <v>218</v>
      </c>
      <c r="Q934" t="s">
        <v>1829</v>
      </c>
      <c r="R934">
        <v>22003</v>
      </c>
      <c r="S934" s="1">
        <v>42088</v>
      </c>
      <c r="T934" s="1">
        <v>42090</v>
      </c>
      <c r="U934">
        <v>219.4734</v>
      </c>
      <c r="V934">
        <v>12</v>
      </c>
      <c r="W934">
        <v>361.19</v>
      </c>
      <c r="X934">
        <v>87426</v>
      </c>
      <c r="Y934">
        <f>cleaneddata[[#This Row],[Unit Price]]-cleaneddata[[#This Row],[Discount]]</f>
        <v>29.84</v>
      </c>
      <c r="Z93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35" spans="1:26" x14ac:dyDescent="0.3">
      <c r="A935">
        <v>1699</v>
      </c>
      <c r="B935" t="s">
        <v>1830</v>
      </c>
      <c r="C935" t="s">
        <v>23</v>
      </c>
      <c r="D935">
        <v>0.05</v>
      </c>
      <c r="E935">
        <v>3.98</v>
      </c>
      <c r="F935">
        <v>5.26</v>
      </c>
      <c r="G935" t="s">
        <v>14</v>
      </c>
      <c r="H935" t="s">
        <v>3</v>
      </c>
      <c r="I935" t="s">
        <v>24</v>
      </c>
      <c r="J935" t="s">
        <v>48</v>
      </c>
      <c r="K935" t="s">
        <v>49</v>
      </c>
      <c r="L935" t="s">
        <v>1831</v>
      </c>
      <c r="M935">
        <v>0.38</v>
      </c>
      <c r="N935" t="s">
        <v>8</v>
      </c>
      <c r="O935" t="s">
        <v>87</v>
      </c>
      <c r="P935" t="s">
        <v>296</v>
      </c>
      <c r="Q935" t="s">
        <v>1832</v>
      </c>
      <c r="R935">
        <v>19057</v>
      </c>
      <c r="S935" s="1">
        <v>42088</v>
      </c>
      <c r="T935" s="1">
        <v>42092</v>
      </c>
      <c r="U935">
        <v>-152.52449999999999</v>
      </c>
      <c r="V935">
        <v>12</v>
      </c>
      <c r="W935">
        <v>49.44</v>
      </c>
      <c r="X935">
        <v>87345</v>
      </c>
      <c r="Y935">
        <f>cleaneddata[[#This Row],[Unit Price]]-cleaneddata[[#This Row],[Discount]]</f>
        <v>3.93</v>
      </c>
      <c r="Z9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36" spans="1:26" x14ac:dyDescent="0.3">
      <c r="A936">
        <v>1699</v>
      </c>
      <c r="B936" t="s">
        <v>1830</v>
      </c>
      <c r="C936" t="s">
        <v>23</v>
      </c>
      <c r="D936">
        <v>0.01</v>
      </c>
      <c r="E936">
        <v>6.48</v>
      </c>
      <c r="F936">
        <v>5.4</v>
      </c>
      <c r="G936" t="s">
        <v>14</v>
      </c>
      <c r="H936" t="s">
        <v>3</v>
      </c>
      <c r="I936" t="s">
        <v>24</v>
      </c>
      <c r="J936" t="s">
        <v>64</v>
      </c>
      <c r="K936" t="s">
        <v>49</v>
      </c>
      <c r="L936" t="s">
        <v>1833</v>
      </c>
      <c r="M936">
        <v>0.37</v>
      </c>
      <c r="N936" t="s">
        <v>8</v>
      </c>
      <c r="O936" t="s">
        <v>87</v>
      </c>
      <c r="P936" t="s">
        <v>296</v>
      </c>
      <c r="Q936" t="s">
        <v>1832</v>
      </c>
      <c r="R936">
        <v>19057</v>
      </c>
      <c r="S936" s="1">
        <v>42088</v>
      </c>
      <c r="T936" s="1">
        <v>42088</v>
      </c>
      <c r="U936">
        <v>-18.850000000000001</v>
      </c>
      <c r="V936">
        <v>2</v>
      </c>
      <c r="W936">
        <v>14.29</v>
      </c>
      <c r="X936">
        <v>87345</v>
      </c>
      <c r="Y936">
        <f>cleaneddata[[#This Row],[Unit Price]]-cleaneddata[[#This Row],[Discount]]</f>
        <v>6.4700000000000006</v>
      </c>
      <c r="Z9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37" spans="1:26" x14ac:dyDescent="0.3">
      <c r="A937">
        <v>290</v>
      </c>
      <c r="B937" t="s">
        <v>1834</v>
      </c>
      <c r="C937" t="s">
        <v>46</v>
      </c>
      <c r="D937">
        <v>0.04</v>
      </c>
      <c r="E937">
        <v>4.9800000000000004</v>
      </c>
      <c r="F937">
        <v>4.62</v>
      </c>
      <c r="G937" t="s">
        <v>14</v>
      </c>
      <c r="H937" t="s">
        <v>3</v>
      </c>
      <c r="I937" t="s">
        <v>16</v>
      </c>
      <c r="J937" t="s">
        <v>17</v>
      </c>
      <c r="K937" t="s">
        <v>18</v>
      </c>
      <c r="L937" t="s">
        <v>1197</v>
      </c>
      <c r="M937">
        <v>0.64</v>
      </c>
      <c r="N937" t="s">
        <v>8</v>
      </c>
      <c r="O937" t="s">
        <v>35</v>
      </c>
      <c r="P937" t="s">
        <v>36</v>
      </c>
      <c r="Q937" t="s">
        <v>1835</v>
      </c>
      <c r="R937">
        <v>80538</v>
      </c>
      <c r="S937" s="1">
        <v>42088</v>
      </c>
      <c r="T937" s="1">
        <v>42089</v>
      </c>
      <c r="U937">
        <v>-135.16</v>
      </c>
      <c r="V937">
        <v>20</v>
      </c>
      <c r="W937">
        <v>102.54</v>
      </c>
      <c r="X937">
        <v>90837</v>
      </c>
      <c r="Y937">
        <f>cleaneddata[[#This Row],[Unit Price]]-cleaneddata[[#This Row],[Discount]]</f>
        <v>4.9400000000000004</v>
      </c>
      <c r="Z93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38" spans="1:26" x14ac:dyDescent="0.3">
      <c r="A938">
        <v>2287</v>
      </c>
      <c r="B938" t="s">
        <v>1239</v>
      </c>
      <c r="C938" t="s">
        <v>46</v>
      </c>
      <c r="D938">
        <v>0.01</v>
      </c>
      <c r="E938">
        <v>18.97</v>
      </c>
      <c r="F938">
        <v>9.0299999999999994</v>
      </c>
      <c r="G938" t="s">
        <v>14</v>
      </c>
      <c r="H938" t="s">
        <v>70</v>
      </c>
      <c r="I938" t="s">
        <v>24</v>
      </c>
      <c r="J938" t="s">
        <v>64</v>
      </c>
      <c r="K938" t="s">
        <v>49</v>
      </c>
      <c r="L938" t="s">
        <v>606</v>
      </c>
      <c r="M938">
        <v>0.37</v>
      </c>
      <c r="N938" t="s">
        <v>8</v>
      </c>
      <c r="O938" t="s">
        <v>9</v>
      </c>
      <c r="P938" t="s">
        <v>247</v>
      </c>
      <c r="Q938" t="s">
        <v>1241</v>
      </c>
      <c r="R938">
        <v>29483</v>
      </c>
      <c r="S938" s="1">
        <v>42088</v>
      </c>
      <c r="T938" s="1">
        <v>42088</v>
      </c>
      <c r="U938">
        <v>-12.0267</v>
      </c>
      <c r="V938">
        <v>8</v>
      </c>
      <c r="W938">
        <v>164.67</v>
      </c>
      <c r="X938">
        <v>90146</v>
      </c>
      <c r="Y938">
        <f>cleaneddata[[#This Row],[Unit Price]]-cleaneddata[[#This Row],[Discount]]</f>
        <v>18.959999999999997</v>
      </c>
      <c r="Z93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39" spans="1:26" x14ac:dyDescent="0.3">
      <c r="A939">
        <v>2287</v>
      </c>
      <c r="B939" t="s">
        <v>1239</v>
      </c>
      <c r="C939" t="s">
        <v>46</v>
      </c>
      <c r="D939">
        <v>0.03</v>
      </c>
      <c r="E939">
        <v>12.28</v>
      </c>
      <c r="F939">
        <v>4.8600000000000003</v>
      </c>
      <c r="G939" t="s">
        <v>14</v>
      </c>
      <c r="H939" t="s">
        <v>70</v>
      </c>
      <c r="I939" t="s">
        <v>24</v>
      </c>
      <c r="J939" t="s">
        <v>64</v>
      </c>
      <c r="K939" t="s">
        <v>49</v>
      </c>
      <c r="L939" t="s">
        <v>1836</v>
      </c>
      <c r="M939">
        <v>0.38</v>
      </c>
      <c r="N939" t="s">
        <v>8</v>
      </c>
      <c r="O939" t="s">
        <v>9</v>
      </c>
      <c r="P939" t="s">
        <v>247</v>
      </c>
      <c r="Q939" t="s">
        <v>1241</v>
      </c>
      <c r="R939">
        <v>29483</v>
      </c>
      <c r="S939" s="1">
        <v>42088</v>
      </c>
      <c r="T939" s="1">
        <v>42089</v>
      </c>
      <c r="U939">
        <v>122.508</v>
      </c>
      <c r="V939">
        <v>6</v>
      </c>
      <c r="W939">
        <v>72.739999999999995</v>
      </c>
      <c r="X939">
        <v>90146</v>
      </c>
      <c r="Y939">
        <f>cleaneddata[[#This Row],[Unit Price]]-cleaneddata[[#This Row],[Discount]]</f>
        <v>12.25</v>
      </c>
      <c r="Z9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0" spans="1:26" x14ac:dyDescent="0.3">
      <c r="A940">
        <v>2287</v>
      </c>
      <c r="B940" t="s">
        <v>1239</v>
      </c>
      <c r="C940" t="s">
        <v>46</v>
      </c>
      <c r="D940">
        <v>0.05</v>
      </c>
      <c r="E940">
        <v>34.99</v>
      </c>
      <c r="F940">
        <v>7.73</v>
      </c>
      <c r="G940" t="s">
        <v>63</v>
      </c>
      <c r="H940" t="s">
        <v>70</v>
      </c>
      <c r="I940" t="s">
        <v>24</v>
      </c>
      <c r="J940" t="s">
        <v>25</v>
      </c>
      <c r="K940" t="s">
        <v>49</v>
      </c>
      <c r="L940" t="s">
        <v>1280</v>
      </c>
      <c r="M940">
        <v>0.59</v>
      </c>
      <c r="N940" t="s">
        <v>8</v>
      </c>
      <c r="O940" t="s">
        <v>9</v>
      </c>
      <c r="P940" t="s">
        <v>247</v>
      </c>
      <c r="Q940" t="s">
        <v>1241</v>
      </c>
      <c r="R940">
        <v>29483</v>
      </c>
      <c r="S940" s="1">
        <v>42088</v>
      </c>
      <c r="T940" s="1">
        <v>42090</v>
      </c>
      <c r="U940">
        <v>-12.0267</v>
      </c>
      <c r="V940">
        <v>12</v>
      </c>
      <c r="W940">
        <v>418.75</v>
      </c>
      <c r="X940">
        <v>90146</v>
      </c>
      <c r="Y940">
        <f>cleaneddata[[#This Row],[Unit Price]]-cleaneddata[[#This Row],[Discount]]</f>
        <v>34.940000000000005</v>
      </c>
      <c r="Z94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1" spans="1:26" x14ac:dyDescent="0.3">
      <c r="A941">
        <v>2833</v>
      </c>
      <c r="B941" t="s">
        <v>1837</v>
      </c>
      <c r="C941" t="s">
        <v>46</v>
      </c>
      <c r="D941">
        <v>0.03</v>
      </c>
      <c r="E941">
        <v>140.97999999999999</v>
      </c>
      <c r="F941">
        <v>36.090000000000003</v>
      </c>
      <c r="G941" t="s">
        <v>2</v>
      </c>
      <c r="H941" t="s">
        <v>3</v>
      </c>
      <c r="I941" t="s">
        <v>4</v>
      </c>
      <c r="J941" t="s">
        <v>93</v>
      </c>
      <c r="K941" t="s">
        <v>6</v>
      </c>
      <c r="L941" t="s">
        <v>1838</v>
      </c>
      <c r="M941">
        <v>0.77</v>
      </c>
      <c r="N941" t="s">
        <v>8</v>
      </c>
      <c r="O941" t="s">
        <v>28</v>
      </c>
      <c r="P941" t="s">
        <v>60</v>
      </c>
      <c r="Q941" t="s">
        <v>1839</v>
      </c>
      <c r="R941">
        <v>55076</v>
      </c>
      <c r="S941" s="1">
        <v>42088</v>
      </c>
      <c r="T941" s="1">
        <v>42090</v>
      </c>
      <c r="U941">
        <v>-221.5</v>
      </c>
      <c r="V941">
        <v>4</v>
      </c>
      <c r="W941">
        <v>608.80999999999995</v>
      </c>
      <c r="X941">
        <v>91030</v>
      </c>
      <c r="Y941">
        <f>cleaneddata[[#This Row],[Unit Price]]-cleaneddata[[#This Row],[Discount]]</f>
        <v>140.94999999999999</v>
      </c>
      <c r="Z9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42" spans="1:26" x14ac:dyDescent="0.3">
      <c r="A942">
        <v>2833</v>
      </c>
      <c r="B942" t="s">
        <v>1837</v>
      </c>
      <c r="C942" t="s">
        <v>46</v>
      </c>
      <c r="D942">
        <v>0.08</v>
      </c>
      <c r="E942">
        <v>65.989999999999995</v>
      </c>
      <c r="F942">
        <v>8.99</v>
      </c>
      <c r="G942" t="s">
        <v>14</v>
      </c>
      <c r="H942" t="s">
        <v>3</v>
      </c>
      <c r="I942" t="s">
        <v>16</v>
      </c>
      <c r="J942" t="s">
        <v>111</v>
      </c>
      <c r="K942" t="s">
        <v>49</v>
      </c>
      <c r="L942" t="s">
        <v>1840</v>
      </c>
      <c r="M942">
        <v>0.56000000000000005</v>
      </c>
      <c r="N942" t="s">
        <v>8</v>
      </c>
      <c r="O942" t="s">
        <v>28</v>
      </c>
      <c r="P942" t="s">
        <v>60</v>
      </c>
      <c r="Q942" t="s">
        <v>1839</v>
      </c>
      <c r="R942">
        <v>55076</v>
      </c>
      <c r="S942" s="1">
        <v>42088</v>
      </c>
      <c r="T942" s="1">
        <v>42089</v>
      </c>
      <c r="U942">
        <v>206.352</v>
      </c>
      <c r="V942">
        <v>15</v>
      </c>
      <c r="W942">
        <v>808.61</v>
      </c>
      <c r="X942">
        <v>91030</v>
      </c>
      <c r="Y942">
        <f>cleaneddata[[#This Row],[Unit Price]]-cleaneddata[[#This Row],[Discount]]</f>
        <v>65.91</v>
      </c>
      <c r="Z94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43" spans="1:26" x14ac:dyDescent="0.3">
      <c r="A943">
        <v>1767</v>
      </c>
      <c r="B943" t="s">
        <v>1841</v>
      </c>
      <c r="C943" t="s">
        <v>1</v>
      </c>
      <c r="D943">
        <v>0.01</v>
      </c>
      <c r="E943">
        <v>50.98</v>
      </c>
      <c r="F943">
        <v>6.5</v>
      </c>
      <c r="G943" t="s">
        <v>14</v>
      </c>
      <c r="H943" t="s">
        <v>47</v>
      </c>
      <c r="I943" t="s">
        <v>16</v>
      </c>
      <c r="J943" t="s">
        <v>17</v>
      </c>
      <c r="K943" t="s">
        <v>49</v>
      </c>
      <c r="L943" t="s">
        <v>1842</v>
      </c>
      <c r="M943">
        <v>0.73</v>
      </c>
      <c r="N943" t="s">
        <v>8</v>
      </c>
      <c r="O943" t="s">
        <v>9</v>
      </c>
      <c r="P943" t="s">
        <v>51</v>
      </c>
      <c r="Q943" t="s">
        <v>1843</v>
      </c>
      <c r="R943">
        <v>30265</v>
      </c>
      <c r="S943" s="1">
        <v>42089</v>
      </c>
      <c r="T943" s="1">
        <v>42090</v>
      </c>
      <c r="U943">
        <v>5.3396999999999997</v>
      </c>
      <c r="V943">
        <v>16</v>
      </c>
      <c r="W943">
        <v>818.49</v>
      </c>
      <c r="X943">
        <v>89211</v>
      </c>
      <c r="Y943">
        <f>cleaneddata[[#This Row],[Unit Price]]-cleaneddata[[#This Row],[Discount]]</f>
        <v>50.97</v>
      </c>
      <c r="Z94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4" spans="1:26" x14ac:dyDescent="0.3">
      <c r="A944">
        <v>2114</v>
      </c>
      <c r="B944" t="s">
        <v>1351</v>
      </c>
      <c r="C944" t="s">
        <v>1</v>
      </c>
      <c r="D944">
        <v>0.08</v>
      </c>
      <c r="E944">
        <v>6.68</v>
      </c>
      <c r="F944">
        <v>1.5</v>
      </c>
      <c r="G944" t="s">
        <v>14</v>
      </c>
      <c r="H944" t="s">
        <v>70</v>
      </c>
      <c r="I944" t="s">
        <v>24</v>
      </c>
      <c r="J944" t="s">
        <v>25</v>
      </c>
      <c r="K944" t="s">
        <v>26</v>
      </c>
      <c r="L944" t="s">
        <v>1844</v>
      </c>
      <c r="M944">
        <v>0.48</v>
      </c>
      <c r="N944" t="s">
        <v>8</v>
      </c>
      <c r="O944" t="s">
        <v>9</v>
      </c>
      <c r="P944" t="s">
        <v>218</v>
      </c>
      <c r="Q944" t="s">
        <v>1353</v>
      </c>
      <c r="R944">
        <v>23518</v>
      </c>
      <c r="S944" s="1">
        <v>42089</v>
      </c>
      <c r="T944" s="1">
        <v>42091</v>
      </c>
      <c r="U944">
        <v>-601.80399999999997</v>
      </c>
      <c r="V944">
        <v>10</v>
      </c>
      <c r="W944">
        <v>66.12</v>
      </c>
      <c r="X944">
        <v>88403</v>
      </c>
      <c r="Y944">
        <f>cleaneddata[[#This Row],[Unit Price]]-cleaneddata[[#This Row],[Discount]]</f>
        <v>6.6</v>
      </c>
      <c r="Z94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5" spans="1:26" x14ac:dyDescent="0.3">
      <c r="A945">
        <v>3379</v>
      </c>
      <c r="B945" t="s">
        <v>1845</v>
      </c>
      <c r="C945" t="s">
        <v>1</v>
      </c>
      <c r="D945">
        <v>0</v>
      </c>
      <c r="E945">
        <v>19.98</v>
      </c>
      <c r="F945">
        <v>5.97</v>
      </c>
      <c r="G945" t="s">
        <v>63</v>
      </c>
      <c r="H945" t="s">
        <v>70</v>
      </c>
      <c r="I945" t="s">
        <v>24</v>
      </c>
      <c r="J945" t="s">
        <v>64</v>
      </c>
      <c r="K945" t="s">
        <v>49</v>
      </c>
      <c r="L945" t="s">
        <v>1846</v>
      </c>
      <c r="M945">
        <v>0.38</v>
      </c>
      <c r="N945" t="s">
        <v>8</v>
      </c>
      <c r="O945" t="s">
        <v>9</v>
      </c>
      <c r="P945" t="s">
        <v>51</v>
      </c>
      <c r="Q945" t="s">
        <v>1847</v>
      </c>
      <c r="R945">
        <v>30144</v>
      </c>
      <c r="S945" s="1">
        <v>42089</v>
      </c>
      <c r="T945" s="1">
        <v>42092</v>
      </c>
      <c r="U945">
        <v>-189.714</v>
      </c>
      <c r="V945">
        <v>12</v>
      </c>
      <c r="W945">
        <v>249.07</v>
      </c>
      <c r="X945">
        <v>88837</v>
      </c>
      <c r="Y945">
        <f>cleaneddata[[#This Row],[Unit Price]]-cleaneddata[[#This Row],[Discount]]</f>
        <v>19.98</v>
      </c>
      <c r="Z94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6" spans="1:26" x14ac:dyDescent="0.3">
      <c r="A946">
        <v>2124</v>
      </c>
      <c r="B946" t="s">
        <v>12</v>
      </c>
      <c r="C946" t="s">
        <v>13</v>
      </c>
      <c r="D946">
        <v>0.03</v>
      </c>
      <c r="E946">
        <v>124.49</v>
      </c>
      <c r="F946">
        <v>51.94</v>
      </c>
      <c r="G946" t="s">
        <v>2</v>
      </c>
      <c r="H946" t="s">
        <v>70</v>
      </c>
      <c r="I946" t="s">
        <v>4</v>
      </c>
      <c r="J946" t="s">
        <v>5</v>
      </c>
      <c r="K946" t="s">
        <v>6</v>
      </c>
      <c r="L946" t="s">
        <v>1125</v>
      </c>
      <c r="M946">
        <v>0.63</v>
      </c>
      <c r="N946" t="s">
        <v>8</v>
      </c>
      <c r="O946" t="s">
        <v>9</v>
      </c>
      <c r="P946" t="s">
        <v>20</v>
      </c>
      <c r="Q946" t="s">
        <v>21</v>
      </c>
      <c r="R946">
        <v>72301</v>
      </c>
      <c r="S946" s="1">
        <v>42089</v>
      </c>
      <c r="T946" s="1">
        <v>42090</v>
      </c>
      <c r="U946">
        <v>18.173999999999999</v>
      </c>
      <c r="V946">
        <v>21</v>
      </c>
      <c r="W946">
        <v>2761.94</v>
      </c>
      <c r="X946">
        <v>89666</v>
      </c>
      <c r="Y946">
        <f>cleaneddata[[#This Row],[Unit Price]]-cleaneddata[[#This Row],[Discount]]</f>
        <v>124.46</v>
      </c>
      <c r="Z94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7" spans="1:26" x14ac:dyDescent="0.3">
      <c r="A947">
        <v>2066</v>
      </c>
      <c r="B947" t="s">
        <v>1848</v>
      </c>
      <c r="C947" t="s">
        <v>92</v>
      </c>
      <c r="D947">
        <v>0.09</v>
      </c>
      <c r="E947">
        <v>20.89</v>
      </c>
      <c r="F947">
        <v>11.52</v>
      </c>
      <c r="G947" t="s">
        <v>14</v>
      </c>
      <c r="H947" t="s">
        <v>47</v>
      </c>
      <c r="I947" t="s">
        <v>24</v>
      </c>
      <c r="J947" t="s">
        <v>54</v>
      </c>
      <c r="K947" t="s">
        <v>49</v>
      </c>
      <c r="L947" t="s">
        <v>1849</v>
      </c>
      <c r="M947">
        <v>0.83</v>
      </c>
      <c r="N947" t="s">
        <v>8</v>
      </c>
      <c r="O947" t="s">
        <v>9</v>
      </c>
      <c r="P947" t="s">
        <v>73</v>
      </c>
      <c r="Q947" t="s">
        <v>1850</v>
      </c>
      <c r="R947">
        <v>28079</v>
      </c>
      <c r="S947" s="1">
        <v>42089</v>
      </c>
      <c r="T947" s="1">
        <v>42090</v>
      </c>
      <c r="U947">
        <v>-133.54599999999999</v>
      </c>
      <c r="V947">
        <v>7</v>
      </c>
      <c r="W947">
        <v>146.5</v>
      </c>
      <c r="X947">
        <v>85833</v>
      </c>
      <c r="Y947">
        <f>cleaneddata[[#This Row],[Unit Price]]-cleaneddata[[#This Row],[Discount]]</f>
        <v>20.8</v>
      </c>
      <c r="Z94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8" spans="1:26" x14ac:dyDescent="0.3">
      <c r="A948">
        <v>2419</v>
      </c>
      <c r="B948" t="s">
        <v>1851</v>
      </c>
      <c r="C948" t="s">
        <v>46</v>
      </c>
      <c r="D948">
        <v>7.0000000000000007E-2</v>
      </c>
      <c r="E948">
        <v>225.04</v>
      </c>
      <c r="F948">
        <v>11.79</v>
      </c>
      <c r="G948" t="s">
        <v>14</v>
      </c>
      <c r="H948" t="s">
        <v>15</v>
      </c>
      <c r="I948" t="s">
        <v>24</v>
      </c>
      <c r="J948" t="s">
        <v>71</v>
      </c>
      <c r="K948" t="s">
        <v>120</v>
      </c>
      <c r="L948" t="s">
        <v>1852</v>
      </c>
      <c r="M948">
        <v>0.42</v>
      </c>
      <c r="N948" t="s">
        <v>8</v>
      </c>
      <c r="O948" t="s">
        <v>9</v>
      </c>
      <c r="P948" t="s">
        <v>218</v>
      </c>
      <c r="Q948" t="s">
        <v>1853</v>
      </c>
      <c r="R948">
        <v>23701</v>
      </c>
      <c r="S948" s="1">
        <v>42089</v>
      </c>
      <c r="T948" s="1">
        <v>42089</v>
      </c>
      <c r="U948">
        <v>-162.91800000000001</v>
      </c>
      <c r="V948">
        <v>5</v>
      </c>
      <c r="W948">
        <v>1130.1500000000001</v>
      </c>
      <c r="X948">
        <v>86751</v>
      </c>
      <c r="Y948">
        <f>cleaneddata[[#This Row],[Unit Price]]-cleaneddata[[#This Row],[Discount]]</f>
        <v>224.97</v>
      </c>
      <c r="Z94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49" spans="1:26" x14ac:dyDescent="0.3">
      <c r="A949">
        <v>2419</v>
      </c>
      <c r="B949" t="s">
        <v>1851</v>
      </c>
      <c r="C949" t="s">
        <v>46</v>
      </c>
      <c r="D949">
        <v>0.03</v>
      </c>
      <c r="E949">
        <v>7.84</v>
      </c>
      <c r="F949">
        <v>4.71</v>
      </c>
      <c r="G949" t="s">
        <v>14</v>
      </c>
      <c r="H949" t="s">
        <v>15</v>
      </c>
      <c r="I949" t="s">
        <v>24</v>
      </c>
      <c r="J949" t="s">
        <v>48</v>
      </c>
      <c r="K949" t="s">
        <v>49</v>
      </c>
      <c r="L949" t="s">
        <v>655</v>
      </c>
      <c r="M949">
        <v>0.35</v>
      </c>
      <c r="N949" t="s">
        <v>8</v>
      </c>
      <c r="O949" t="s">
        <v>9</v>
      </c>
      <c r="P949" t="s">
        <v>218</v>
      </c>
      <c r="Q949" t="s">
        <v>1853</v>
      </c>
      <c r="R949">
        <v>23701</v>
      </c>
      <c r="S949" s="1">
        <v>42089</v>
      </c>
      <c r="T949" s="1">
        <v>42092</v>
      </c>
      <c r="U949">
        <v>859.71780000000001</v>
      </c>
      <c r="V949">
        <v>7</v>
      </c>
      <c r="W949">
        <v>54.37</v>
      </c>
      <c r="X949">
        <v>86751</v>
      </c>
      <c r="Y949">
        <f>cleaneddata[[#This Row],[Unit Price]]-cleaneddata[[#This Row],[Discount]]</f>
        <v>7.81</v>
      </c>
      <c r="Z94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50" spans="1:26" x14ac:dyDescent="0.3">
      <c r="A950">
        <v>2773</v>
      </c>
      <c r="B950" t="s">
        <v>1854</v>
      </c>
      <c r="C950" t="s">
        <v>46</v>
      </c>
      <c r="D950">
        <v>0.1</v>
      </c>
      <c r="E950">
        <v>5.18</v>
      </c>
      <c r="F950">
        <v>5.74</v>
      </c>
      <c r="G950" t="s">
        <v>14</v>
      </c>
      <c r="H950" t="s">
        <v>70</v>
      </c>
      <c r="I950" t="s">
        <v>24</v>
      </c>
      <c r="J950" t="s">
        <v>48</v>
      </c>
      <c r="K950" t="s">
        <v>49</v>
      </c>
      <c r="L950" t="s">
        <v>826</v>
      </c>
      <c r="M950">
        <v>0.36</v>
      </c>
      <c r="N950" t="s">
        <v>8</v>
      </c>
      <c r="O950" t="s">
        <v>35</v>
      </c>
      <c r="P950" t="s">
        <v>66</v>
      </c>
      <c r="Q950" t="s">
        <v>1586</v>
      </c>
      <c r="R950">
        <v>94568</v>
      </c>
      <c r="S950" s="1">
        <v>42089</v>
      </c>
      <c r="T950" s="1">
        <v>42091</v>
      </c>
      <c r="U950">
        <v>-29.003</v>
      </c>
      <c r="V950">
        <v>2</v>
      </c>
      <c r="W950">
        <v>10.96</v>
      </c>
      <c r="X950">
        <v>91584</v>
      </c>
      <c r="Y950">
        <f>cleaneddata[[#This Row],[Unit Price]]-cleaneddata[[#This Row],[Discount]]</f>
        <v>5.08</v>
      </c>
      <c r="Z95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51" spans="1:26" x14ac:dyDescent="0.3">
      <c r="A951">
        <v>2059</v>
      </c>
      <c r="B951" t="s">
        <v>592</v>
      </c>
      <c r="C951" t="s">
        <v>1</v>
      </c>
      <c r="D951">
        <v>0.1</v>
      </c>
      <c r="E951">
        <v>9.85</v>
      </c>
      <c r="F951">
        <v>4.82</v>
      </c>
      <c r="G951" t="s">
        <v>14</v>
      </c>
      <c r="H951" t="s">
        <v>70</v>
      </c>
      <c r="I951" t="s">
        <v>24</v>
      </c>
      <c r="J951" t="s">
        <v>25</v>
      </c>
      <c r="K951" t="s">
        <v>26</v>
      </c>
      <c r="L951" t="s">
        <v>1855</v>
      </c>
      <c r="M951">
        <v>0.47</v>
      </c>
      <c r="N951" t="s">
        <v>8</v>
      </c>
      <c r="O951" t="s">
        <v>9</v>
      </c>
      <c r="P951" t="s">
        <v>73</v>
      </c>
      <c r="Q951" t="s">
        <v>593</v>
      </c>
      <c r="R951">
        <v>27260</v>
      </c>
      <c r="S951" s="1">
        <v>42090</v>
      </c>
      <c r="T951" s="1">
        <v>42091</v>
      </c>
      <c r="U951">
        <v>374.904</v>
      </c>
      <c r="V951">
        <v>12</v>
      </c>
      <c r="W951">
        <v>114.91</v>
      </c>
      <c r="X951">
        <v>88041</v>
      </c>
      <c r="Y951">
        <f>cleaneddata[[#This Row],[Unit Price]]-cleaneddata[[#This Row],[Discount]]</f>
        <v>9.75</v>
      </c>
      <c r="Z95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52" spans="1:26" x14ac:dyDescent="0.3">
      <c r="A952">
        <v>2059</v>
      </c>
      <c r="B952" t="s">
        <v>592</v>
      </c>
      <c r="C952" t="s">
        <v>1</v>
      </c>
      <c r="D952">
        <v>0.04</v>
      </c>
      <c r="E952">
        <v>125.99</v>
      </c>
      <c r="F952">
        <v>7.69</v>
      </c>
      <c r="G952" t="s">
        <v>14</v>
      </c>
      <c r="H952" t="s">
        <v>70</v>
      </c>
      <c r="I952" t="s">
        <v>16</v>
      </c>
      <c r="J952" t="s">
        <v>111</v>
      </c>
      <c r="K952" t="s">
        <v>49</v>
      </c>
      <c r="L952" t="s">
        <v>1025</v>
      </c>
      <c r="M952">
        <v>0.57999999999999996</v>
      </c>
      <c r="N952" t="s">
        <v>8</v>
      </c>
      <c r="O952" t="s">
        <v>9</v>
      </c>
      <c r="P952" t="s">
        <v>73</v>
      </c>
      <c r="Q952" t="s">
        <v>593</v>
      </c>
      <c r="R952">
        <v>27260</v>
      </c>
      <c r="S952" s="1">
        <v>42090</v>
      </c>
      <c r="T952" s="1">
        <v>42091</v>
      </c>
      <c r="U952">
        <v>-528.83600000000001</v>
      </c>
      <c r="V952">
        <v>9</v>
      </c>
      <c r="W952">
        <v>934.52</v>
      </c>
      <c r="X952">
        <v>88041</v>
      </c>
      <c r="Y952">
        <f>cleaneddata[[#This Row],[Unit Price]]-cleaneddata[[#This Row],[Discount]]</f>
        <v>125.94999999999999</v>
      </c>
      <c r="Z95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53" spans="1:26" x14ac:dyDescent="0.3">
      <c r="A953">
        <v>32</v>
      </c>
      <c r="B953" t="s">
        <v>620</v>
      </c>
      <c r="C953" t="s">
        <v>13</v>
      </c>
      <c r="D953">
        <v>0.01</v>
      </c>
      <c r="E953">
        <v>17.98</v>
      </c>
      <c r="F953">
        <v>8.51</v>
      </c>
      <c r="G953" t="s">
        <v>14</v>
      </c>
      <c r="H953" t="s">
        <v>70</v>
      </c>
      <c r="I953" t="s">
        <v>16</v>
      </c>
      <c r="J953" t="s">
        <v>32</v>
      </c>
      <c r="K953" t="s">
        <v>120</v>
      </c>
      <c r="L953" t="s">
        <v>1856</v>
      </c>
      <c r="M953">
        <v>0.4</v>
      </c>
      <c r="N953" t="s">
        <v>8</v>
      </c>
      <c r="O953" t="s">
        <v>35</v>
      </c>
      <c r="P953" t="s">
        <v>115</v>
      </c>
      <c r="Q953" t="s">
        <v>622</v>
      </c>
      <c r="R953">
        <v>97526</v>
      </c>
      <c r="S953" s="1">
        <v>42090</v>
      </c>
      <c r="T953" s="1">
        <v>42091</v>
      </c>
      <c r="U953">
        <v>-35.878799999999998</v>
      </c>
      <c r="V953">
        <v>2</v>
      </c>
      <c r="W953">
        <v>40.17</v>
      </c>
      <c r="X953">
        <v>89200</v>
      </c>
      <c r="Y953">
        <f>cleaneddata[[#This Row],[Unit Price]]-cleaneddata[[#This Row],[Discount]]</f>
        <v>17.97</v>
      </c>
      <c r="Z95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54" spans="1:26" x14ac:dyDescent="0.3">
      <c r="A954">
        <v>234</v>
      </c>
      <c r="B954" t="s">
        <v>961</v>
      </c>
      <c r="C954" t="s">
        <v>13</v>
      </c>
      <c r="D954">
        <v>0.03</v>
      </c>
      <c r="E954">
        <v>28.53</v>
      </c>
      <c r="F954">
        <v>1.49</v>
      </c>
      <c r="G954" t="s">
        <v>14</v>
      </c>
      <c r="H954" t="s">
        <v>3</v>
      </c>
      <c r="I954" t="s">
        <v>24</v>
      </c>
      <c r="J954" t="s">
        <v>48</v>
      </c>
      <c r="K954" t="s">
        <v>49</v>
      </c>
      <c r="L954" t="s">
        <v>1808</v>
      </c>
      <c r="M954">
        <v>0.38</v>
      </c>
      <c r="N954" t="s">
        <v>8</v>
      </c>
      <c r="O954" t="s">
        <v>28</v>
      </c>
      <c r="P954" t="s">
        <v>189</v>
      </c>
      <c r="Q954" t="s">
        <v>713</v>
      </c>
      <c r="R954">
        <v>50208</v>
      </c>
      <c r="S954" s="1">
        <v>42090</v>
      </c>
      <c r="T954" s="1">
        <v>42092</v>
      </c>
      <c r="U954">
        <v>136.33709999999999</v>
      </c>
      <c r="V954">
        <v>7</v>
      </c>
      <c r="W954">
        <v>197.59</v>
      </c>
      <c r="X954">
        <v>90238</v>
      </c>
      <c r="Y954">
        <f>cleaneddata[[#This Row],[Unit Price]]-cleaneddata[[#This Row],[Discount]]</f>
        <v>28.5</v>
      </c>
      <c r="Z9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55" spans="1:26" x14ac:dyDescent="0.3">
      <c r="A955">
        <v>234</v>
      </c>
      <c r="B955" t="s">
        <v>961</v>
      </c>
      <c r="C955" t="s">
        <v>13</v>
      </c>
      <c r="D955">
        <v>0.01</v>
      </c>
      <c r="E955">
        <v>15.28</v>
      </c>
      <c r="F955">
        <v>1.99</v>
      </c>
      <c r="G955" t="s">
        <v>14</v>
      </c>
      <c r="H955" t="s">
        <v>3</v>
      </c>
      <c r="I955" t="s">
        <v>16</v>
      </c>
      <c r="J955" t="s">
        <v>17</v>
      </c>
      <c r="K955" t="s">
        <v>18</v>
      </c>
      <c r="L955" t="s">
        <v>488</v>
      </c>
      <c r="M955">
        <v>0.42</v>
      </c>
      <c r="N955" t="s">
        <v>8</v>
      </c>
      <c r="O955" t="s">
        <v>28</v>
      </c>
      <c r="P955" t="s">
        <v>189</v>
      </c>
      <c r="Q955" t="s">
        <v>713</v>
      </c>
      <c r="R955">
        <v>50208</v>
      </c>
      <c r="S955" s="1">
        <v>42090</v>
      </c>
      <c r="T955" s="1">
        <v>42092</v>
      </c>
      <c r="U955">
        <v>-12.46</v>
      </c>
      <c r="V955">
        <v>2</v>
      </c>
      <c r="W955">
        <v>33.04</v>
      </c>
      <c r="X955">
        <v>90238</v>
      </c>
      <c r="Y955">
        <f>cleaneddata[[#This Row],[Unit Price]]-cleaneddata[[#This Row],[Discount]]</f>
        <v>15.27</v>
      </c>
      <c r="Z9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56" spans="1:26" x14ac:dyDescent="0.3">
      <c r="A956">
        <v>920</v>
      </c>
      <c r="B956" t="s">
        <v>1857</v>
      </c>
      <c r="C956" t="s">
        <v>23</v>
      </c>
      <c r="D956">
        <v>0.1</v>
      </c>
      <c r="E956">
        <v>15.98</v>
      </c>
      <c r="F956">
        <v>4</v>
      </c>
      <c r="G956" t="s">
        <v>14</v>
      </c>
      <c r="H956" t="s">
        <v>70</v>
      </c>
      <c r="I956" t="s">
        <v>16</v>
      </c>
      <c r="J956" t="s">
        <v>17</v>
      </c>
      <c r="K956" t="s">
        <v>49</v>
      </c>
      <c r="L956" t="s">
        <v>1858</v>
      </c>
      <c r="M956">
        <v>0.37</v>
      </c>
      <c r="N956" t="s">
        <v>8</v>
      </c>
      <c r="O956" t="s">
        <v>35</v>
      </c>
      <c r="P956" t="s">
        <v>66</v>
      </c>
      <c r="Q956" t="s">
        <v>1205</v>
      </c>
      <c r="R956">
        <v>92374</v>
      </c>
      <c r="S956" s="1">
        <v>42090</v>
      </c>
      <c r="T956" s="1">
        <v>42095</v>
      </c>
      <c r="U956">
        <v>92.722200000000001</v>
      </c>
      <c r="V956">
        <v>9</v>
      </c>
      <c r="W956">
        <v>134.38</v>
      </c>
      <c r="X956">
        <v>90491</v>
      </c>
      <c r="Y956">
        <f>cleaneddata[[#This Row],[Unit Price]]-cleaneddata[[#This Row],[Discount]]</f>
        <v>15.88</v>
      </c>
      <c r="Z95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57" spans="1:26" x14ac:dyDescent="0.3">
      <c r="A957">
        <v>696</v>
      </c>
      <c r="B957" t="s">
        <v>1859</v>
      </c>
      <c r="C957" t="s">
        <v>92</v>
      </c>
      <c r="D957">
        <v>0.06</v>
      </c>
      <c r="E957">
        <v>8.1199999999999992</v>
      </c>
      <c r="F957">
        <v>2.83</v>
      </c>
      <c r="G957" t="s">
        <v>14</v>
      </c>
      <c r="H957" t="s">
        <v>70</v>
      </c>
      <c r="I957" t="s">
        <v>16</v>
      </c>
      <c r="J957" t="s">
        <v>17</v>
      </c>
      <c r="K957" t="s">
        <v>18</v>
      </c>
      <c r="L957" t="s">
        <v>1674</v>
      </c>
      <c r="M957">
        <v>0.77</v>
      </c>
      <c r="N957" t="s">
        <v>8</v>
      </c>
      <c r="O957" t="s">
        <v>28</v>
      </c>
      <c r="P957" t="s">
        <v>29</v>
      </c>
      <c r="Q957" t="s">
        <v>1860</v>
      </c>
      <c r="R957">
        <v>46307</v>
      </c>
      <c r="S957" s="1">
        <v>42090</v>
      </c>
      <c r="T957" s="1">
        <v>42091</v>
      </c>
      <c r="U957">
        <v>-82.83</v>
      </c>
      <c r="V957">
        <v>10</v>
      </c>
      <c r="W957">
        <v>78.540000000000006</v>
      </c>
      <c r="X957">
        <v>89847</v>
      </c>
      <c r="Y957">
        <f>cleaneddata[[#This Row],[Unit Price]]-cleaneddata[[#This Row],[Discount]]</f>
        <v>8.0599999999999987</v>
      </c>
      <c r="Z95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58" spans="1:26" x14ac:dyDescent="0.3">
      <c r="A958">
        <v>696</v>
      </c>
      <c r="B958" t="s">
        <v>1859</v>
      </c>
      <c r="C958" t="s">
        <v>92</v>
      </c>
      <c r="D958">
        <v>0.05</v>
      </c>
      <c r="E958">
        <v>51.65</v>
      </c>
      <c r="F958">
        <v>18.45</v>
      </c>
      <c r="G958" t="s">
        <v>14</v>
      </c>
      <c r="H958" t="s">
        <v>70</v>
      </c>
      <c r="I958" t="s">
        <v>4</v>
      </c>
      <c r="J958" t="s">
        <v>102</v>
      </c>
      <c r="K958" t="s">
        <v>120</v>
      </c>
      <c r="L958" t="s">
        <v>1861</v>
      </c>
      <c r="M958">
        <v>0.65</v>
      </c>
      <c r="N958" t="s">
        <v>8</v>
      </c>
      <c r="O958" t="s">
        <v>28</v>
      </c>
      <c r="P958" t="s">
        <v>29</v>
      </c>
      <c r="Q958" t="s">
        <v>1860</v>
      </c>
      <c r="R958">
        <v>46307</v>
      </c>
      <c r="S958" s="1">
        <v>42090</v>
      </c>
      <c r="T958" s="1">
        <v>42091</v>
      </c>
      <c r="U958">
        <v>25.04</v>
      </c>
      <c r="V958">
        <v>12</v>
      </c>
      <c r="W958">
        <v>605.1</v>
      </c>
      <c r="X958">
        <v>89847</v>
      </c>
      <c r="Y958">
        <f>cleaneddata[[#This Row],[Unit Price]]-cleaneddata[[#This Row],[Discount]]</f>
        <v>51.6</v>
      </c>
      <c r="Z95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59" spans="1:26" x14ac:dyDescent="0.3">
      <c r="A959">
        <v>697</v>
      </c>
      <c r="B959" t="s">
        <v>1017</v>
      </c>
      <c r="C959" t="s">
        <v>92</v>
      </c>
      <c r="D959">
        <v>0.1</v>
      </c>
      <c r="E959">
        <v>175.99</v>
      </c>
      <c r="F959">
        <v>8.99</v>
      </c>
      <c r="G959" t="s">
        <v>14</v>
      </c>
      <c r="H959" t="s">
        <v>70</v>
      </c>
      <c r="I959" t="s">
        <v>16</v>
      </c>
      <c r="J959" t="s">
        <v>111</v>
      </c>
      <c r="K959" t="s">
        <v>49</v>
      </c>
      <c r="L959" t="s">
        <v>1155</v>
      </c>
      <c r="M959">
        <v>0.56999999999999995</v>
      </c>
      <c r="N959" t="s">
        <v>8</v>
      </c>
      <c r="O959" t="s">
        <v>28</v>
      </c>
      <c r="P959" t="s">
        <v>29</v>
      </c>
      <c r="Q959" t="s">
        <v>1018</v>
      </c>
      <c r="R959">
        <v>46312</v>
      </c>
      <c r="S959" s="1">
        <v>42090</v>
      </c>
      <c r="T959" s="1">
        <v>42091</v>
      </c>
      <c r="U959">
        <v>928.96079999999995</v>
      </c>
      <c r="V959">
        <v>10</v>
      </c>
      <c r="W959">
        <v>1346.32</v>
      </c>
      <c r="X959">
        <v>89847</v>
      </c>
      <c r="Y959">
        <f>cleaneddata[[#This Row],[Unit Price]]-cleaneddata[[#This Row],[Discount]]</f>
        <v>175.89000000000001</v>
      </c>
      <c r="Z95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60" spans="1:26" x14ac:dyDescent="0.3">
      <c r="A960">
        <v>698</v>
      </c>
      <c r="B960" t="s">
        <v>1019</v>
      </c>
      <c r="C960" t="s">
        <v>92</v>
      </c>
      <c r="D960">
        <v>0.06</v>
      </c>
      <c r="E960">
        <v>8.1199999999999992</v>
      </c>
      <c r="F960">
        <v>2.83</v>
      </c>
      <c r="G960" t="s">
        <v>14</v>
      </c>
      <c r="H960" t="s">
        <v>70</v>
      </c>
      <c r="I960" t="s">
        <v>16</v>
      </c>
      <c r="J960" t="s">
        <v>17</v>
      </c>
      <c r="K960" t="s">
        <v>18</v>
      </c>
      <c r="L960" t="s">
        <v>1674</v>
      </c>
      <c r="M960">
        <v>0.77</v>
      </c>
      <c r="N960" t="s">
        <v>8</v>
      </c>
      <c r="O960" t="s">
        <v>35</v>
      </c>
      <c r="P960" t="s">
        <v>42</v>
      </c>
      <c r="Q960" t="s">
        <v>118</v>
      </c>
      <c r="R960">
        <v>98105</v>
      </c>
      <c r="S960" s="1">
        <v>42090</v>
      </c>
      <c r="T960" s="1">
        <v>42091</v>
      </c>
      <c r="U960">
        <v>-82.83</v>
      </c>
      <c r="V960">
        <v>41</v>
      </c>
      <c r="W960">
        <v>322.02999999999997</v>
      </c>
      <c r="X960">
        <v>32869</v>
      </c>
      <c r="Y960">
        <f>cleaneddata[[#This Row],[Unit Price]]-cleaneddata[[#This Row],[Discount]]</f>
        <v>8.0599999999999987</v>
      </c>
      <c r="Z9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61" spans="1:26" x14ac:dyDescent="0.3">
      <c r="A961">
        <v>698</v>
      </c>
      <c r="B961" t="s">
        <v>1019</v>
      </c>
      <c r="C961" t="s">
        <v>92</v>
      </c>
      <c r="D961">
        <v>0.05</v>
      </c>
      <c r="E961">
        <v>51.65</v>
      </c>
      <c r="F961">
        <v>18.45</v>
      </c>
      <c r="G961" t="s">
        <v>14</v>
      </c>
      <c r="H961" t="s">
        <v>70</v>
      </c>
      <c r="I961" t="s">
        <v>4</v>
      </c>
      <c r="J961" t="s">
        <v>102</v>
      </c>
      <c r="K961" t="s">
        <v>120</v>
      </c>
      <c r="L961" t="s">
        <v>1861</v>
      </c>
      <c r="M961">
        <v>0.65</v>
      </c>
      <c r="N961" t="s">
        <v>8</v>
      </c>
      <c r="O961" t="s">
        <v>35</v>
      </c>
      <c r="P961" t="s">
        <v>42</v>
      </c>
      <c r="Q961" t="s">
        <v>118</v>
      </c>
      <c r="R961">
        <v>98105</v>
      </c>
      <c r="S961" s="1">
        <v>42090</v>
      </c>
      <c r="T961" s="1">
        <v>42091</v>
      </c>
      <c r="U961">
        <v>25.04</v>
      </c>
      <c r="V961">
        <v>49</v>
      </c>
      <c r="W961">
        <v>2470.84</v>
      </c>
      <c r="X961">
        <v>32869</v>
      </c>
      <c r="Y961">
        <f>cleaneddata[[#This Row],[Unit Price]]-cleaneddata[[#This Row],[Discount]]</f>
        <v>51.6</v>
      </c>
      <c r="Z9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62" spans="1:26" x14ac:dyDescent="0.3">
      <c r="A962">
        <v>698</v>
      </c>
      <c r="B962" t="s">
        <v>1019</v>
      </c>
      <c r="C962" t="s">
        <v>92</v>
      </c>
      <c r="D962">
        <v>0.1</v>
      </c>
      <c r="E962">
        <v>175.99</v>
      </c>
      <c r="F962">
        <v>8.99</v>
      </c>
      <c r="G962" t="s">
        <v>14</v>
      </c>
      <c r="H962" t="s">
        <v>70</v>
      </c>
      <c r="I962" t="s">
        <v>16</v>
      </c>
      <c r="J962" t="s">
        <v>111</v>
      </c>
      <c r="K962" t="s">
        <v>49</v>
      </c>
      <c r="L962" t="s">
        <v>1155</v>
      </c>
      <c r="M962">
        <v>0.56999999999999995</v>
      </c>
      <c r="N962" t="s">
        <v>8</v>
      </c>
      <c r="O962" t="s">
        <v>35</v>
      </c>
      <c r="P962" t="s">
        <v>42</v>
      </c>
      <c r="Q962" t="s">
        <v>118</v>
      </c>
      <c r="R962">
        <v>98105</v>
      </c>
      <c r="S962" s="1">
        <v>42090</v>
      </c>
      <c r="T962" s="1">
        <v>42091</v>
      </c>
      <c r="U962">
        <v>930.98699999999997</v>
      </c>
      <c r="V962">
        <v>39</v>
      </c>
      <c r="W962">
        <v>5250.66</v>
      </c>
      <c r="X962">
        <v>32869</v>
      </c>
      <c r="Y962">
        <f>cleaneddata[[#This Row],[Unit Price]]-cleaneddata[[#This Row],[Discount]]</f>
        <v>175.89000000000001</v>
      </c>
      <c r="Z9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63" spans="1:26" x14ac:dyDescent="0.3">
      <c r="A963">
        <v>1625</v>
      </c>
      <c r="B963" t="s">
        <v>1199</v>
      </c>
      <c r="C963" t="s">
        <v>92</v>
      </c>
      <c r="D963">
        <v>0.08</v>
      </c>
      <c r="E963">
        <v>213.45</v>
      </c>
      <c r="F963">
        <v>14.7</v>
      </c>
      <c r="G963" t="s">
        <v>2</v>
      </c>
      <c r="H963" t="s">
        <v>47</v>
      </c>
      <c r="I963" t="s">
        <v>16</v>
      </c>
      <c r="J963" t="s">
        <v>32</v>
      </c>
      <c r="K963" t="s">
        <v>33</v>
      </c>
      <c r="L963" t="s">
        <v>156</v>
      </c>
      <c r="M963">
        <v>0.59</v>
      </c>
      <c r="N963" t="s">
        <v>8</v>
      </c>
      <c r="O963" t="s">
        <v>87</v>
      </c>
      <c r="P963" t="s">
        <v>88</v>
      </c>
      <c r="Q963" t="s">
        <v>1201</v>
      </c>
      <c r="R963">
        <v>11542</v>
      </c>
      <c r="S963" s="1">
        <v>42090</v>
      </c>
      <c r="T963" s="1">
        <v>42092</v>
      </c>
      <c r="U963">
        <v>1674.7542000000001</v>
      </c>
      <c r="V963">
        <v>12</v>
      </c>
      <c r="W963">
        <v>2427.1799999999998</v>
      </c>
      <c r="X963">
        <v>90600</v>
      </c>
      <c r="Y963">
        <f>cleaneddata[[#This Row],[Unit Price]]-cleaneddata[[#This Row],[Discount]]</f>
        <v>213.36999999999998</v>
      </c>
      <c r="Z96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64" spans="1:26" x14ac:dyDescent="0.3">
      <c r="A964">
        <v>1625</v>
      </c>
      <c r="B964" t="s">
        <v>1199</v>
      </c>
      <c r="C964" t="s">
        <v>92</v>
      </c>
      <c r="D964">
        <v>0.1</v>
      </c>
      <c r="E964">
        <v>55.98</v>
      </c>
      <c r="F964">
        <v>13.88</v>
      </c>
      <c r="G964" t="s">
        <v>14</v>
      </c>
      <c r="H964" t="s">
        <v>47</v>
      </c>
      <c r="I964" t="s">
        <v>24</v>
      </c>
      <c r="J964" t="s">
        <v>64</v>
      </c>
      <c r="K964" t="s">
        <v>49</v>
      </c>
      <c r="L964" t="s">
        <v>1862</v>
      </c>
      <c r="M964">
        <v>0.36</v>
      </c>
      <c r="N964" t="s">
        <v>8</v>
      </c>
      <c r="O964" t="s">
        <v>87</v>
      </c>
      <c r="P964" t="s">
        <v>88</v>
      </c>
      <c r="Q964" t="s">
        <v>1201</v>
      </c>
      <c r="R964">
        <v>11542</v>
      </c>
      <c r="S964" s="1">
        <v>42090</v>
      </c>
      <c r="T964" s="1">
        <v>42092</v>
      </c>
      <c r="U964">
        <v>300.04649999999998</v>
      </c>
      <c r="V964">
        <v>8</v>
      </c>
      <c r="W964">
        <v>434.85</v>
      </c>
      <c r="X964">
        <v>90600</v>
      </c>
      <c r="Y964">
        <f>cleaneddata[[#This Row],[Unit Price]]-cleaneddata[[#This Row],[Discount]]</f>
        <v>55.879999999999995</v>
      </c>
      <c r="Z96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65" spans="1:26" x14ac:dyDescent="0.3">
      <c r="A965">
        <v>1625</v>
      </c>
      <c r="B965" t="s">
        <v>1199</v>
      </c>
      <c r="C965" t="s">
        <v>92</v>
      </c>
      <c r="D965">
        <v>0</v>
      </c>
      <c r="E965">
        <v>16.059999999999999</v>
      </c>
      <c r="F965">
        <v>8.34</v>
      </c>
      <c r="G965" t="s">
        <v>14</v>
      </c>
      <c r="H965" t="s">
        <v>47</v>
      </c>
      <c r="I965" t="s">
        <v>24</v>
      </c>
      <c r="J965" t="s">
        <v>54</v>
      </c>
      <c r="K965" t="s">
        <v>49</v>
      </c>
      <c r="L965" t="s">
        <v>1863</v>
      </c>
      <c r="M965">
        <v>0.59</v>
      </c>
      <c r="N965" t="s">
        <v>8</v>
      </c>
      <c r="O965" t="s">
        <v>87</v>
      </c>
      <c r="P965" t="s">
        <v>88</v>
      </c>
      <c r="Q965" t="s">
        <v>1201</v>
      </c>
      <c r="R965">
        <v>11542</v>
      </c>
      <c r="S965" s="1">
        <v>42090</v>
      </c>
      <c r="T965" s="1">
        <v>42091</v>
      </c>
      <c r="U965">
        <v>-28.09</v>
      </c>
      <c r="V965">
        <v>1</v>
      </c>
      <c r="W965">
        <v>19.16</v>
      </c>
      <c r="X965">
        <v>90600</v>
      </c>
      <c r="Y965">
        <f>cleaneddata[[#This Row],[Unit Price]]-cleaneddata[[#This Row],[Discount]]</f>
        <v>16.059999999999999</v>
      </c>
      <c r="Z96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66" spans="1:26" x14ac:dyDescent="0.3">
      <c r="A966">
        <v>1917</v>
      </c>
      <c r="B966" t="s">
        <v>1432</v>
      </c>
      <c r="C966" t="s">
        <v>92</v>
      </c>
      <c r="D966">
        <v>0.08</v>
      </c>
      <c r="E966">
        <v>18.7</v>
      </c>
      <c r="F966">
        <v>8.99</v>
      </c>
      <c r="G966" t="s">
        <v>14</v>
      </c>
      <c r="H966" t="s">
        <v>47</v>
      </c>
      <c r="I966" t="s">
        <v>4</v>
      </c>
      <c r="J966" t="s">
        <v>102</v>
      </c>
      <c r="K966" t="s">
        <v>18</v>
      </c>
      <c r="L966" t="s">
        <v>1864</v>
      </c>
      <c r="M966">
        <v>0.47</v>
      </c>
      <c r="N966" t="s">
        <v>8</v>
      </c>
      <c r="O966" t="s">
        <v>9</v>
      </c>
      <c r="P966" t="s">
        <v>20</v>
      </c>
      <c r="Q966" t="s">
        <v>1434</v>
      </c>
      <c r="R966">
        <v>72113</v>
      </c>
      <c r="S966" s="1">
        <v>42090</v>
      </c>
      <c r="T966" s="1">
        <v>42091</v>
      </c>
      <c r="U966">
        <v>16.136399999999998</v>
      </c>
      <c r="V966">
        <v>7</v>
      </c>
      <c r="W966">
        <v>132.22999999999999</v>
      </c>
      <c r="X966">
        <v>85894</v>
      </c>
      <c r="Y966">
        <f>cleaneddata[[#This Row],[Unit Price]]-cleaneddata[[#This Row],[Discount]]</f>
        <v>18.62</v>
      </c>
      <c r="Z9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67" spans="1:26" x14ac:dyDescent="0.3">
      <c r="A967">
        <v>1072</v>
      </c>
      <c r="B967" t="s">
        <v>1865</v>
      </c>
      <c r="C967" t="s">
        <v>46</v>
      </c>
      <c r="D967">
        <v>0.01</v>
      </c>
      <c r="E967">
        <v>150.88999999999999</v>
      </c>
      <c r="F967">
        <v>60.2</v>
      </c>
      <c r="G967" t="s">
        <v>2</v>
      </c>
      <c r="H967" t="s">
        <v>70</v>
      </c>
      <c r="I967" t="s">
        <v>4</v>
      </c>
      <c r="J967" t="s">
        <v>85</v>
      </c>
      <c r="K967" t="s">
        <v>33</v>
      </c>
      <c r="L967" t="s">
        <v>1279</v>
      </c>
      <c r="M967">
        <v>0.77</v>
      </c>
      <c r="N967" t="s">
        <v>8</v>
      </c>
      <c r="O967" t="s">
        <v>87</v>
      </c>
      <c r="P967" t="s">
        <v>296</v>
      </c>
      <c r="Q967" t="s">
        <v>1866</v>
      </c>
      <c r="R967">
        <v>18018</v>
      </c>
      <c r="S967" s="1">
        <v>42090</v>
      </c>
      <c r="T967" s="1">
        <v>42093</v>
      </c>
      <c r="U967">
        <v>-505.76</v>
      </c>
      <c r="V967">
        <v>3</v>
      </c>
      <c r="W967">
        <v>473.53</v>
      </c>
      <c r="X967">
        <v>89631</v>
      </c>
      <c r="Y967">
        <f>cleaneddata[[#This Row],[Unit Price]]-cleaneddata[[#This Row],[Discount]]</f>
        <v>150.88</v>
      </c>
      <c r="Z9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68" spans="1:26" x14ac:dyDescent="0.3">
      <c r="A968">
        <v>1481</v>
      </c>
      <c r="B968" t="s">
        <v>1867</v>
      </c>
      <c r="C968" t="s">
        <v>46</v>
      </c>
      <c r="D968">
        <v>7.0000000000000007E-2</v>
      </c>
      <c r="E968">
        <v>8.9499999999999993</v>
      </c>
      <c r="F968">
        <v>2.0099999999999998</v>
      </c>
      <c r="G968" t="s">
        <v>14</v>
      </c>
      <c r="H968" t="s">
        <v>70</v>
      </c>
      <c r="I968" t="s">
        <v>24</v>
      </c>
      <c r="J968" t="s">
        <v>64</v>
      </c>
      <c r="K968" t="s">
        <v>26</v>
      </c>
      <c r="L968" t="s">
        <v>1868</v>
      </c>
      <c r="M968">
        <v>0.39</v>
      </c>
      <c r="N968" t="s">
        <v>8</v>
      </c>
      <c r="O968" t="s">
        <v>35</v>
      </c>
      <c r="P968" t="s">
        <v>66</v>
      </c>
      <c r="Q968" t="s">
        <v>76</v>
      </c>
      <c r="R968">
        <v>90049</v>
      </c>
      <c r="S968" s="1">
        <v>42090</v>
      </c>
      <c r="T968" s="1">
        <v>42091</v>
      </c>
      <c r="U968">
        <v>91.73</v>
      </c>
      <c r="V968">
        <v>36</v>
      </c>
      <c r="W968">
        <v>307.64999999999998</v>
      </c>
      <c r="X968">
        <v>53953</v>
      </c>
      <c r="Y968">
        <f>cleaneddata[[#This Row],[Unit Price]]-cleaneddata[[#This Row],[Discount]]</f>
        <v>8.879999999999999</v>
      </c>
      <c r="Z9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69" spans="1:26" x14ac:dyDescent="0.3">
      <c r="A969">
        <v>1482</v>
      </c>
      <c r="B969" t="s">
        <v>1414</v>
      </c>
      <c r="C969" t="s">
        <v>46</v>
      </c>
      <c r="D969">
        <v>7.0000000000000007E-2</v>
      </c>
      <c r="E969">
        <v>8.9499999999999993</v>
      </c>
      <c r="F969">
        <v>2.0099999999999998</v>
      </c>
      <c r="G969" t="s">
        <v>14</v>
      </c>
      <c r="H969" t="s">
        <v>70</v>
      </c>
      <c r="I969" t="s">
        <v>24</v>
      </c>
      <c r="J969" t="s">
        <v>64</v>
      </c>
      <c r="K969" t="s">
        <v>26</v>
      </c>
      <c r="L969" t="s">
        <v>1868</v>
      </c>
      <c r="M969">
        <v>0.39</v>
      </c>
      <c r="N969" t="s">
        <v>8</v>
      </c>
      <c r="O969" t="s">
        <v>28</v>
      </c>
      <c r="P969" t="s">
        <v>265</v>
      </c>
      <c r="Q969" t="s">
        <v>970</v>
      </c>
      <c r="R969">
        <v>48708</v>
      </c>
      <c r="S969" s="1">
        <v>42090</v>
      </c>
      <c r="T969" s="1">
        <v>42091</v>
      </c>
      <c r="U969">
        <v>53.067900000000002</v>
      </c>
      <c r="V969">
        <v>9</v>
      </c>
      <c r="W969">
        <v>76.91</v>
      </c>
      <c r="X969">
        <v>91362</v>
      </c>
      <c r="Y969">
        <f>cleaneddata[[#This Row],[Unit Price]]-cleaneddata[[#This Row],[Discount]]</f>
        <v>8.879999999999999</v>
      </c>
      <c r="Z96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70" spans="1:26" x14ac:dyDescent="0.3">
      <c r="A970">
        <v>3354</v>
      </c>
      <c r="B970" t="s">
        <v>1869</v>
      </c>
      <c r="C970" t="s">
        <v>46</v>
      </c>
      <c r="D970">
        <v>0.04</v>
      </c>
      <c r="E970">
        <v>3.69</v>
      </c>
      <c r="F970">
        <v>0.5</v>
      </c>
      <c r="G970" t="s">
        <v>14</v>
      </c>
      <c r="H970" t="s">
        <v>70</v>
      </c>
      <c r="I970" t="s">
        <v>24</v>
      </c>
      <c r="J970" t="s">
        <v>128</v>
      </c>
      <c r="K970" t="s">
        <v>49</v>
      </c>
      <c r="L970" t="s">
        <v>1870</v>
      </c>
      <c r="M970">
        <v>0.38</v>
      </c>
      <c r="N970" t="s">
        <v>8</v>
      </c>
      <c r="O970" t="s">
        <v>35</v>
      </c>
      <c r="P970" t="s">
        <v>66</v>
      </c>
      <c r="Q970" t="s">
        <v>1871</v>
      </c>
      <c r="R970">
        <v>92231</v>
      </c>
      <c r="S970" s="1">
        <v>42090</v>
      </c>
      <c r="T970" s="1">
        <v>42092</v>
      </c>
      <c r="U970">
        <v>47.527200000000001</v>
      </c>
      <c r="V970">
        <v>19</v>
      </c>
      <c r="W970">
        <v>68.88</v>
      </c>
      <c r="X970">
        <v>88590</v>
      </c>
      <c r="Y970">
        <f>cleaneddata[[#This Row],[Unit Price]]-cleaneddata[[#This Row],[Discount]]</f>
        <v>3.65</v>
      </c>
      <c r="Z9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71" spans="1:26" x14ac:dyDescent="0.3">
      <c r="A971">
        <v>2668</v>
      </c>
      <c r="B971" t="s">
        <v>1872</v>
      </c>
      <c r="C971" t="s">
        <v>13</v>
      </c>
      <c r="D971">
        <v>0.04</v>
      </c>
      <c r="E971">
        <v>10.4</v>
      </c>
      <c r="F971">
        <v>5.4</v>
      </c>
      <c r="G971" t="s">
        <v>14</v>
      </c>
      <c r="H971" t="s">
        <v>70</v>
      </c>
      <c r="I971" t="s">
        <v>4</v>
      </c>
      <c r="J971" t="s">
        <v>102</v>
      </c>
      <c r="K971" t="s">
        <v>18</v>
      </c>
      <c r="L971" t="s">
        <v>1873</v>
      </c>
      <c r="M971">
        <v>0.51</v>
      </c>
      <c r="N971" t="s">
        <v>8</v>
      </c>
      <c r="O971" t="s">
        <v>28</v>
      </c>
      <c r="P971" t="s">
        <v>1047</v>
      </c>
      <c r="Q971" t="s">
        <v>1874</v>
      </c>
      <c r="R971">
        <v>57701</v>
      </c>
      <c r="S971" s="1">
        <v>42091</v>
      </c>
      <c r="T971" s="1">
        <v>42092</v>
      </c>
      <c r="U971">
        <v>29.98</v>
      </c>
      <c r="V971">
        <v>12</v>
      </c>
      <c r="W971">
        <v>130.74</v>
      </c>
      <c r="X971">
        <v>87830</v>
      </c>
      <c r="Y971">
        <f>cleaneddata[[#This Row],[Unit Price]]-cleaneddata[[#This Row],[Discount]]</f>
        <v>10.360000000000001</v>
      </c>
      <c r="Z97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72" spans="1:26" x14ac:dyDescent="0.3">
      <c r="A972">
        <v>2668</v>
      </c>
      <c r="B972" t="s">
        <v>1872</v>
      </c>
      <c r="C972" t="s">
        <v>13</v>
      </c>
      <c r="D972">
        <v>0.08</v>
      </c>
      <c r="E972">
        <v>4.28</v>
      </c>
      <c r="F972">
        <v>4.79</v>
      </c>
      <c r="G972" t="s">
        <v>14</v>
      </c>
      <c r="H972" t="s">
        <v>70</v>
      </c>
      <c r="I972" t="s">
        <v>24</v>
      </c>
      <c r="J972" t="s">
        <v>64</v>
      </c>
      <c r="K972" t="s">
        <v>49</v>
      </c>
      <c r="L972" t="s">
        <v>1875</v>
      </c>
      <c r="M972">
        <v>0.4</v>
      </c>
      <c r="N972" t="s">
        <v>8</v>
      </c>
      <c r="O972" t="s">
        <v>28</v>
      </c>
      <c r="P972" t="s">
        <v>1047</v>
      </c>
      <c r="Q972" t="s">
        <v>1874</v>
      </c>
      <c r="R972">
        <v>57701</v>
      </c>
      <c r="S972" s="1">
        <v>42091</v>
      </c>
      <c r="T972" s="1">
        <v>42093</v>
      </c>
      <c r="U972">
        <v>-121.2</v>
      </c>
      <c r="V972">
        <v>12</v>
      </c>
      <c r="W972">
        <v>49.87</v>
      </c>
      <c r="X972">
        <v>87830</v>
      </c>
      <c r="Y972">
        <f>cleaneddata[[#This Row],[Unit Price]]-cleaneddata[[#This Row],[Discount]]</f>
        <v>4.2</v>
      </c>
      <c r="Z9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73" spans="1:26" x14ac:dyDescent="0.3">
      <c r="A973">
        <v>2968</v>
      </c>
      <c r="B973" t="s">
        <v>1295</v>
      </c>
      <c r="C973" t="s">
        <v>13</v>
      </c>
      <c r="D973">
        <v>0.06</v>
      </c>
      <c r="E973">
        <v>363.25</v>
      </c>
      <c r="F973">
        <v>19.989999999999998</v>
      </c>
      <c r="G973" t="s">
        <v>14</v>
      </c>
      <c r="H973" t="s">
        <v>3</v>
      </c>
      <c r="I973" t="s">
        <v>24</v>
      </c>
      <c r="J973" t="s">
        <v>71</v>
      </c>
      <c r="K973" t="s">
        <v>49</v>
      </c>
      <c r="L973" t="s">
        <v>175</v>
      </c>
      <c r="M973">
        <v>0.56999999999999995</v>
      </c>
      <c r="N973" t="s">
        <v>8</v>
      </c>
      <c r="O973" t="s">
        <v>9</v>
      </c>
      <c r="P973" t="s">
        <v>99</v>
      </c>
      <c r="Q973" t="s">
        <v>1297</v>
      </c>
      <c r="R973">
        <v>33021</v>
      </c>
      <c r="S973" s="1">
        <v>42091</v>
      </c>
      <c r="T973" s="1">
        <v>42093</v>
      </c>
      <c r="U973">
        <v>36.164099999999998</v>
      </c>
      <c r="V973">
        <v>1</v>
      </c>
      <c r="W973">
        <v>344.87</v>
      </c>
      <c r="X973">
        <v>86086</v>
      </c>
      <c r="Y973">
        <f>cleaneddata[[#This Row],[Unit Price]]-cleaneddata[[#This Row],[Discount]]</f>
        <v>363.19</v>
      </c>
      <c r="Z97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74" spans="1:26" x14ac:dyDescent="0.3">
      <c r="A974">
        <v>800</v>
      </c>
      <c r="B974" t="s">
        <v>1876</v>
      </c>
      <c r="C974" t="s">
        <v>23</v>
      </c>
      <c r="D974">
        <v>0.04</v>
      </c>
      <c r="E974">
        <v>50.98</v>
      </c>
      <c r="F974">
        <v>6.5</v>
      </c>
      <c r="G974" t="s">
        <v>14</v>
      </c>
      <c r="H974" t="s">
        <v>15</v>
      </c>
      <c r="I974" t="s">
        <v>16</v>
      </c>
      <c r="J974" t="s">
        <v>17</v>
      </c>
      <c r="K974" t="s">
        <v>49</v>
      </c>
      <c r="L974" t="s">
        <v>1842</v>
      </c>
      <c r="M974">
        <v>0.73</v>
      </c>
      <c r="N974" t="s">
        <v>8</v>
      </c>
      <c r="O974" t="s">
        <v>35</v>
      </c>
      <c r="P974" t="s">
        <v>122</v>
      </c>
      <c r="Q974" t="s">
        <v>1502</v>
      </c>
      <c r="R974">
        <v>84067</v>
      </c>
      <c r="S974" s="1">
        <v>42091</v>
      </c>
      <c r="T974" s="1">
        <v>42097</v>
      </c>
      <c r="U974">
        <v>-13.28</v>
      </c>
      <c r="V974">
        <v>11</v>
      </c>
      <c r="W974">
        <v>568.25</v>
      </c>
      <c r="X974">
        <v>89910</v>
      </c>
      <c r="Y974">
        <f>cleaneddata[[#This Row],[Unit Price]]-cleaneddata[[#This Row],[Discount]]</f>
        <v>50.94</v>
      </c>
      <c r="Z9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75" spans="1:26" x14ac:dyDescent="0.3">
      <c r="A975">
        <v>800</v>
      </c>
      <c r="B975" t="s">
        <v>1876</v>
      </c>
      <c r="C975" t="s">
        <v>23</v>
      </c>
      <c r="D975">
        <v>0.02</v>
      </c>
      <c r="E975">
        <v>6.48</v>
      </c>
      <c r="F975">
        <v>5.14</v>
      </c>
      <c r="G975" t="s">
        <v>14</v>
      </c>
      <c r="H975" t="s">
        <v>15</v>
      </c>
      <c r="I975" t="s">
        <v>24</v>
      </c>
      <c r="J975" t="s">
        <v>64</v>
      </c>
      <c r="K975" t="s">
        <v>49</v>
      </c>
      <c r="L975" t="s">
        <v>1721</v>
      </c>
      <c r="M975">
        <v>0.37</v>
      </c>
      <c r="N975" t="s">
        <v>8</v>
      </c>
      <c r="O975" t="s">
        <v>35</v>
      </c>
      <c r="P975" t="s">
        <v>122</v>
      </c>
      <c r="Q975" t="s">
        <v>1502</v>
      </c>
      <c r="R975">
        <v>84067</v>
      </c>
      <c r="S975" s="1">
        <v>42091</v>
      </c>
      <c r="T975" s="1">
        <v>42093</v>
      </c>
      <c r="U975">
        <v>-48.68</v>
      </c>
      <c r="V975">
        <v>19</v>
      </c>
      <c r="W975">
        <v>126.66</v>
      </c>
      <c r="X975">
        <v>89910</v>
      </c>
      <c r="Y975">
        <f>cleaneddata[[#This Row],[Unit Price]]-cleaneddata[[#This Row],[Discount]]</f>
        <v>6.4600000000000009</v>
      </c>
      <c r="Z9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76" spans="1:26" x14ac:dyDescent="0.3">
      <c r="A976">
        <v>1738</v>
      </c>
      <c r="B976" t="s">
        <v>1877</v>
      </c>
      <c r="C976" t="s">
        <v>92</v>
      </c>
      <c r="D976">
        <v>0.08</v>
      </c>
      <c r="E976">
        <v>175.99</v>
      </c>
      <c r="F976">
        <v>4.99</v>
      </c>
      <c r="G976" t="s">
        <v>14</v>
      </c>
      <c r="H976" t="s">
        <v>70</v>
      </c>
      <c r="I976" t="s">
        <v>16</v>
      </c>
      <c r="J976" t="s">
        <v>111</v>
      </c>
      <c r="K976" t="s">
        <v>49</v>
      </c>
      <c r="L976" t="s">
        <v>1225</v>
      </c>
      <c r="M976">
        <v>0.59</v>
      </c>
      <c r="N976" t="s">
        <v>8</v>
      </c>
      <c r="O976" t="s">
        <v>9</v>
      </c>
      <c r="P976" t="s">
        <v>73</v>
      </c>
      <c r="Q976" t="s">
        <v>1878</v>
      </c>
      <c r="R976">
        <v>28052</v>
      </c>
      <c r="S976" s="1">
        <v>42091</v>
      </c>
      <c r="T976" s="1">
        <v>42091</v>
      </c>
      <c r="U976">
        <v>-16476.838</v>
      </c>
      <c r="V976">
        <v>10</v>
      </c>
      <c r="W976">
        <v>1486.34</v>
      </c>
      <c r="X976">
        <v>85865</v>
      </c>
      <c r="Y976">
        <f>cleaneddata[[#This Row],[Unit Price]]-cleaneddata[[#This Row],[Discount]]</f>
        <v>175.91</v>
      </c>
      <c r="Z97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77" spans="1:26" x14ac:dyDescent="0.3">
      <c r="A977">
        <v>2880</v>
      </c>
      <c r="B977" t="s">
        <v>1879</v>
      </c>
      <c r="C977" t="s">
        <v>92</v>
      </c>
      <c r="D977">
        <v>0.05</v>
      </c>
      <c r="E977">
        <v>6.68</v>
      </c>
      <c r="F977">
        <v>6.93</v>
      </c>
      <c r="G977" t="s">
        <v>14</v>
      </c>
      <c r="H977" t="s">
        <v>3</v>
      </c>
      <c r="I977" t="s">
        <v>24</v>
      </c>
      <c r="J977" t="s">
        <v>64</v>
      </c>
      <c r="K977" t="s">
        <v>49</v>
      </c>
      <c r="L977" t="s">
        <v>952</v>
      </c>
      <c r="M977">
        <v>0.37</v>
      </c>
      <c r="N977" t="s">
        <v>8</v>
      </c>
      <c r="O977" t="s">
        <v>9</v>
      </c>
      <c r="P977" t="s">
        <v>99</v>
      </c>
      <c r="Q977" t="s">
        <v>1880</v>
      </c>
      <c r="R977">
        <v>33160</v>
      </c>
      <c r="S977" s="1">
        <v>42091</v>
      </c>
      <c r="T977" s="1">
        <v>42092</v>
      </c>
      <c r="U977">
        <v>-2.3519999999999999</v>
      </c>
      <c r="V977">
        <v>11</v>
      </c>
      <c r="W977">
        <v>77.2</v>
      </c>
      <c r="X977">
        <v>88626</v>
      </c>
      <c r="Y977">
        <f>cleaneddata[[#This Row],[Unit Price]]-cleaneddata[[#This Row],[Discount]]</f>
        <v>6.63</v>
      </c>
      <c r="Z9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78" spans="1:26" x14ac:dyDescent="0.3">
      <c r="A978">
        <v>152</v>
      </c>
      <c r="B978" t="s">
        <v>481</v>
      </c>
      <c r="C978" t="s">
        <v>13</v>
      </c>
      <c r="D978">
        <v>0.01</v>
      </c>
      <c r="E978">
        <v>65.989999999999995</v>
      </c>
      <c r="F978">
        <v>8.99</v>
      </c>
      <c r="G978" t="s">
        <v>14</v>
      </c>
      <c r="H978" t="s">
        <v>15</v>
      </c>
      <c r="I978" t="s">
        <v>16</v>
      </c>
      <c r="J978" t="s">
        <v>111</v>
      </c>
      <c r="K978" t="s">
        <v>49</v>
      </c>
      <c r="L978" t="s">
        <v>1881</v>
      </c>
      <c r="M978">
        <v>0.6</v>
      </c>
      <c r="N978" t="s">
        <v>8</v>
      </c>
      <c r="O978" t="s">
        <v>9</v>
      </c>
      <c r="P978" t="s">
        <v>376</v>
      </c>
      <c r="Q978" t="s">
        <v>483</v>
      </c>
      <c r="R978">
        <v>37918</v>
      </c>
      <c r="S978" s="1">
        <v>42092</v>
      </c>
      <c r="T978" s="1">
        <v>42095</v>
      </c>
      <c r="U978">
        <v>97.86</v>
      </c>
      <c r="V978">
        <v>5</v>
      </c>
      <c r="W978">
        <v>292.23</v>
      </c>
      <c r="X978">
        <v>89524</v>
      </c>
      <c r="Y978">
        <f>cleaneddata[[#This Row],[Unit Price]]-cleaneddata[[#This Row],[Discount]]</f>
        <v>65.97999999999999</v>
      </c>
      <c r="Z9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79" spans="1:26" x14ac:dyDescent="0.3">
      <c r="A979">
        <v>2338</v>
      </c>
      <c r="B979" t="s">
        <v>434</v>
      </c>
      <c r="C979" t="s">
        <v>13</v>
      </c>
      <c r="D979">
        <v>0.1</v>
      </c>
      <c r="E979">
        <v>6.75</v>
      </c>
      <c r="F979">
        <v>2.99</v>
      </c>
      <c r="G979" t="s">
        <v>14</v>
      </c>
      <c r="H979" t="s">
        <v>47</v>
      </c>
      <c r="I979" t="s">
        <v>24</v>
      </c>
      <c r="J979" t="s">
        <v>48</v>
      </c>
      <c r="K979" t="s">
        <v>49</v>
      </c>
      <c r="L979" t="s">
        <v>1882</v>
      </c>
      <c r="M979">
        <v>0.35</v>
      </c>
      <c r="N979" t="s">
        <v>8</v>
      </c>
      <c r="O979" t="s">
        <v>87</v>
      </c>
      <c r="P979" t="s">
        <v>394</v>
      </c>
      <c r="Q979" t="s">
        <v>436</v>
      </c>
      <c r="R979">
        <v>20740</v>
      </c>
      <c r="S979" s="1">
        <v>42092</v>
      </c>
      <c r="T979" s="1">
        <v>42092</v>
      </c>
      <c r="U979">
        <v>18.147500000000001</v>
      </c>
      <c r="V979">
        <v>15</v>
      </c>
      <c r="W979">
        <v>96.13</v>
      </c>
      <c r="X979">
        <v>91481</v>
      </c>
      <c r="Y979">
        <f>cleaneddata[[#This Row],[Unit Price]]-cleaneddata[[#This Row],[Discount]]</f>
        <v>6.65</v>
      </c>
      <c r="Z97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80" spans="1:26" x14ac:dyDescent="0.3">
      <c r="A980">
        <v>2530</v>
      </c>
      <c r="B980" t="s">
        <v>1883</v>
      </c>
      <c r="C980" t="s">
        <v>13</v>
      </c>
      <c r="D980">
        <v>0.04</v>
      </c>
      <c r="E980">
        <v>40.98</v>
      </c>
      <c r="F980">
        <v>6.5</v>
      </c>
      <c r="G980" t="s">
        <v>14</v>
      </c>
      <c r="H980" t="s">
        <v>3</v>
      </c>
      <c r="I980" t="s">
        <v>16</v>
      </c>
      <c r="J980" t="s">
        <v>17</v>
      </c>
      <c r="K980" t="s">
        <v>49</v>
      </c>
      <c r="L980" t="s">
        <v>422</v>
      </c>
      <c r="M980">
        <v>0.74</v>
      </c>
      <c r="N980" t="s">
        <v>8</v>
      </c>
      <c r="O980" t="s">
        <v>35</v>
      </c>
      <c r="P980" t="s">
        <v>66</v>
      </c>
      <c r="Q980" t="s">
        <v>1884</v>
      </c>
      <c r="R980">
        <v>92307</v>
      </c>
      <c r="S980" s="1">
        <v>42092</v>
      </c>
      <c r="T980" s="1">
        <v>42093</v>
      </c>
      <c r="U980">
        <v>-89.5</v>
      </c>
      <c r="V980">
        <v>7</v>
      </c>
      <c r="W980">
        <v>277.07</v>
      </c>
      <c r="X980">
        <v>87451</v>
      </c>
      <c r="Y980">
        <f>cleaneddata[[#This Row],[Unit Price]]-cleaneddata[[#This Row],[Discount]]</f>
        <v>40.94</v>
      </c>
      <c r="Z98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81" spans="1:26" x14ac:dyDescent="0.3">
      <c r="A981">
        <v>2534</v>
      </c>
      <c r="B981" t="s">
        <v>1885</v>
      </c>
      <c r="C981" t="s">
        <v>13</v>
      </c>
      <c r="D981">
        <v>0.05</v>
      </c>
      <c r="E981">
        <v>35.99</v>
      </c>
      <c r="F981">
        <v>3.3</v>
      </c>
      <c r="G981" t="s">
        <v>14</v>
      </c>
      <c r="H981" t="s">
        <v>3</v>
      </c>
      <c r="I981" t="s">
        <v>16</v>
      </c>
      <c r="J981" t="s">
        <v>111</v>
      </c>
      <c r="K981" t="s">
        <v>18</v>
      </c>
      <c r="L981" t="s">
        <v>1886</v>
      </c>
      <c r="M981">
        <v>0.39</v>
      </c>
      <c r="N981" t="s">
        <v>8</v>
      </c>
      <c r="O981" t="s">
        <v>87</v>
      </c>
      <c r="P981" t="s">
        <v>307</v>
      </c>
      <c r="Q981" t="s">
        <v>863</v>
      </c>
      <c r="R981">
        <v>4401</v>
      </c>
      <c r="S981" s="1">
        <v>42092</v>
      </c>
      <c r="T981" s="1">
        <v>42094</v>
      </c>
      <c r="U981">
        <v>103.2723</v>
      </c>
      <c r="V981">
        <v>5</v>
      </c>
      <c r="W981">
        <v>149.66999999999999</v>
      </c>
      <c r="X981">
        <v>87451</v>
      </c>
      <c r="Y981">
        <f>cleaneddata[[#This Row],[Unit Price]]-cleaneddata[[#This Row],[Discount]]</f>
        <v>35.940000000000005</v>
      </c>
      <c r="Z98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82" spans="1:26" x14ac:dyDescent="0.3">
      <c r="A982">
        <v>3151</v>
      </c>
      <c r="B982" t="s">
        <v>929</v>
      </c>
      <c r="C982" t="s">
        <v>13</v>
      </c>
      <c r="D982">
        <v>0.01</v>
      </c>
      <c r="E982">
        <v>99.23</v>
      </c>
      <c r="F982">
        <v>8.99</v>
      </c>
      <c r="G982" t="s">
        <v>14</v>
      </c>
      <c r="H982" t="s">
        <v>70</v>
      </c>
      <c r="I982" t="s">
        <v>4</v>
      </c>
      <c r="J982" t="s">
        <v>102</v>
      </c>
      <c r="K982" t="s">
        <v>18</v>
      </c>
      <c r="L982" t="s">
        <v>103</v>
      </c>
      <c r="M982">
        <v>0.35</v>
      </c>
      <c r="N982" t="s">
        <v>8</v>
      </c>
      <c r="O982" t="s">
        <v>35</v>
      </c>
      <c r="P982" t="s">
        <v>66</v>
      </c>
      <c r="Q982" t="s">
        <v>930</v>
      </c>
      <c r="R982">
        <v>92277</v>
      </c>
      <c r="S982" s="1">
        <v>42092</v>
      </c>
      <c r="T982" s="1">
        <v>42096</v>
      </c>
      <c r="U982">
        <v>-87.46</v>
      </c>
      <c r="V982">
        <v>1</v>
      </c>
      <c r="W982">
        <v>99.22</v>
      </c>
      <c r="X982">
        <v>88548</v>
      </c>
      <c r="Y982">
        <f>cleaneddata[[#This Row],[Unit Price]]-cleaneddata[[#This Row],[Discount]]</f>
        <v>99.22</v>
      </c>
      <c r="Z98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83" spans="1:26" x14ac:dyDescent="0.3">
      <c r="A983">
        <v>2430</v>
      </c>
      <c r="B983" t="s">
        <v>1813</v>
      </c>
      <c r="C983" t="s">
        <v>23</v>
      </c>
      <c r="D983">
        <v>0.03</v>
      </c>
      <c r="E983">
        <v>140.99</v>
      </c>
      <c r="F983">
        <v>4.2</v>
      </c>
      <c r="G983" t="s">
        <v>14</v>
      </c>
      <c r="H983" t="s">
        <v>47</v>
      </c>
      <c r="I983" t="s">
        <v>16</v>
      </c>
      <c r="J983" t="s">
        <v>111</v>
      </c>
      <c r="K983" t="s">
        <v>49</v>
      </c>
      <c r="L983" t="s">
        <v>1887</v>
      </c>
      <c r="M983">
        <v>0.59</v>
      </c>
      <c r="N983" t="s">
        <v>8</v>
      </c>
      <c r="O983" t="s">
        <v>28</v>
      </c>
      <c r="P983" t="s">
        <v>163</v>
      </c>
      <c r="Q983" t="s">
        <v>1814</v>
      </c>
      <c r="R983">
        <v>76541</v>
      </c>
      <c r="S983" s="1">
        <v>42092</v>
      </c>
      <c r="T983" s="1">
        <v>42100</v>
      </c>
      <c r="U983">
        <v>-458.74400000000003</v>
      </c>
      <c r="V983">
        <v>2</v>
      </c>
      <c r="W983">
        <v>246.44</v>
      </c>
      <c r="X983">
        <v>91110</v>
      </c>
      <c r="Y983">
        <f>cleaneddata[[#This Row],[Unit Price]]-cleaneddata[[#This Row],[Discount]]</f>
        <v>140.96</v>
      </c>
      <c r="Z98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84" spans="1:26" x14ac:dyDescent="0.3">
      <c r="A984">
        <v>1028</v>
      </c>
      <c r="B984" t="s">
        <v>1888</v>
      </c>
      <c r="C984" t="s">
        <v>92</v>
      </c>
      <c r="D984">
        <v>7.0000000000000007E-2</v>
      </c>
      <c r="E984">
        <v>7.08</v>
      </c>
      <c r="F984">
        <v>2.35</v>
      </c>
      <c r="G984" t="s">
        <v>63</v>
      </c>
      <c r="H984" t="s">
        <v>3</v>
      </c>
      <c r="I984" t="s">
        <v>24</v>
      </c>
      <c r="J984" t="s">
        <v>25</v>
      </c>
      <c r="K984" t="s">
        <v>26</v>
      </c>
      <c r="L984" t="s">
        <v>1889</v>
      </c>
      <c r="M984">
        <v>0.47</v>
      </c>
      <c r="N984" t="s">
        <v>8</v>
      </c>
      <c r="O984" t="s">
        <v>87</v>
      </c>
      <c r="P984" t="s">
        <v>88</v>
      </c>
      <c r="Q984" t="s">
        <v>1890</v>
      </c>
      <c r="R984">
        <v>11725</v>
      </c>
      <c r="S984" s="1">
        <v>42092</v>
      </c>
      <c r="T984" s="1">
        <v>42093</v>
      </c>
      <c r="U984">
        <v>30.49</v>
      </c>
      <c r="V984">
        <v>13</v>
      </c>
      <c r="W984">
        <v>93.82</v>
      </c>
      <c r="X984">
        <v>89006</v>
      </c>
      <c r="Y984">
        <f>cleaneddata[[#This Row],[Unit Price]]-cleaneddata[[#This Row],[Discount]]</f>
        <v>7.01</v>
      </c>
      <c r="Z98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85" spans="1:26" x14ac:dyDescent="0.3">
      <c r="A985">
        <v>1129</v>
      </c>
      <c r="B985" t="s">
        <v>762</v>
      </c>
      <c r="C985" t="s">
        <v>46</v>
      </c>
      <c r="D985">
        <v>0.05</v>
      </c>
      <c r="E985">
        <v>5.78</v>
      </c>
      <c r="F985">
        <v>7.64</v>
      </c>
      <c r="G985" t="s">
        <v>63</v>
      </c>
      <c r="H985" t="s">
        <v>70</v>
      </c>
      <c r="I985" t="s">
        <v>24</v>
      </c>
      <c r="J985" t="s">
        <v>64</v>
      </c>
      <c r="K985" t="s">
        <v>49</v>
      </c>
      <c r="L985" t="s">
        <v>1891</v>
      </c>
      <c r="M985">
        <v>0.36</v>
      </c>
      <c r="N985" t="s">
        <v>8</v>
      </c>
      <c r="O985" t="s">
        <v>87</v>
      </c>
      <c r="P985" t="s">
        <v>379</v>
      </c>
      <c r="Q985" t="s">
        <v>764</v>
      </c>
      <c r="R985">
        <v>2118</v>
      </c>
      <c r="S985" s="1">
        <v>42092</v>
      </c>
      <c r="T985" s="1">
        <v>42094</v>
      </c>
      <c r="U985">
        <v>-116.05</v>
      </c>
      <c r="V985">
        <v>29</v>
      </c>
      <c r="W985">
        <v>177.41</v>
      </c>
      <c r="X985">
        <v>49125</v>
      </c>
      <c r="Y985">
        <f>cleaneddata[[#This Row],[Unit Price]]-cleaneddata[[#This Row],[Discount]]</f>
        <v>5.73</v>
      </c>
      <c r="Z98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86" spans="1:26" x14ac:dyDescent="0.3">
      <c r="A986">
        <v>1237</v>
      </c>
      <c r="B986" t="s">
        <v>1892</v>
      </c>
      <c r="C986" t="s">
        <v>46</v>
      </c>
      <c r="D986">
        <v>0.02</v>
      </c>
      <c r="E986">
        <v>7.38</v>
      </c>
      <c r="F986">
        <v>5.21</v>
      </c>
      <c r="G986" t="s">
        <v>14</v>
      </c>
      <c r="H986" t="s">
        <v>70</v>
      </c>
      <c r="I986" t="s">
        <v>4</v>
      </c>
      <c r="J986" t="s">
        <v>102</v>
      </c>
      <c r="K986" t="s">
        <v>49</v>
      </c>
      <c r="L986" t="s">
        <v>1893</v>
      </c>
      <c r="M986">
        <v>0.56000000000000005</v>
      </c>
      <c r="N986" t="s">
        <v>8</v>
      </c>
      <c r="O986" t="s">
        <v>28</v>
      </c>
      <c r="P986" t="s">
        <v>163</v>
      </c>
      <c r="Q986" t="s">
        <v>1894</v>
      </c>
      <c r="R986">
        <v>75007</v>
      </c>
      <c r="S986" s="1">
        <v>42092</v>
      </c>
      <c r="T986" s="1">
        <v>42093</v>
      </c>
      <c r="U986">
        <v>7.74</v>
      </c>
      <c r="V986">
        <v>3</v>
      </c>
      <c r="W986">
        <v>24.52</v>
      </c>
      <c r="X986">
        <v>86076</v>
      </c>
      <c r="Y986">
        <f>cleaneddata[[#This Row],[Unit Price]]-cleaneddata[[#This Row],[Discount]]</f>
        <v>7.36</v>
      </c>
      <c r="Z98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87" spans="1:26" x14ac:dyDescent="0.3">
      <c r="A987">
        <v>3399</v>
      </c>
      <c r="B987" t="s">
        <v>1895</v>
      </c>
      <c r="C987" t="s">
        <v>46</v>
      </c>
      <c r="D987">
        <v>0.08</v>
      </c>
      <c r="E987">
        <v>11.97</v>
      </c>
      <c r="F987">
        <v>5.81</v>
      </c>
      <c r="G987" t="s">
        <v>14</v>
      </c>
      <c r="H987" t="s">
        <v>3</v>
      </c>
      <c r="I987" t="s">
        <v>24</v>
      </c>
      <c r="J987" t="s">
        <v>25</v>
      </c>
      <c r="K987" t="s">
        <v>18</v>
      </c>
      <c r="L987" t="s">
        <v>1788</v>
      </c>
      <c r="M987">
        <v>0.6</v>
      </c>
      <c r="N987" t="s">
        <v>8</v>
      </c>
      <c r="O987" t="s">
        <v>28</v>
      </c>
      <c r="P987" t="s">
        <v>79</v>
      </c>
      <c r="Q987" t="s">
        <v>1557</v>
      </c>
      <c r="R987">
        <v>60016</v>
      </c>
      <c r="S987" s="1">
        <v>42092</v>
      </c>
      <c r="T987" s="1">
        <v>42094</v>
      </c>
      <c r="U987">
        <v>-41.87</v>
      </c>
      <c r="V987">
        <v>5</v>
      </c>
      <c r="W987">
        <v>59.98</v>
      </c>
      <c r="X987">
        <v>87534</v>
      </c>
      <c r="Y987">
        <f>cleaneddata[[#This Row],[Unit Price]]-cleaneddata[[#This Row],[Discount]]</f>
        <v>11.89</v>
      </c>
      <c r="Z98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988" spans="1:26" x14ac:dyDescent="0.3">
      <c r="A988">
        <v>2351</v>
      </c>
      <c r="B988" t="s">
        <v>1896</v>
      </c>
      <c r="C988" t="s">
        <v>1</v>
      </c>
      <c r="D988">
        <v>0.08</v>
      </c>
      <c r="E988">
        <v>6.48</v>
      </c>
      <c r="F988">
        <v>7.49</v>
      </c>
      <c r="G988" t="s">
        <v>14</v>
      </c>
      <c r="H988" t="s">
        <v>70</v>
      </c>
      <c r="I988" t="s">
        <v>24</v>
      </c>
      <c r="J988" t="s">
        <v>64</v>
      </c>
      <c r="K988" t="s">
        <v>49</v>
      </c>
      <c r="L988" t="s">
        <v>1897</v>
      </c>
      <c r="M988">
        <v>0.37</v>
      </c>
      <c r="N988" t="s">
        <v>8</v>
      </c>
      <c r="O988" t="s">
        <v>87</v>
      </c>
      <c r="P988" t="s">
        <v>394</v>
      </c>
      <c r="Q988" t="s">
        <v>1898</v>
      </c>
      <c r="R988">
        <v>21114</v>
      </c>
      <c r="S988" s="1">
        <v>42093</v>
      </c>
      <c r="T988" s="1">
        <v>42096</v>
      </c>
      <c r="U988">
        <v>-119.32</v>
      </c>
      <c r="V988">
        <v>13</v>
      </c>
      <c r="W988">
        <v>80.86</v>
      </c>
      <c r="X988">
        <v>86163</v>
      </c>
      <c r="Y988">
        <f>cleaneddata[[#This Row],[Unit Price]]-cleaneddata[[#This Row],[Discount]]</f>
        <v>6.4</v>
      </c>
      <c r="Z9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89" spans="1:26" x14ac:dyDescent="0.3">
      <c r="A989">
        <v>3154</v>
      </c>
      <c r="B989" t="s">
        <v>757</v>
      </c>
      <c r="C989" t="s">
        <v>1</v>
      </c>
      <c r="D989">
        <v>0.04</v>
      </c>
      <c r="E989">
        <v>21.38</v>
      </c>
      <c r="F989">
        <v>8.99</v>
      </c>
      <c r="G989" t="s">
        <v>14</v>
      </c>
      <c r="H989" t="s">
        <v>70</v>
      </c>
      <c r="I989" t="s">
        <v>24</v>
      </c>
      <c r="J989" t="s">
        <v>25</v>
      </c>
      <c r="K989" t="s">
        <v>18</v>
      </c>
      <c r="L989" t="s">
        <v>1653</v>
      </c>
      <c r="M989">
        <v>0.59</v>
      </c>
      <c r="N989" t="s">
        <v>8</v>
      </c>
      <c r="O989" t="s">
        <v>9</v>
      </c>
      <c r="P989" t="s">
        <v>99</v>
      </c>
      <c r="Q989" t="s">
        <v>759</v>
      </c>
      <c r="R989">
        <v>33710</v>
      </c>
      <c r="S989" s="1">
        <v>42093</v>
      </c>
      <c r="T989" s="1">
        <v>42093</v>
      </c>
      <c r="U989">
        <v>-51.66</v>
      </c>
      <c r="V989">
        <v>21</v>
      </c>
      <c r="W989">
        <v>443.66</v>
      </c>
      <c r="X989">
        <v>86901</v>
      </c>
      <c r="Y989">
        <f>cleaneddata[[#This Row],[Unit Price]]-cleaneddata[[#This Row],[Discount]]</f>
        <v>21.34</v>
      </c>
      <c r="Z9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90" spans="1:26" x14ac:dyDescent="0.3">
      <c r="A990">
        <v>3252</v>
      </c>
      <c r="B990" t="s">
        <v>1899</v>
      </c>
      <c r="C990" t="s">
        <v>1</v>
      </c>
      <c r="D990">
        <v>0.01</v>
      </c>
      <c r="E990">
        <v>11.34</v>
      </c>
      <c r="F990">
        <v>5.01</v>
      </c>
      <c r="G990" t="s">
        <v>14</v>
      </c>
      <c r="H990" t="s">
        <v>3</v>
      </c>
      <c r="I990" t="s">
        <v>24</v>
      </c>
      <c r="J990" t="s">
        <v>64</v>
      </c>
      <c r="K990" t="s">
        <v>49</v>
      </c>
      <c r="L990" t="s">
        <v>391</v>
      </c>
      <c r="M990">
        <v>0.36</v>
      </c>
      <c r="N990" t="s">
        <v>8</v>
      </c>
      <c r="O990" t="s">
        <v>87</v>
      </c>
      <c r="P990" t="s">
        <v>88</v>
      </c>
      <c r="Q990" t="s">
        <v>1900</v>
      </c>
      <c r="R990">
        <v>12306</v>
      </c>
      <c r="S990" s="1">
        <v>42093</v>
      </c>
      <c r="T990" s="1">
        <v>42095</v>
      </c>
      <c r="U990">
        <v>-11.83</v>
      </c>
      <c r="V990">
        <v>1</v>
      </c>
      <c r="W990">
        <v>14.52</v>
      </c>
      <c r="X990">
        <v>87296</v>
      </c>
      <c r="Y990">
        <f>cleaneddata[[#This Row],[Unit Price]]-cleaneddata[[#This Row],[Discount]]</f>
        <v>11.33</v>
      </c>
      <c r="Z99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91" spans="1:26" x14ac:dyDescent="0.3">
      <c r="A991">
        <v>84</v>
      </c>
      <c r="B991" t="s">
        <v>909</v>
      </c>
      <c r="C991" t="s">
        <v>13</v>
      </c>
      <c r="D991">
        <v>0.08</v>
      </c>
      <c r="E991">
        <v>896.99</v>
      </c>
      <c r="F991">
        <v>19.989999999999998</v>
      </c>
      <c r="G991" t="s">
        <v>14</v>
      </c>
      <c r="H991" t="s">
        <v>70</v>
      </c>
      <c r="I991" t="s">
        <v>24</v>
      </c>
      <c r="J991" t="s">
        <v>48</v>
      </c>
      <c r="K991" t="s">
        <v>49</v>
      </c>
      <c r="L991" t="s">
        <v>299</v>
      </c>
      <c r="M991">
        <v>0.38</v>
      </c>
      <c r="N991" t="s">
        <v>8</v>
      </c>
      <c r="O991" t="s">
        <v>87</v>
      </c>
      <c r="P991" t="s">
        <v>293</v>
      </c>
      <c r="Q991" t="s">
        <v>910</v>
      </c>
      <c r="R991">
        <v>45231</v>
      </c>
      <c r="S991" s="1">
        <v>42093</v>
      </c>
      <c r="T991" s="1">
        <v>42096</v>
      </c>
      <c r="U991">
        <v>7402.32</v>
      </c>
      <c r="V991">
        <v>13</v>
      </c>
      <c r="W991">
        <v>10728</v>
      </c>
      <c r="X991">
        <v>87366</v>
      </c>
      <c r="Y991">
        <f>cleaneddata[[#This Row],[Unit Price]]-cleaneddata[[#This Row],[Discount]]</f>
        <v>896.91</v>
      </c>
      <c r="Z99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992" spans="1:26" x14ac:dyDescent="0.3">
      <c r="A992">
        <v>1527</v>
      </c>
      <c r="B992" t="s">
        <v>314</v>
      </c>
      <c r="C992" t="s">
        <v>23</v>
      </c>
      <c r="D992">
        <v>0.03</v>
      </c>
      <c r="E992">
        <v>65.989999999999995</v>
      </c>
      <c r="F992">
        <v>5.26</v>
      </c>
      <c r="G992" t="s">
        <v>14</v>
      </c>
      <c r="H992" t="s">
        <v>47</v>
      </c>
      <c r="I992" t="s">
        <v>16</v>
      </c>
      <c r="J992" t="s">
        <v>111</v>
      </c>
      <c r="K992" t="s">
        <v>49</v>
      </c>
      <c r="L992" t="s">
        <v>1701</v>
      </c>
      <c r="M992">
        <v>0.56000000000000005</v>
      </c>
      <c r="N992" t="s">
        <v>8</v>
      </c>
      <c r="O992" t="s">
        <v>9</v>
      </c>
      <c r="P992" t="s">
        <v>140</v>
      </c>
      <c r="Q992" t="s">
        <v>316</v>
      </c>
      <c r="R992">
        <v>35601</v>
      </c>
      <c r="S992" s="1">
        <v>42093</v>
      </c>
      <c r="T992" s="1">
        <v>42103</v>
      </c>
      <c r="U992">
        <v>-52.247999999999998</v>
      </c>
      <c r="V992">
        <v>23</v>
      </c>
      <c r="W992">
        <v>1316.03</v>
      </c>
      <c r="X992">
        <v>86814</v>
      </c>
      <c r="Y992">
        <f>cleaneddata[[#This Row],[Unit Price]]-cleaneddata[[#This Row],[Discount]]</f>
        <v>65.959999999999994</v>
      </c>
      <c r="Z99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93" spans="1:26" x14ac:dyDescent="0.3">
      <c r="A993">
        <v>3205</v>
      </c>
      <c r="B993" t="s">
        <v>1901</v>
      </c>
      <c r="C993" t="s">
        <v>23</v>
      </c>
      <c r="D993">
        <v>7.0000000000000007E-2</v>
      </c>
      <c r="E993">
        <v>5.98</v>
      </c>
      <c r="F993">
        <v>0.96</v>
      </c>
      <c r="G993" t="s">
        <v>14</v>
      </c>
      <c r="H993" t="s">
        <v>15</v>
      </c>
      <c r="I993" t="s">
        <v>24</v>
      </c>
      <c r="J993" t="s">
        <v>25</v>
      </c>
      <c r="K993" t="s">
        <v>26</v>
      </c>
      <c r="L993" t="s">
        <v>1243</v>
      </c>
      <c r="M993">
        <v>0.6</v>
      </c>
      <c r="N993" t="s">
        <v>8</v>
      </c>
      <c r="O993" t="s">
        <v>35</v>
      </c>
      <c r="P993" t="s">
        <v>466</v>
      </c>
      <c r="Q993" t="s">
        <v>470</v>
      </c>
      <c r="R993">
        <v>83440</v>
      </c>
      <c r="S993" s="1">
        <v>42093</v>
      </c>
      <c r="T993" s="1">
        <v>42097</v>
      </c>
      <c r="U993">
        <v>32.83</v>
      </c>
      <c r="V993">
        <v>10</v>
      </c>
      <c r="W993">
        <v>56.4</v>
      </c>
      <c r="X993">
        <v>87933</v>
      </c>
      <c r="Y993">
        <f>cleaneddata[[#This Row],[Unit Price]]-cleaneddata[[#This Row],[Discount]]</f>
        <v>5.91</v>
      </c>
      <c r="Z99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94" spans="1:26" x14ac:dyDescent="0.3">
      <c r="A994">
        <v>3206</v>
      </c>
      <c r="B994" t="s">
        <v>1902</v>
      </c>
      <c r="C994" t="s">
        <v>23</v>
      </c>
      <c r="D994">
        <v>0.01</v>
      </c>
      <c r="E994">
        <v>39.979999999999997</v>
      </c>
      <c r="F994">
        <v>4</v>
      </c>
      <c r="G994" t="s">
        <v>14</v>
      </c>
      <c r="H994" t="s">
        <v>15</v>
      </c>
      <c r="I994" t="s">
        <v>16</v>
      </c>
      <c r="J994" t="s">
        <v>17</v>
      </c>
      <c r="K994" t="s">
        <v>49</v>
      </c>
      <c r="L994" t="s">
        <v>1903</v>
      </c>
      <c r="M994">
        <v>0.7</v>
      </c>
      <c r="N994" t="s">
        <v>8</v>
      </c>
      <c r="O994" t="s">
        <v>35</v>
      </c>
      <c r="P994" t="s">
        <v>466</v>
      </c>
      <c r="Q994" t="s">
        <v>1904</v>
      </c>
      <c r="R994">
        <v>83301</v>
      </c>
      <c r="S994" s="1">
        <v>42093</v>
      </c>
      <c r="T994" s="1">
        <v>42098</v>
      </c>
      <c r="U994">
        <v>51.59</v>
      </c>
      <c r="V994">
        <v>6</v>
      </c>
      <c r="W994">
        <v>257.52</v>
      </c>
      <c r="X994">
        <v>87933</v>
      </c>
      <c r="Y994">
        <f>cleaneddata[[#This Row],[Unit Price]]-cleaneddata[[#This Row],[Discount]]</f>
        <v>39.97</v>
      </c>
      <c r="Z99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95" spans="1:26" x14ac:dyDescent="0.3">
      <c r="A995">
        <v>193</v>
      </c>
      <c r="B995" t="s">
        <v>155</v>
      </c>
      <c r="C995" t="s">
        <v>92</v>
      </c>
      <c r="D995">
        <v>7.0000000000000007E-2</v>
      </c>
      <c r="E995">
        <v>6.54</v>
      </c>
      <c r="F995">
        <v>5.27</v>
      </c>
      <c r="G995" t="s">
        <v>14</v>
      </c>
      <c r="H995" t="s">
        <v>70</v>
      </c>
      <c r="I995" t="s">
        <v>24</v>
      </c>
      <c r="J995" t="s">
        <v>48</v>
      </c>
      <c r="K995" t="s">
        <v>49</v>
      </c>
      <c r="L995" t="s">
        <v>1905</v>
      </c>
      <c r="M995">
        <v>0.36</v>
      </c>
      <c r="N995" t="s">
        <v>8</v>
      </c>
      <c r="O995" t="s">
        <v>35</v>
      </c>
      <c r="P995" t="s">
        <v>122</v>
      </c>
      <c r="Q995" t="s">
        <v>157</v>
      </c>
      <c r="R995">
        <v>84041</v>
      </c>
      <c r="S995" s="1">
        <v>42093</v>
      </c>
      <c r="T995" s="1">
        <v>42095</v>
      </c>
      <c r="U995">
        <v>-66.044499999999999</v>
      </c>
      <c r="V995">
        <v>21</v>
      </c>
      <c r="W995">
        <v>140.30000000000001</v>
      </c>
      <c r="X995">
        <v>90432</v>
      </c>
      <c r="Y995">
        <f>cleaneddata[[#This Row],[Unit Price]]-cleaneddata[[#This Row],[Discount]]</f>
        <v>6.47</v>
      </c>
      <c r="Z99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96" spans="1:26" x14ac:dyDescent="0.3">
      <c r="A996">
        <v>194</v>
      </c>
      <c r="B996" t="s">
        <v>369</v>
      </c>
      <c r="C996" t="s">
        <v>92</v>
      </c>
      <c r="D996">
        <v>0.09</v>
      </c>
      <c r="E996">
        <v>3.29</v>
      </c>
      <c r="F996">
        <v>1.35</v>
      </c>
      <c r="G996" t="s">
        <v>14</v>
      </c>
      <c r="H996" t="s">
        <v>70</v>
      </c>
      <c r="I996" t="s">
        <v>24</v>
      </c>
      <c r="J996" t="s">
        <v>152</v>
      </c>
      <c r="K996" t="s">
        <v>26</v>
      </c>
      <c r="L996" t="s">
        <v>1644</v>
      </c>
      <c r="M996">
        <v>0.4</v>
      </c>
      <c r="N996" t="s">
        <v>8</v>
      </c>
      <c r="O996" t="s">
        <v>35</v>
      </c>
      <c r="P996" t="s">
        <v>122</v>
      </c>
      <c r="Q996" t="s">
        <v>371</v>
      </c>
      <c r="R996">
        <v>84043</v>
      </c>
      <c r="S996" s="1">
        <v>42093</v>
      </c>
      <c r="T996" s="1">
        <v>42095</v>
      </c>
      <c r="U996">
        <v>15.66</v>
      </c>
      <c r="V996">
        <v>23</v>
      </c>
      <c r="W996">
        <v>71.55</v>
      </c>
      <c r="X996">
        <v>90432</v>
      </c>
      <c r="Y996">
        <f>cleaneddata[[#This Row],[Unit Price]]-cleaneddata[[#This Row],[Discount]]</f>
        <v>3.2</v>
      </c>
      <c r="Z99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97" spans="1:26" x14ac:dyDescent="0.3">
      <c r="A997">
        <v>271</v>
      </c>
      <c r="B997" t="s">
        <v>1906</v>
      </c>
      <c r="C997" t="s">
        <v>92</v>
      </c>
      <c r="D997">
        <v>0.1</v>
      </c>
      <c r="E997">
        <v>80.97</v>
      </c>
      <c r="F997">
        <v>30.06</v>
      </c>
      <c r="G997" t="s">
        <v>2</v>
      </c>
      <c r="H997" t="s">
        <v>3</v>
      </c>
      <c r="I997" t="s">
        <v>16</v>
      </c>
      <c r="J997" t="s">
        <v>32</v>
      </c>
      <c r="K997" t="s">
        <v>6</v>
      </c>
      <c r="L997" t="s">
        <v>1128</v>
      </c>
      <c r="M997">
        <v>0.4</v>
      </c>
      <c r="N997" t="s">
        <v>8</v>
      </c>
      <c r="O997" t="s">
        <v>9</v>
      </c>
      <c r="P997" t="s">
        <v>51</v>
      </c>
      <c r="Q997" t="s">
        <v>1735</v>
      </c>
      <c r="R997">
        <v>30297</v>
      </c>
      <c r="S997" s="1">
        <v>42093</v>
      </c>
      <c r="T997" s="1">
        <v>42094</v>
      </c>
      <c r="U997">
        <v>128.02529999999999</v>
      </c>
      <c r="V997">
        <v>12</v>
      </c>
      <c r="W997">
        <v>899.81</v>
      </c>
      <c r="X997">
        <v>88940</v>
      </c>
      <c r="Y997">
        <f>cleaneddata[[#This Row],[Unit Price]]-cleaneddata[[#This Row],[Discount]]</f>
        <v>80.87</v>
      </c>
      <c r="Z9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998" spans="1:26" x14ac:dyDescent="0.3">
      <c r="A998">
        <v>1314</v>
      </c>
      <c r="B998" t="s">
        <v>199</v>
      </c>
      <c r="C998" t="s">
        <v>92</v>
      </c>
      <c r="D998">
        <v>0.04</v>
      </c>
      <c r="E998">
        <v>5.34</v>
      </c>
      <c r="F998">
        <v>2.99</v>
      </c>
      <c r="G998" t="s">
        <v>14</v>
      </c>
      <c r="H998" t="s">
        <v>47</v>
      </c>
      <c r="I998" t="s">
        <v>24</v>
      </c>
      <c r="J998" t="s">
        <v>48</v>
      </c>
      <c r="K998" t="s">
        <v>49</v>
      </c>
      <c r="L998" t="s">
        <v>1354</v>
      </c>
      <c r="M998">
        <v>0.38</v>
      </c>
      <c r="N998" t="s">
        <v>8</v>
      </c>
      <c r="O998" t="s">
        <v>35</v>
      </c>
      <c r="P998" t="s">
        <v>66</v>
      </c>
      <c r="Q998" t="s">
        <v>76</v>
      </c>
      <c r="R998">
        <v>90058</v>
      </c>
      <c r="S998" s="1">
        <v>42093</v>
      </c>
      <c r="T998" s="1">
        <v>42095</v>
      </c>
      <c r="U998">
        <v>3.4510000000000001</v>
      </c>
      <c r="V998">
        <v>45</v>
      </c>
      <c r="W998">
        <v>240.6</v>
      </c>
      <c r="X998">
        <v>22755</v>
      </c>
      <c r="Y998">
        <f>cleaneddata[[#This Row],[Unit Price]]-cleaneddata[[#This Row],[Discount]]</f>
        <v>5.3</v>
      </c>
      <c r="Z99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999" spans="1:26" x14ac:dyDescent="0.3">
      <c r="A999">
        <v>1314</v>
      </c>
      <c r="B999" t="s">
        <v>199</v>
      </c>
      <c r="C999" t="s">
        <v>92</v>
      </c>
      <c r="D999">
        <v>0.06</v>
      </c>
      <c r="E999">
        <v>55.99</v>
      </c>
      <c r="F999">
        <v>5</v>
      </c>
      <c r="G999" t="s">
        <v>14</v>
      </c>
      <c r="H999" t="s">
        <v>47</v>
      </c>
      <c r="I999" t="s">
        <v>16</v>
      </c>
      <c r="J999" t="s">
        <v>111</v>
      </c>
      <c r="K999" t="s">
        <v>18</v>
      </c>
      <c r="L999" t="s">
        <v>1907</v>
      </c>
      <c r="M999">
        <v>0.8</v>
      </c>
      <c r="N999" t="s">
        <v>8</v>
      </c>
      <c r="O999" t="s">
        <v>35</v>
      </c>
      <c r="P999" t="s">
        <v>66</v>
      </c>
      <c r="Q999" t="s">
        <v>76</v>
      </c>
      <c r="R999">
        <v>90058</v>
      </c>
      <c r="S999" s="1">
        <v>42093</v>
      </c>
      <c r="T999" s="1">
        <v>42095</v>
      </c>
      <c r="U999">
        <v>-275.25299999999999</v>
      </c>
      <c r="V999">
        <v>5</v>
      </c>
      <c r="W999">
        <v>236.88</v>
      </c>
      <c r="X999">
        <v>22755</v>
      </c>
      <c r="Y999">
        <f>cleaneddata[[#This Row],[Unit Price]]-cleaneddata[[#This Row],[Discount]]</f>
        <v>55.93</v>
      </c>
      <c r="Z99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00" spans="1:26" x14ac:dyDescent="0.3">
      <c r="A1000">
        <v>1315</v>
      </c>
      <c r="B1000" t="s">
        <v>1908</v>
      </c>
      <c r="C1000" t="s">
        <v>92</v>
      </c>
      <c r="D1000">
        <v>0</v>
      </c>
      <c r="E1000">
        <v>4.91</v>
      </c>
      <c r="F1000">
        <v>5.68</v>
      </c>
      <c r="G1000" t="s">
        <v>14</v>
      </c>
      <c r="H1000" t="s">
        <v>47</v>
      </c>
      <c r="I1000" t="s">
        <v>24</v>
      </c>
      <c r="J1000" t="s">
        <v>48</v>
      </c>
      <c r="K1000" t="s">
        <v>49</v>
      </c>
      <c r="L1000" t="s">
        <v>1909</v>
      </c>
      <c r="M1000">
        <v>0.36</v>
      </c>
      <c r="N1000" t="s">
        <v>8</v>
      </c>
      <c r="O1000" t="s">
        <v>35</v>
      </c>
      <c r="P1000" t="s">
        <v>36</v>
      </c>
      <c r="Q1000" t="s">
        <v>1910</v>
      </c>
      <c r="R1000">
        <v>80906</v>
      </c>
      <c r="S1000" s="1">
        <v>42093</v>
      </c>
      <c r="T1000" s="1">
        <v>42094</v>
      </c>
      <c r="U1000">
        <v>-95.047499999999999</v>
      </c>
      <c r="V1000">
        <v>9</v>
      </c>
      <c r="W1000">
        <v>48.3</v>
      </c>
      <c r="X1000">
        <v>87602</v>
      </c>
      <c r="Y1000">
        <f>cleaneddata[[#This Row],[Unit Price]]-cleaneddata[[#This Row],[Discount]]</f>
        <v>4.91</v>
      </c>
      <c r="Z100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01" spans="1:26" x14ac:dyDescent="0.3">
      <c r="A1001">
        <v>1316</v>
      </c>
      <c r="B1001" t="s">
        <v>202</v>
      </c>
      <c r="C1001" t="s">
        <v>92</v>
      </c>
      <c r="D1001">
        <v>0.04</v>
      </c>
      <c r="E1001">
        <v>5.34</v>
      </c>
      <c r="F1001">
        <v>2.99</v>
      </c>
      <c r="G1001" t="s">
        <v>14</v>
      </c>
      <c r="H1001" t="s">
        <v>47</v>
      </c>
      <c r="I1001" t="s">
        <v>24</v>
      </c>
      <c r="J1001" t="s">
        <v>48</v>
      </c>
      <c r="K1001" t="s">
        <v>49</v>
      </c>
      <c r="L1001" t="s">
        <v>1354</v>
      </c>
      <c r="M1001">
        <v>0.38</v>
      </c>
      <c r="N1001" t="s">
        <v>8</v>
      </c>
      <c r="O1001" t="s">
        <v>35</v>
      </c>
      <c r="P1001" t="s">
        <v>36</v>
      </c>
      <c r="Q1001" t="s">
        <v>203</v>
      </c>
      <c r="R1001">
        <v>80022</v>
      </c>
      <c r="S1001" s="1">
        <v>42093</v>
      </c>
      <c r="T1001" s="1">
        <v>42095</v>
      </c>
      <c r="U1001">
        <v>3.4510000000000001</v>
      </c>
      <c r="V1001">
        <v>11</v>
      </c>
      <c r="W1001">
        <v>58.81</v>
      </c>
      <c r="X1001">
        <v>87602</v>
      </c>
      <c r="Y1001">
        <f>cleaneddata[[#This Row],[Unit Price]]-cleaneddata[[#This Row],[Discount]]</f>
        <v>5.3</v>
      </c>
      <c r="Z100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02" spans="1:26" x14ac:dyDescent="0.3">
      <c r="A1002">
        <v>1316</v>
      </c>
      <c r="B1002" t="s">
        <v>202</v>
      </c>
      <c r="C1002" t="s">
        <v>92</v>
      </c>
      <c r="D1002">
        <v>0.06</v>
      </c>
      <c r="E1002">
        <v>55.99</v>
      </c>
      <c r="F1002">
        <v>5</v>
      </c>
      <c r="G1002" t="s">
        <v>14</v>
      </c>
      <c r="H1002" t="s">
        <v>47</v>
      </c>
      <c r="I1002" t="s">
        <v>16</v>
      </c>
      <c r="J1002" t="s">
        <v>111</v>
      </c>
      <c r="K1002" t="s">
        <v>18</v>
      </c>
      <c r="L1002" t="s">
        <v>1907</v>
      </c>
      <c r="M1002">
        <v>0.8</v>
      </c>
      <c r="N1002" t="s">
        <v>8</v>
      </c>
      <c r="O1002" t="s">
        <v>35</v>
      </c>
      <c r="P1002" t="s">
        <v>36</v>
      </c>
      <c r="Q1002" t="s">
        <v>203</v>
      </c>
      <c r="R1002">
        <v>80022</v>
      </c>
      <c r="S1002" s="1">
        <v>42093</v>
      </c>
      <c r="T1002" s="1">
        <v>42095</v>
      </c>
      <c r="U1002">
        <v>-275.25299999999999</v>
      </c>
      <c r="V1002">
        <v>1</v>
      </c>
      <c r="W1002">
        <v>47.38</v>
      </c>
      <c r="X1002">
        <v>87602</v>
      </c>
      <c r="Y1002">
        <f>cleaneddata[[#This Row],[Unit Price]]-cleaneddata[[#This Row],[Discount]]</f>
        <v>55.93</v>
      </c>
      <c r="Z100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03" spans="1:26" x14ac:dyDescent="0.3">
      <c r="A1003">
        <v>1840</v>
      </c>
      <c r="B1003" t="s">
        <v>1911</v>
      </c>
      <c r="C1003" t="s">
        <v>46</v>
      </c>
      <c r="D1003">
        <v>7.0000000000000007E-2</v>
      </c>
      <c r="E1003">
        <v>40.98</v>
      </c>
      <c r="F1003">
        <v>2.99</v>
      </c>
      <c r="G1003" t="s">
        <v>14</v>
      </c>
      <c r="H1003" t="s">
        <v>47</v>
      </c>
      <c r="I1003" t="s">
        <v>24</v>
      </c>
      <c r="J1003" t="s">
        <v>48</v>
      </c>
      <c r="K1003" t="s">
        <v>49</v>
      </c>
      <c r="L1003" t="s">
        <v>59</v>
      </c>
      <c r="M1003">
        <v>0.36</v>
      </c>
      <c r="N1003" t="s">
        <v>8</v>
      </c>
      <c r="O1003" t="s">
        <v>87</v>
      </c>
      <c r="P1003" t="s">
        <v>379</v>
      </c>
      <c r="Q1003" t="s">
        <v>1912</v>
      </c>
      <c r="R1003">
        <v>1469</v>
      </c>
      <c r="S1003" s="1">
        <v>42093</v>
      </c>
      <c r="T1003" s="1">
        <v>42095</v>
      </c>
      <c r="U1003">
        <v>369.20519999999999</v>
      </c>
      <c r="V1003">
        <v>13</v>
      </c>
      <c r="W1003">
        <v>535.08000000000004</v>
      </c>
      <c r="X1003">
        <v>86599</v>
      </c>
      <c r="Y1003">
        <f>cleaneddata[[#This Row],[Unit Price]]-cleaneddata[[#This Row],[Discount]]</f>
        <v>40.909999999999997</v>
      </c>
      <c r="Z100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04" spans="1:26" x14ac:dyDescent="0.3">
      <c r="A1004">
        <v>2066</v>
      </c>
      <c r="B1004" t="s">
        <v>1848</v>
      </c>
      <c r="C1004" t="s">
        <v>1</v>
      </c>
      <c r="D1004">
        <v>0.09</v>
      </c>
      <c r="E1004">
        <v>20.99</v>
      </c>
      <c r="F1004">
        <v>4.8099999999999996</v>
      </c>
      <c r="G1004" t="s">
        <v>63</v>
      </c>
      <c r="H1004" t="s">
        <v>47</v>
      </c>
      <c r="I1004" t="s">
        <v>16</v>
      </c>
      <c r="J1004" t="s">
        <v>111</v>
      </c>
      <c r="K1004" t="s">
        <v>120</v>
      </c>
      <c r="L1004" t="s">
        <v>1407</v>
      </c>
      <c r="M1004">
        <v>0.57999999999999996</v>
      </c>
      <c r="N1004" t="s">
        <v>8</v>
      </c>
      <c r="O1004" t="s">
        <v>9</v>
      </c>
      <c r="P1004" t="s">
        <v>73</v>
      </c>
      <c r="Q1004" t="s">
        <v>1850</v>
      </c>
      <c r="R1004">
        <v>28079</v>
      </c>
      <c r="S1004" s="1">
        <v>42094</v>
      </c>
      <c r="T1004" s="1">
        <v>42095</v>
      </c>
      <c r="U1004">
        <v>272.69400000000002</v>
      </c>
      <c r="V1004">
        <v>2</v>
      </c>
      <c r="W1004">
        <v>38.979999999999997</v>
      </c>
      <c r="X1004">
        <v>85834</v>
      </c>
      <c r="Y1004">
        <f>cleaneddata[[#This Row],[Unit Price]]-cleaneddata[[#This Row],[Discount]]</f>
        <v>20.9</v>
      </c>
      <c r="Z100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05" spans="1:26" x14ac:dyDescent="0.3">
      <c r="A1005">
        <v>3177</v>
      </c>
      <c r="B1005" t="s">
        <v>1618</v>
      </c>
      <c r="C1005" t="s">
        <v>1</v>
      </c>
      <c r="D1005">
        <v>0.06</v>
      </c>
      <c r="E1005">
        <v>1.68</v>
      </c>
      <c r="F1005">
        <v>1</v>
      </c>
      <c r="G1005" t="s">
        <v>14</v>
      </c>
      <c r="H1005" t="s">
        <v>15</v>
      </c>
      <c r="I1005" t="s">
        <v>24</v>
      </c>
      <c r="J1005" t="s">
        <v>25</v>
      </c>
      <c r="K1005" t="s">
        <v>26</v>
      </c>
      <c r="L1005" t="s">
        <v>396</v>
      </c>
      <c r="M1005">
        <v>0.35</v>
      </c>
      <c r="N1005" t="s">
        <v>8</v>
      </c>
      <c r="O1005" t="s">
        <v>9</v>
      </c>
      <c r="P1005" t="s">
        <v>99</v>
      </c>
      <c r="Q1005" t="s">
        <v>1619</v>
      </c>
      <c r="R1005">
        <v>33458</v>
      </c>
      <c r="S1005" s="1">
        <v>42094</v>
      </c>
      <c r="T1005" s="1">
        <v>42096</v>
      </c>
      <c r="U1005">
        <v>-1319.5</v>
      </c>
      <c r="V1005">
        <v>5</v>
      </c>
      <c r="W1005">
        <v>8.65</v>
      </c>
      <c r="X1005">
        <v>90819</v>
      </c>
      <c r="Y1005">
        <f>cleaneddata[[#This Row],[Unit Price]]-cleaneddata[[#This Row],[Discount]]</f>
        <v>1.6199999999999999</v>
      </c>
      <c r="Z100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06" spans="1:26" x14ac:dyDescent="0.3">
      <c r="A1006">
        <v>1083</v>
      </c>
      <c r="B1006" t="s">
        <v>1913</v>
      </c>
      <c r="C1006" t="s">
        <v>46</v>
      </c>
      <c r="D1006">
        <v>7.0000000000000007E-2</v>
      </c>
      <c r="E1006">
        <v>55.99</v>
      </c>
      <c r="F1006">
        <v>5</v>
      </c>
      <c r="G1006" t="s">
        <v>63</v>
      </c>
      <c r="H1006" t="s">
        <v>70</v>
      </c>
      <c r="I1006" t="s">
        <v>16</v>
      </c>
      <c r="J1006" t="s">
        <v>111</v>
      </c>
      <c r="K1006" t="s">
        <v>18</v>
      </c>
      <c r="L1006" t="s">
        <v>1914</v>
      </c>
      <c r="M1006">
        <v>0.83</v>
      </c>
      <c r="N1006" t="s">
        <v>8</v>
      </c>
      <c r="O1006" t="s">
        <v>28</v>
      </c>
      <c r="P1006" t="s">
        <v>79</v>
      </c>
      <c r="Q1006" t="s">
        <v>854</v>
      </c>
      <c r="R1006">
        <v>62701</v>
      </c>
      <c r="S1006" s="1">
        <v>42094</v>
      </c>
      <c r="T1006" s="1">
        <v>42096</v>
      </c>
      <c r="U1006">
        <v>-232.99100000000001</v>
      </c>
      <c r="V1006">
        <v>1</v>
      </c>
      <c r="W1006">
        <v>54.08</v>
      </c>
      <c r="X1006">
        <v>88460</v>
      </c>
      <c r="Y1006">
        <f>cleaneddata[[#This Row],[Unit Price]]-cleaneddata[[#This Row],[Discount]]</f>
        <v>55.92</v>
      </c>
      <c r="Z10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07" spans="1:26" x14ac:dyDescent="0.3">
      <c r="A1007">
        <v>3224</v>
      </c>
      <c r="B1007" t="s">
        <v>1915</v>
      </c>
      <c r="C1007" t="s">
        <v>1</v>
      </c>
      <c r="D1007">
        <v>0.06</v>
      </c>
      <c r="E1007">
        <v>60.98</v>
      </c>
      <c r="F1007">
        <v>30</v>
      </c>
      <c r="G1007" t="s">
        <v>2</v>
      </c>
      <c r="H1007" t="s">
        <v>3</v>
      </c>
      <c r="I1007" t="s">
        <v>4</v>
      </c>
      <c r="J1007" t="s">
        <v>85</v>
      </c>
      <c r="K1007" t="s">
        <v>33</v>
      </c>
      <c r="L1007" t="s">
        <v>1916</v>
      </c>
      <c r="M1007">
        <v>0.7</v>
      </c>
      <c r="N1007" t="s">
        <v>8</v>
      </c>
      <c r="O1007" t="s">
        <v>9</v>
      </c>
      <c r="P1007" t="s">
        <v>376</v>
      </c>
      <c r="Q1007" t="s">
        <v>1917</v>
      </c>
      <c r="R1007">
        <v>37066</v>
      </c>
      <c r="S1007" s="1">
        <v>42095</v>
      </c>
      <c r="T1007" s="1">
        <v>42096</v>
      </c>
      <c r="U1007">
        <v>-74.087999999999994</v>
      </c>
      <c r="V1007">
        <v>2</v>
      </c>
      <c r="W1007">
        <v>125.9</v>
      </c>
      <c r="X1007">
        <v>86508</v>
      </c>
      <c r="Y1007">
        <f>cleaneddata[[#This Row],[Unit Price]]-cleaneddata[[#This Row],[Discount]]</f>
        <v>60.919999999999995</v>
      </c>
      <c r="Z10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08" spans="1:26" x14ac:dyDescent="0.3">
      <c r="A1008">
        <v>623</v>
      </c>
      <c r="B1008" t="s">
        <v>1918</v>
      </c>
      <c r="C1008" t="s">
        <v>13</v>
      </c>
      <c r="D1008">
        <v>0.05</v>
      </c>
      <c r="E1008">
        <v>6.48</v>
      </c>
      <c r="F1008">
        <v>8.4</v>
      </c>
      <c r="G1008" t="s">
        <v>14</v>
      </c>
      <c r="H1008" t="s">
        <v>47</v>
      </c>
      <c r="I1008" t="s">
        <v>24</v>
      </c>
      <c r="J1008" t="s">
        <v>64</v>
      </c>
      <c r="K1008" t="s">
        <v>49</v>
      </c>
      <c r="L1008" t="s">
        <v>1919</v>
      </c>
      <c r="M1008">
        <v>0.37</v>
      </c>
      <c r="N1008" t="s">
        <v>8</v>
      </c>
      <c r="O1008" t="s">
        <v>87</v>
      </c>
      <c r="P1008" t="s">
        <v>1332</v>
      </c>
      <c r="Q1008" t="s">
        <v>1920</v>
      </c>
      <c r="R1008">
        <v>3101</v>
      </c>
      <c r="S1008" s="1">
        <v>42095</v>
      </c>
      <c r="T1008" s="1">
        <v>42097</v>
      </c>
      <c r="U1008">
        <v>-226.34639999999999</v>
      </c>
      <c r="V1008">
        <v>21</v>
      </c>
      <c r="W1008">
        <v>136.99</v>
      </c>
      <c r="X1008">
        <v>91433</v>
      </c>
      <c r="Y1008">
        <f>cleaneddata[[#This Row],[Unit Price]]-cleaneddata[[#This Row],[Discount]]</f>
        <v>6.4300000000000006</v>
      </c>
      <c r="Z100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09" spans="1:26" x14ac:dyDescent="0.3">
      <c r="A1009">
        <v>624</v>
      </c>
      <c r="B1009" t="s">
        <v>1921</v>
      </c>
      <c r="C1009" t="s">
        <v>13</v>
      </c>
      <c r="D1009">
        <v>0.05</v>
      </c>
      <c r="E1009">
        <v>55.99</v>
      </c>
      <c r="F1009">
        <v>5</v>
      </c>
      <c r="G1009" t="s">
        <v>14</v>
      </c>
      <c r="H1009" t="s">
        <v>47</v>
      </c>
      <c r="I1009" t="s">
        <v>16</v>
      </c>
      <c r="J1009" t="s">
        <v>111</v>
      </c>
      <c r="K1009" t="s">
        <v>18</v>
      </c>
      <c r="L1009" t="s">
        <v>1907</v>
      </c>
      <c r="M1009">
        <v>0.8</v>
      </c>
      <c r="N1009" t="s">
        <v>8</v>
      </c>
      <c r="O1009" t="s">
        <v>87</v>
      </c>
      <c r="P1009" t="s">
        <v>609</v>
      </c>
      <c r="Q1009" t="s">
        <v>1922</v>
      </c>
      <c r="R1009">
        <v>5701</v>
      </c>
      <c r="S1009" s="1">
        <v>42095</v>
      </c>
      <c r="T1009" s="1">
        <v>42095</v>
      </c>
      <c r="U1009">
        <v>-281.17583999999999</v>
      </c>
      <c r="V1009">
        <v>2</v>
      </c>
      <c r="W1009">
        <v>99.36</v>
      </c>
      <c r="X1009">
        <v>91433</v>
      </c>
      <c r="Y1009">
        <f>cleaneddata[[#This Row],[Unit Price]]-cleaneddata[[#This Row],[Discount]]</f>
        <v>55.940000000000005</v>
      </c>
      <c r="Z100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10" spans="1:26" x14ac:dyDescent="0.3">
      <c r="A1010">
        <v>1849</v>
      </c>
      <c r="B1010" t="s">
        <v>1923</v>
      </c>
      <c r="C1010" t="s">
        <v>13</v>
      </c>
      <c r="D1010">
        <v>0.09</v>
      </c>
      <c r="E1010">
        <v>35.99</v>
      </c>
      <c r="F1010">
        <v>1.1000000000000001</v>
      </c>
      <c r="G1010" t="s">
        <v>14</v>
      </c>
      <c r="H1010" t="s">
        <v>15</v>
      </c>
      <c r="I1010" t="s">
        <v>16</v>
      </c>
      <c r="J1010" t="s">
        <v>111</v>
      </c>
      <c r="K1010" t="s">
        <v>49</v>
      </c>
      <c r="L1010" t="s">
        <v>250</v>
      </c>
      <c r="M1010">
        <v>0.55000000000000004</v>
      </c>
      <c r="N1010" t="s">
        <v>8</v>
      </c>
      <c r="O1010" t="s">
        <v>9</v>
      </c>
      <c r="P1010" t="s">
        <v>140</v>
      </c>
      <c r="Q1010" t="s">
        <v>1924</v>
      </c>
      <c r="R1010">
        <v>36330</v>
      </c>
      <c r="S1010" s="1">
        <v>42095</v>
      </c>
      <c r="T1010" s="1">
        <v>42097</v>
      </c>
      <c r="U1010">
        <v>19.350000000000001</v>
      </c>
      <c r="V1010">
        <v>8</v>
      </c>
      <c r="W1010">
        <v>222.71</v>
      </c>
      <c r="X1010">
        <v>89697</v>
      </c>
      <c r="Y1010">
        <f>cleaneddata[[#This Row],[Unit Price]]-cleaneddata[[#This Row],[Discount]]</f>
        <v>35.9</v>
      </c>
      <c r="Z101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11" spans="1:26" x14ac:dyDescent="0.3">
      <c r="A1011">
        <v>1849</v>
      </c>
      <c r="B1011" t="s">
        <v>1923</v>
      </c>
      <c r="C1011" t="s">
        <v>13</v>
      </c>
      <c r="D1011">
        <v>0.01</v>
      </c>
      <c r="E1011">
        <v>125.99</v>
      </c>
      <c r="F1011">
        <v>2.5</v>
      </c>
      <c r="G1011" t="s">
        <v>14</v>
      </c>
      <c r="H1011" t="s">
        <v>15</v>
      </c>
      <c r="I1011" t="s">
        <v>16</v>
      </c>
      <c r="J1011" t="s">
        <v>111</v>
      </c>
      <c r="K1011" t="s">
        <v>49</v>
      </c>
      <c r="L1011" t="s">
        <v>924</v>
      </c>
      <c r="M1011">
        <v>0.6</v>
      </c>
      <c r="N1011" t="s">
        <v>8</v>
      </c>
      <c r="O1011" t="s">
        <v>9</v>
      </c>
      <c r="P1011" t="s">
        <v>140</v>
      </c>
      <c r="Q1011" t="s">
        <v>1924</v>
      </c>
      <c r="R1011">
        <v>36330</v>
      </c>
      <c r="S1011" s="1">
        <v>42095</v>
      </c>
      <c r="T1011" s="1">
        <v>42096</v>
      </c>
      <c r="U1011">
        <v>-967.83399999999995</v>
      </c>
      <c r="V1011">
        <v>2</v>
      </c>
      <c r="W1011">
        <v>220.52</v>
      </c>
      <c r="X1011">
        <v>89697</v>
      </c>
      <c r="Y1011">
        <f>cleaneddata[[#This Row],[Unit Price]]-cleaneddata[[#This Row],[Discount]]</f>
        <v>125.97999999999999</v>
      </c>
      <c r="Z101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12" spans="1:26" x14ac:dyDescent="0.3">
      <c r="A1012">
        <v>3246</v>
      </c>
      <c r="B1012" t="s">
        <v>1925</v>
      </c>
      <c r="C1012" t="s">
        <v>23</v>
      </c>
      <c r="D1012">
        <v>0.06</v>
      </c>
      <c r="E1012">
        <v>5.18</v>
      </c>
      <c r="F1012">
        <v>2.04</v>
      </c>
      <c r="G1012" t="s">
        <v>14</v>
      </c>
      <c r="H1012" t="s">
        <v>3</v>
      </c>
      <c r="I1012" t="s">
        <v>24</v>
      </c>
      <c r="J1012" t="s">
        <v>64</v>
      </c>
      <c r="K1012" t="s">
        <v>26</v>
      </c>
      <c r="L1012" t="s">
        <v>809</v>
      </c>
      <c r="M1012">
        <v>0.36</v>
      </c>
      <c r="N1012" t="s">
        <v>8</v>
      </c>
      <c r="O1012" t="s">
        <v>87</v>
      </c>
      <c r="P1012" t="s">
        <v>1332</v>
      </c>
      <c r="Q1012" t="s">
        <v>1926</v>
      </c>
      <c r="R1012">
        <v>3051</v>
      </c>
      <c r="S1012" s="1">
        <v>42095</v>
      </c>
      <c r="T1012" s="1">
        <v>42095</v>
      </c>
      <c r="U1012">
        <v>1.9503999999999999</v>
      </c>
      <c r="V1012">
        <v>4</v>
      </c>
      <c r="W1012">
        <v>21.86</v>
      </c>
      <c r="X1012">
        <v>88330</v>
      </c>
      <c r="Y1012">
        <f>cleaneddata[[#This Row],[Unit Price]]-cleaneddata[[#This Row],[Discount]]</f>
        <v>5.12</v>
      </c>
      <c r="Z101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13" spans="1:26" x14ac:dyDescent="0.3">
      <c r="A1013">
        <v>568</v>
      </c>
      <c r="B1013" t="s">
        <v>1458</v>
      </c>
      <c r="C1013" t="s">
        <v>92</v>
      </c>
      <c r="D1013">
        <v>0.08</v>
      </c>
      <c r="E1013">
        <v>67.28</v>
      </c>
      <c r="F1013">
        <v>19.989999999999998</v>
      </c>
      <c r="G1013" t="s">
        <v>63</v>
      </c>
      <c r="H1013" t="s">
        <v>15</v>
      </c>
      <c r="I1013" t="s">
        <v>24</v>
      </c>
      <c r="J1013" t="s">
        <v>48</v>
      </c>
      <c r="K1013" t="s">
        <v>49</v>
      </c>
      <c r="L1013" t="s">
        <v>1927</v>
      </c>
      <c r="M1013">
        <v>0.4</v>
      </c>
      <c r="N1013" t="s">
        <v>8</v>
      </c>
      <c r="O1013" t="s">
        <v>9</v>
      </c>
      <c r="P1013" t="s">
        <v>10</v>
      </c>
      <c r="Q1013" t="s">
        <v>1459</v>
      </c>
      <c r="R1013">
        <v>39701</v>
      </c>
      <c r="S1013" s="1">
        <v>42095</v>
      </c>
      <c r="T1013" s="1">
        <v>42097</v>
      </c>
      <c r="U1013">
        <v>224.85059999999999</v>
      </c>
      <c r="V1013">
        <v>16</v>
      </c>
      <c r="W1013">
        <v>1066.54</v>
      </c>
      <c r="X1013">
        <v>88882</v>
      </c>
      <c r="Y1013">
        <f>cleaneddata[[#This Row],[Unit Price]]-cleaneddata[[#This Row],[Discount]]</f>
        <v>67.2</v>
      </c>
      <c r="Z10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14" spans="1:26" x14ac:dyDescent="0.3">
      <c r="A1014">
        <v>3306</v>
      </c>
      <c r="B1014" t="s">
        <v>1928</v>
      </c>
      <c r="C1014" t="s">
        <v>92</v>
      </c>
      <c r="D1014">
        <v>0.06</v>
      </c>
      <c r="E1014">
        <v>11.33</v>
      </c>
      <c r="F1014">
        <v>6.12</v>
      </c>
      <c r="G1014" t="s">
        <v>14</v>
      </c>
      <c r="H1014" t="s">
        <v>3</v>
      </c>
      <c r="I1014" t="s">
        <v>24</v>
      </c>
      <c r="J1014" t="s">
        <v>71</v>
      </c>
      <c r="K1014" t="s">
        <v>120</v>
      </c>
      <c r="L1014" t="s">
        <v>1929</v>
      </c>
      <c r="M1014">
        <v>0.42</v>
      </c>
      <c r="N1014" t="s">
        <v>8</v>
      </c>
      <c r="O1014" t="s">
        <v>87</v>
      </c>
      <c r="P1014" t="s">
        <v>224</v>
      </c>
      <c r="Q1014" t="s">
        <v>1930</v>
      </c>
      <c r="R1014">
        <v>6320</v>
      </c>
      <c r="S1014" s="1">
        <v>42095</v>
      </c>
      <c r="T1014" s="1">
        <v>42097</v>
      </c>
      <c r="U1014">
        <v>-15.92</v>
      </c>
      <c r="V1014">
        <v>1</v>
      </c>
      <c r="W1014">
        <v>17.62</v>
      </c>
      <c r="X1014">
        <v>90461</v>
      </c>
      <c r="Y1014">
        <f>cleaneddata[[#This Row],[Unit Price]]-cleaneddata[[#This Row],[Discount]]</f>
        <v>11.27</v>
      </c>
      <c r="Z10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15" spans="1:26" x14ac:dyDescent="0.3">
      <c r="A1015">
        <v>2859</v>
      </c>
      <c r="B1015" t="s">
        <v>1931</v>
      </c>
      <c r="C1015" t="s">
        <v>46</v>
      </c>
      <c r="D1015">
        <v>0.03</v>
      </c>
      <c r="E1015">
        <v>142.86000000000001</v>
      </c>
      <c r="F1015">
        <v>19.989999999999998</v>
      </c>
      <c r="G1015" t="s">
        <v>14</v>
      </c>
      <c r="H1015" t="s">
        <v>70</v>
      </c>
      <c r="I1015" t="s">
        <v>24</v>
      </c>
      <c r="J1015" t="s">
        <v>54</v>
      </c>
      <c r="K1015" t="s">
        <v>49</v>
      </c>
      <c r="L1015" t="s">
        <v>1932</v>
      </c>
      <c r="M1015">
        <v>0.56000000000000005</v>
      </c>
      <c r="N1015" t="s">
        <v>8</v>
      </c>
      <c r="O1015" t="s">
        <v>9</v>
      </c>
      <c r="P1015" t="s">
        <v>99</v>
      </c>
      <c r="Q1015" t="s">
        <v>1933</v>
      </c>
      <c r="R1015">
        <v>32601</v>
      </c>
      <c r="S1015" s="1">
        <v>42095</v>
      </c>
      <c r="T1015" s="1">
        <v>42097</v>
      </c>
      <c r="U1015">
        <v>-8.3880999999999997</v>
      </c>
      <c r="V1015">
        <v>23</v>
      </c>
      <c r="W1015">
        <v>3292.02</v>
      </c>
      <c r="X1015">
        <v>88281</v>
      </c>
      <c r="Y1015">
        <f>cleaneddata[[#This Row],[Unit Price]]-cleaneddata[[#This Row],[Discount]]</f>
        <v>142.83000000000001</v>
      </c>
      <c r="Z101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16" spans="1:26" x14ac:dyDescent="0.3">
      <c r="A1016">
        <v>197</v>
      </c>
      <c r="B1016" t="s">
        <v>1934</v>
      </c>
      <c r="C1016" t="s">
        <v>1</v>
      </c>
      <c r="D1016">
        <v>0</v>
      </c>
      <c r="E1016">
        <v>161.55000000000001</v>
      </c>
      <c r="F1016">
        <v>19.989999999999998</v>
      </c>
      <c r="G1016" t="s">
        <v>14</v>
      </c>
      <c r="H1016" t="s">
        <v>3</v>
      </c>
      <c r="I1016" t="s">
        <v>24</v>
      </c>
      <c r="J1016" t="s">
        <v>54</v>
      </c>
      <c r="K1016" t="s">
        <v>49</v>
      </c>
      <c r="L1016" t="s">
        <v>55</v>
      </c>
      <c r="M1016">
        <v>0.66</v>
      </c>
      <c r="N1016" t="s">
        <v>8</v>
      </c>
      <c r="O1016" t="s">
        <v>28</v>
      </c>
      <c r="P1016" t="s">
        <v>513</v>
      </c>
      <c r="Q1016" t="s">
        <v>1935</v>
      </c>
      <c r="R1016">
        <v>66212</v>
      </c>
      <c r="S1016" s="1">
        <v>42096</v>
      </c>
      <c r="T1016" s="1">
        <v>42098</v>
      </c>
      <c r="U1016">
        <v>1167.1579999999999</v>
      </c>
      <c r="V1016">
        <v>19</v>
      </c>
      <c r="W1016">
        <v>3108.98</v>
      </c>
      <c r="X1016">
        <v>88921</v>
      </c>
      <c r="Y1016">
        <f>cleaneddata[[#This Row],[Unit Price]]-cleaneddata[[#This Row],[Discount]]</f>
        <v>161.55000000000001</v>
      </c>
      <c r="Z101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17" spans="1:26" x14ac:dyDescent="0.3">
      <c r="A1017">
        <v>198</v>
      </c>
      <c r="B1017" t="s">
        <v>1936</v>
      </c>
      <c r="C1017" t="s">
        <v>1</v>
      </c>
      <c r="D1017">
        <v>0</v>
      </c>
      <c r="E1017">
        <v>161.55000000000001</v>
      </c>
      <c r="F1017">
        <v>19.989999999999998</v>
      </c>
      <c r="G1017" t="s">
        <v>14</v>
      </c>
      <c r="H1017" t="s">
        <v>3</v>
      </c>
      <c r="I1017" t="s">
        <v>24</v>
      </c>
      <c r="J1017" t="s">
        <v>54</v>
      </c>
      <c r="K1017" t="s">
        <v>49</v>
      </c>
      <c r="L1017" t="s">
        <v>55</v>
      </c>
      <c r="M1017">
        <v>0.66</v>
      </c>
      <c r="N1017" t="s">
        <v>8</v>
      </c>
      <c r="O1017" t="s">
        <v>28</v>
      </c>
      <c r="P1017" t="s">
        <v>265</v>
      </c>
      <c r="Q1017" t="s">
        <v>1139</v>
      </c>
      <c r="R1017">
        <v>48138</v>
      </c>
      <c r="S1017" s="1">
        <v>42096</v>
      </c>
      <c r="T1017" s="1">
        <v>42098</v>
      </c>
      <c r="U1017">
        <v>1014.92</v>
      </c>
      <c r="V1017">
        <v>77</v>
      </c>
      <c r="W1017">
        <v>12599.55</v>
      </c>
      <c r="X1017">
        <v>51072</v>
      </c>
      <c r="Y1017">
        <f>cleaneddata[[#This Row],[Unit Price]]-cleaneddata[[#This Row],[Discount]]</f>
        <v>161.55000000000001</v>
      </c>
      <c r="Z101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18" spans="1:26" x14ac:dyDescent="0.3">
      <c r="A1018">
        <v>2667</v>
      </c>
      <c r="B1018" t="s">
        <v>1937</v>
      </c>
      <c r="C1018" t="s">
        <v>13</v>
      </c>
      <c r="D1018">
        <v>0.04</v>
      </c>
      <c r="E1018">
        <v>90.24</v>
      </c>
      <c r="F1018">
        <v>0.99</v>
      </c>
      <c r="G1018" t="s">
        <v>14</v>
      </c>
      <c r="H1018" t="s">
        <v>47</v>
      </c>
      <c r="I1018" t="s">
        <v>24</v>
      </c>
      <c r="J1018" t="s">
        <v>71</v>
      </c>
      <c r="K1018" t="s">
        <v>49</v>
      </c>
      <c r="L1018" t="s">
        <v>1938</v>
      </c>
      <c r="M1018">
        <v>0.56000000000000005</v>
      </c>
      <c r="N1018" t="s">
        <v>8</v>
      </c>
      <c r="O1018" t="s">
        <v>87</v>
      </c>
      <c r="P1018" t="s">
        <v>293</v>
      </c>
      <c r="Q1018" t="s">
        <v>1939</v>
      </c>
      <c r="R1018">
        <v>44107</v>
      </c>
      <c r="S1018" s="1">
        <v>42096</v>
      </c>
      <c r="T1018" s="1">
        <v>42098</v>
      </c>
      <c r="U1018">
        <v>246.2748</v>
      </c>
      <c r="V1018">
        <v>4</v>
      </c>
      <c r="W1018">
        <v>356.92</v>
      </c>
      <c r="X1018">
        <v>87831</v>
      </c>
      <c r="Y1018">
        <f>cleaneddata[[#This Row],[Unit Price]]-cleaneddata[[#This Row],[Discount]]</f>
        <v>90.199999999999989</v>
      </c>
      <c r="Z10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19" spans="1:26" x14ac:dyDescent="0.3">
      <c r="A1019">
        <v>2667</v>
      </c>
      <c r="B1019" t="s">
        <v>1937</v>
      </c>
      <c r="C1019" t="s">
        <v>13</v>
      </c>
      <c r="D1019">
        <v>0.09</v>
      </c>
      <c r="E1019">
        <v>47.9</v>
      </c>
      <c r="F1019">
        <v>5.86</v>
      </c>
      <c r="G1019" t="s">
        <v>63</v>
      </c>
      <c r="H1019" t="s">
        <v>47</v>
      </c>
      <c r="I1019" t="s">
        <v>24</v>
      </c>
      <c r="J1019" t="s">
        <v>64</v>
      </c>
      <c r="K1019" t="s">
        <v>49</v>
      </c>
      <c r="L1019" t="s">
        <v>1285</v>
      </c>
      <c r="M1019">
        <v>0.37</v>
      </c>
      <c r="N1019" t="s">
        <v>8</v>
      </c>
      <c r="O1019" t="s">
        <v>87</v>
      </c>
      <c r="P1019" t="s">
        <v>293</v>
      </c>
      <c r="Q1019" t="s">
        <v>1939</v>
      </c>
      <c r="R1019">
        <v>44107</v>
      </c>
      <c r="S1019" s="1">
        <v>42096</v>
      </c>
      <c r="T1019" s="1">
        <v>42098</v>
      </c>
      <c r="U1019">
        <v>93.950400000000002</v>
      </c>
      <c r="V1019">
        <v>3</v>
      </c>
      <c r="W1019">
        <v>136.16</v>
      </c>
      <c r="X1019">
        <v>87831</v>
      </c>
      <c r="Y1019">
        <f>cleaneddata[[#This Row],[Unit Price]]-cleaneddata[[#This Row],[Discount]]</f>
        <v>47.809999999999995</v>
      </c>
      <c r="Z10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20" spans="1:26" x14ac:dyDescent="0.3">
      <c r="A1020">
        <v>228</v>
      </c>
      <c r="B1020" t="s">
        <v>1940</v>
      </c>
      <c r="C1020" t="s">
        <v>92</v>
      </c>
      <c r="D1020">
        <v>0.03</v>
      </c>
      <c r="E1020">
        <v>60.89</v>
      </c>
      <c r="F1020">
        <v>32.409999999999997</v>
      </c>
      <c r="G1020" t="s">
        <v>2</v>
      </c>
      <c r="H1020" t="s">
        <v>3</v>
      </c>
      <c r="I1020" t="s">
        <v>4</v>
      </c>
      <c r="J1020" t="s">
        <v>85</v>
      </c>
      <c r="K1020" t="s">
        <v>33</v>
      </c>
      <c r="L1020" t="s">
        <v>1941</v>
      </c>
      <c r="M1020">
        <v>0.56000000000000005</v>
      </c>
      <c r="N1020" t="s">
        <v>8</v>
      </c>
      <c r="O1020" t="s">
        <v>9</v>
      </c>
      <c r="P1020" t="s">
        <v>73</v>
      </c>
      <c r="Q1020" t="s">
        <v>1942</v>
      </c>
      <c r="R1020">
        <v>28227</v>
      </c>
      <c r="S1020" s="1">
        <v>42096</v>
      </c>
      <c r="T1020" s="1">
        <v>42097</v>
      </c>
      <c r="U1020">
        <v>36.353999999999999</v>
      </c>
      <c r="V1020">
        <v>7</v>
      </c>
      <c r="W1020">
        <v>450.49</v>
      </c>
      <c r="X1020">
        <v>88527</v>
      </c>
      <c r="Y1020">
        <f>cleaneddata[[#This Row],[Unit Price]]-cleaneddata[[#This Row],[Discount]]</f>
        <v>60.86</v>
      </c>
      <c r="Z102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21" spans="1:26" x14ac:dyDescent="0.3">
      <c r="A1021">
        <v>2957</v>
      </c>
      <c r="B1021" t="s">
        <v>1943</v>
      </c>
      <c r="C1021" t="s">
        <v>92</v>
      </c>
      <c r="D1021">
        <v>0.1</v>
      </c>
      <c r="E1021">
        <v>37.94</v>
      </c>
      <c r="F1021">
        <v>5.08</v>
      </c>
      <c r="G1021" t="s">
        <v>63</v>
      </c>
      <c r="H1021" t="s">
        <v>70</v>
      </c>
      <c r="I1021" t="s">
        <v>24</v>
      </c>
      <c r="J1021" t="s">
        <v>64</v>
      </c>
      <c r="K1021" t="s">
        <v>26</v>
      </c>
      <c r="L1021" t="s">
        <v>1089</v>
      </c>
      <c r="M1021">
        <v>0.38</v>
      </c>
      <c r="N1021" t="s">
        <v>8</v>
      </c>
      <c r="O1021" t="s">
        <v>28</v>
      </c>
      <c r="P1021" t="s">
        <v>333</v>
      </c>
      <c r="Q1021" t="s">
        <v>1944</v>
      </c>
      <c r="R1021">
        <v>53209</v>
      </c>
      <c r="S1021" s="1">
        <v>42096</v>
      </c>
      <c r="T1021" s="1">
        <v>42098</v>
      </c>
      <c r="U1021">
        <v>95.054400000000001</v>
      </c>
      <c r="V1021">
        <v>4</v>
      </c>
      <c r="W1021">
        <v>137.76</v>
      </c>
      <c r="X1021">
        <v>90264</v>
      </c>
      <c r="Y1021">
        <f>cleaneddata[[#This Row],[Unit Price]]-cleaneddata[[#This Row],[Discount]]</f>
        <v>37.839999999999996</v>
      </c>
      <c r="Z102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22" spans="1:26" x14ac:dyDescent="0.3">
      <c r="A1022">
        <v>1112</v>
      </c>
      <c r="B1022" t="s">
        <v>1945</v>
      </c>
      <c r="C1022" t="s">
        <v>46</v>
      </c>
      <c r="D1022">
        <v>0.03</v>
      </c>
      <c r="E1022">
        <v>300.98</v>
      </c>
      <c r="F1022">
        <v>54.92</v>
      </c>
      <c r="G1022" t="s">
        <v>2</v>
      </c>
      <c r="H1022" t="s">
        <v>70</v>
      </c>
      <c r="I1022" t="s">
        <v>4</v>
      </c>
      <c r="J1022" t="s">
        <v>93</v>
      </c>
      <c r="K1022" t="s">
        <v>6</v>
      </c>
      <c r="L1022" t="s">
        <v>1946</v>
      </c>
      <c r="M1022">
        <v>0.55000000000000004</v>
      </c>
      <c r="N1022" t="s">
        <v>8</v>
      </c>
      <c r="O1022" t="s">
        <v>35</v>
      </c>
      <c r="P1022" t="s">
        <v>66</v>
      </c>
      <c r="Q1022" t="s">
        <v>1947</v>
      </c>
      <c r="R1022">
        <v>92399</v>
      </c>
      <c r="S1022" s="1">
        <v>42096</v>
      </c>
      <c r="T1022" s="1">
        <v>42098</v>
      </c>
      <c r="U1022">
        <v>1272.5808</v>
      </c>
      <c r="V1022">
        <v>12</v>
      </c>
      <c r="W1022">
        <v>3527.82</v>
      </c>
      <c r="X1022">
        <v>90832</v>
      </c>
      <c r="Y1022">
        <f>cleaneddata[[#This Row],[Unit Price]]-cleaneddata[[#This Row],[Discount]]</f>
        <v>300.95000000000005</v>
      </c>
      <c r="Z10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23" spans="1:26" x14ac:dyDescent="0.3">
      <c r="A1023">
        <v>1112</v>
      </c>
      <c r="B1023" t="s">
        <v>1945</v>
      </c>
      <c r="C1023" t="s">
        <v>46</v>
      </c>
      <c r="D1023">
        <v>0.02</v>
      </c>
      <c r="E1023">
        <v>2550.14</v>
      </c>
      <c r="F1023">
        <v>29.7</v>
      </c>
      <c r="G1023" t="s">
        <v>2</v>
      </c>
      <c r="H1023" t="s">
        <v>70</v>
      </c>
      <c r="I1023" t="s">
        <v>16</v>
      </c>
      <c r="J1023" t="s">
        <v>32</v>
      </c>
      <c r="K1023" t="s">
        <v>33</v>
      </c>
      <c r="L1023" t="s">
        <v>1948</v>
      </c>
      <c r="M1023">
        <v>0.56999999999999995</v>
      </c>
      <c r="N1023" t="s">
        <v>8</v>
      </c>
      <c r="O1023" t="s">
        <v>35</v>
      </c>
      <c r="P1023" t="s">
        <v>66</v>
      </c>
      <c r="Q1023" t="s">
        <v>1947</v>
      </c>
      <c r="R1023">
        <v>92399</v>
      </c>
      <c r="S1023" s="1">
        <v>42096</v>
      </c>
      <c r="T1023" s="1">
        <v>42098</v>
      </c>
      <c r="U1023">
        <v>-5390.7388920000003</v>
      </c>
      <c r="V1023">
        <v>2</v>
      </c>
      <c r="W1023">
        <v>4698.21</v>
      </c>
      <c r="X1023">
        <v>90832</v>
      </c>
      <c r="Y1023">
        <f>cleaneddata[[#This Row],[Unit Price]]-cleaneddata[[#This Row],[Discount]]</f>
        <v>2550.12</v>
      </c>
      <c r="Z102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24" spans="1:26" x14ac:dyDescent="0.3">
      <c r="A1024">
        <v>1777</v>
      </c>
      <c r="B1024" t="s">
        <v>148</v>
      </c>
      <c r="C1024" t="s">
        <v>46</v>
      </c>
      <c r="D1024">
        <v>0.03</v>
      </c>
      <c r="E1024">
        <v>19.989999999999998</v>
      </c>
      <c r="F1024">
        <v>11.17</v>
      </c>
      <c r="G1024" t="s">
        <v>14</v>
      </c>
      <c r="H1024" t="s">
        <v>70</v>
      </c>
      <c r="I1024" t="s">
        <v>4</v>
      </c>
      <c r="J1024" t="s">
        <v>102</v>
      </c>
      <c r="K1024" t="s">
        <v>40</v>
      </c>
      <c r="L1024" t="s">
        <v>465</v>
      </c>
      <c r="M1024">
        <v>0.6</v>
      </c>
      <c r="N1024" t="s">
        <v>8</v>
      </c>
      <c r="O1024" t="s">
        <v>28</v>
      </c>
      <c r="P1024" t="s">
        <v>29</v>
      </c>
      <c r="Q1024" t="s">
        <v>150</v>
      </c>
      <c r="R1024">
        <v>46383</v>
      </c>
      <c r="S1024" s="1">
        <v>42096</v>
      </c>
      <c r="T1024" s="1">
        <v>42097</v>
      </c>
      <c r="U1024">
        <v>-20.8764</v>
      </c>
      <c r="V1024">
        <v>12</v>
      </c>
      <c r="W1024">
        <v>251.61</v>
      </c>
      <c r="X1024">
        <v>89942</v>
      </c>
      <c r="Y1024">
        <f>cleaneddata[[#This Row],[Unit Price]]-cleaneddata[[#This Row],[Discount]]</f>
        <v>19.959999999999997</v>
      </c>
      <c r="Z10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25" spans="1:26" x14ac:dyDescent="0.3">
      <c r="A1025">
        <v>2014</v>
      </c>
      <c r="B1025" t="s">
        <v>1764</v>
      </c>
      <c r="C1025" t="s">
        <v>1</v>
      </c>
      <c r="D1025">
        <v>0.06</v>
      </c>
      <c r="E1025">
        <v>6.48</v>
      </c>
      <c r="F1025">
        <v>7.49</v>
      </c>
      <c r="G1025" t="s">
        <v>14</v>
      </c>
      <c r="H1025" t="s">
        <v>47</v>
      </c>
      <c r="I1025" t="s">
        <v>24</v>
      </c>
      <c r="J1025" t="s">
        <v>64</v>
      </c>
      <c r="K1025" t="s">
        <v>49</v>
      </c>
      <c r="L1025" t="s">
        <v>1897</v>
      </c>
      <c r="M1025">
        <v>0.37</v>
      </c>
      <c r="N1025" t="s">
        <v>8</v>
      </c>
      <c r="O1025" t="s">
        <v>28</v>
      </c>
      <c r="P1025" t="s">
        <v>189</v>
      </c>
      <c r="Q1025" t="s">
        <v>1765</v>
      </c>
      <c r="R1025">
        <v>51503</v>
      </c>
      <c r="S1025" s="1">
        <v>42098</v>
      </c>
      <c r="T1025" s="1">
        <v>42098</v>
      </c>
      <c r="U1025">
        <v>-191.49</v>
      </c>
      <c r="V1025">
        <v>12</v>
      </c>
      <c r="W1025">
        <v>74.930000000000007</v>
      </c>
      <c r="X1025">
        <v>88368</v>
      </c>
      <c r="Y1025">
        <f>cleaneddata[[#This Row],[Unit Price]]-cleaneddata[[#This Row],[Discount]]</f>
        <v>6.4200000000000008</v>
      </c>
      <c r="Z10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26" spans="1:26" x14ac:dyDescent="0.3">
      <c r="A1026">
        <v>911</v>
      </c>
      <c r="B1026" t="s">
        <v>878</v>
      </c>
      <c r="C1026" t="s">
        <v>13</v>
      </c>
      <c r="D1026">
        <v>0.01</v>
      </c>
      <c r="E1026">
        <v>59.76</v>
      </c>
      <c r="F1026">
        <v>9.7100000000000009</v>
      </c>
      <c r="G1026" t="s">
        <v>14</v>
      </c>
      <c r="H1026" t="s">
        <v>70</v>
      </c>
      <c r="I1026" t="s">
        <v>24</v>
      </c>
      <c r="J1026" t="s">
        <v>54</v>
      </c>
      <c r="K1026" t="s">
        <v>49</v>
      </c>
      <c r="L1026" t="s">
        <v>1949</v>
      </c>
      <c r="M1026">
        <v>0.56999999999999995</v>
      </c>
      <c r="N1026" t="s">
        <v>8</v>
      </c>
      <c r="O1026" t="s">
        <v>87</v>
      </c>
      <c r="P1026" t="s">
        <v>879</v>
      </c>
      <c r="Q1026" t="s">
        <v>880</v>
      </c>
      <c r="R1026">
        <v>26003</v>
      </c>
      <c r="S1026" s="1">
        <v>42098</v>
      </c>
      <c r="T1026" s="1">
        <v>42100</v>
      </c>
      <c r="U1026">
        <v>354.3288</v>
      </c>
      <c r="V1026">
        <v>8</v>
      </c>
      <c r="W1026">
        <v>513.52</v>
      </c>
      <c r="X1026">
        <v>90186</v>
      </c>
      <c r="Y1026">
        <f>cleaneddata[[#This Row],[Unit Price]]-cleaneddata[[#This Row],[Discount]]</f>
        <v>59.75</v>
      </c>
      <c r="Z102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27" spans="1:26" x14ac:dyDescent="0.3">
      <c r="A1027">
        <v>2685</v>
      </c>
      <c r="B1027" t="s">
        <v>1950</v>
      </c>
      <c r="C1027" t="s">
        <v>13</v>
      </c>
      <c r="D1027">
        <v>0</v>
      </c>
      <c r="E1027">
        <v>7.38</v>
      </c>
      <c r="F1027">
        <v>11.51</v>
      </c>
      <c r="G1027" t="s">
        <v>14</v>
      </c>
      <c r="H1027" t="s">
        <v>3</v>
      </c>
      <c r="I1027" t="s">
        <v>24</v>
      </c>
      <c r="J1027" t="s">
        <v>48</v>
      </c>
      <c r="K1027" t="s">
        <v>49</v>
      </c>
      <c r="L1027" t="s">
        <v>1951</v>
      </c>
      <c r="M1027">
        <v>0.36</v>
      </c>
      <c r="N1027" t="s">
        <v>8</v>
      </c>
      <c r="O1027" t="s">
        <v>87</v>
      </c>
      <c r="P1027" t="s">
        <v>88</v>
      </c>
      <c r="Q1027" t="s">
        <v>1952</v>
      </c>
      <c r="R1027">
        <v>11803</v>
      </c>
      <c r="S1027" s="1">
        <v>42098</v>
      </c>
      <c r="T1027" s="1">
        <v>42099</v>
      </c>
      <c r="U1027">
        <v>-66.171000000000006</v>
      </c>
      <c r="V1027">
        <v>2</v>
      </c>
      <c r="W1027">
        <v>17.64</v>
      </c>
      <c r="X1027">
        <v>89147</v>
      </c>
      <c r="Y1027">
        <f>cleaneddata[[#This Row],[Unit Price]]-cleaneddata[[#This Row],[Discount]]</f>
        <v>7.38</v>
      </c>
      <c r="Z102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28" spans="1:26" x14ac:dyDescent="0.3">
      <c r="A1028">
        <v>321</v>
      </c>
      <c r="B1028" t="s">
        <v>1953</v>
      </c>
      <c r="C1028" t="s">
        <v>23</v>
      </c>
      <c r="D1028">
        <v>0.04</v>
      </c>
      <c r="E1028">
        <v>8.33</v>
      </c>
      <c r="F1028">
        <v>1.99</v>
      </c>
      <c r="G1028" t="s">
        <v>14</v>
      </c>
      <c r="H1028" t="s">
        <v>15</v>
      </c>
      <c r="I1028" t="s">
        <v>16</v>
      </c>
      <c r="J1028" t="s">
        <v>17</v>
      </c>
      <c r="K1028" t="s">
        <v>18</v>
      </c>
      <c r="L1028" t="s">
        <v>1150</v>
      </c>
      <c r="M1028">
        <v>0.52</v>
      </c>
      <c r="N1028" t="s">
        <v>8</v>
      </c>
      <c r="O1028" t="s">
        <v>87</v>
      </c>
      <c r="P1028" t="s">
        <v>394</v>
      </c>
      <c r="Q1028" t="s">
        <v>1954</v>
      </c>
      <c r="R1028">
        <v>20854</v>
      </c>
      <c r="S1028" s="1">
        <v>42098</v>
      </c>
      <c r="T1028" s="1">
        <v>42103</v>
      </c>
      <c r="U1028">
        <v>9.9268000000000001</v>
      </c>
      <c r="V1028">
        <v>11</v>
      </c>
      <c r="W1028">
        <v>89.76</v>
      </c>
      <c r="X1028">
        <v>91057</v>
      </c>
      <c r="Y1028">
        <f>cleaneddata[[#This Row],[Unit Price]]-cleaneddata[[#This Row],[Discount]]</f>
        <v>8.2900000000000009</v>
      </c>
      <c r="Z102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29" spans="1:26" x14ac:dyDescent="0.3">
      <c r="A1029">
        <v>975</v>
      </c>
      <c r="B1029" t="s">
        <v>1955</v>
      </c>
      <c r="C1029" t="s">
        <v>23</v>
      </c>
      <c r="D1029">
        <v>0.1</v>
      </c>
      <c r="E1029">
        <v>2.2200000000000002</v>
      </c>
      <c r="F1029">
        <v>5</v>
      </c>
      <c r="G1029" t="s">
        <v>14</v>
      </c>
      <c r="H1029" t="s">
        <v>70</v>
      </c>
      <c r="I1029" t="s">
        <v>24</v>
      </c>
      <c r="J1029" t="s">
        <v>71</v>
      </c>
      <c r="K1029" t="s">
        <v>49</v>
      </c>
      <c r="L1029" t="s">
        <v>1956</v>
      </c>
      <c r="M1029">
        <v>0.55000000000000004</v>
      </c>
      <c r="N1029" t="s">
        <v>8</v>
      </c>
      <c r="O1029" t="s">
        <v>87</v>
      </c>
      <c r="P1029" t="s">
        <v>379</v>
      </c>
      <c r="Q1029" t="s">
        <v>764</v>
      </c>
      <c r="R1029">
        <v>2108</v>
      </c>
      <c r="S1029" s="1">
        <v>42098</v>
      </c>
      <c r="T1029" s="1">
        <v>42103</v>
      </c>
      <c r="U1029">
        <v>-21.319199999999999</v>
      </c>
      <c r="V1029">
        <v>3</v>
      </c>
      <c r="W1029">
        <v>8.8000000000000007</v>
      </c>
      <c r="X1029">
        <v>87260</v>
      </c>
      <c r="Y1029">
        <f>cleaneddata[[#This Row],[Unit Price]]-cleaneddata[[#This Row],[Discount]]</f>
        <v>2.12</v>
      </c>
      <c r="Z102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30" spans="1:26" x14ac:dyDescent="0.3">
      <c r="A1030">
        <v>1918</v>
      </c>
      <c r="B1030" t="s">
        <v>1957</v>
      </c>
      <c r="C1030" t="s">
        <v>23</v>
      </c>
      <c r="D1030">
        <v>0.1</v>
      </c>
      <c r="E1030">
        <v>10.44</v>
      </c>
      <c r="F1030">
        <v>5.75</v>
      </c>
      <c r="G1030" t="s">
        <v>63</v>
      </c>
      <c r="H1030" t="s">
        <v>47</v>
      </c>
      <c r="I1030" t="s">
        <v>24</v>
      </c>
      <c r="J1030" t="s">
        <v>48</v>
      </c>
      <c r="K1030" t="s">
        <v>49</v>
      </c>
      <c r="L1030" t="s">
        <v>1958</v>
      </c>
      <c r="M1030">
        <v>0.39</v>
      </c>
      <c r="N1030" t="s">
        <v>8</v>
      </c>
      <c r="O1030" t="s">
        <v>9</v>
      </c>
      <c r="P1030" t="s">
        <v>20</v>
      </c>
      <c r="Q1030" t="s">
        <v>1959</v>
      </c>
      <c r="R1030">
        <v>72450</v>
      </c>
      <c r="S1030" s="1">
        <v>42098</v>
      </c>
      <c r="T1030" s="1">
        <v>42105</v>
      </c>
      <c r="U1030">
        <v>125.724</v>
      </c>
      <c r="V1030">
        <v>17</v>
      </c>
      <c r="W1030">
        <v>168.04</v>
      </c>
      <c r="X1030">
        <v>85898</v>
      </c>
      <c r="Y1030">
        <f>cleaneddata[[#This Row],[Unit Price]]-cleaneddata[[#This Row],[Discount]]</f>
        <v>10.34</v>
      </c>
      <c r="Z103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31" spans="1:26" x14ac:dyDescent="0.3">
      <c r="A1031">
        <v>2548</v>
      </c>
      <c r="B1031" t="s">
        <v>1960</v>
      </c>
      <c r="C1031" t="s">
        <v>23</v>
      </c>
      <c r="D1031">
        <v>0</v>
      </c>
      <c r="E1031">
        <v>35.99</v>
      </c>
      <c r="F1031">
        <v>0.99</v>
      </c>
      <c r="G1031" t="s">
        <v>14</v>
      </c>
      <c r="H1031" t="s">
        <v>3</v>
      </c>
      <c r="I1031" t="s">
        <v>16</v>
      </c>
      <c r="J1031" t="s">
        <v>111</v>
      </c>
      <c r="K1031" t="s">
        <v>18</v>
      </c>
      <c r="L1031" t="s">
        <v>1961</v>
      </c>
      <c r="M1031">
        <v>0.35</v>
      </c>
      <c r="N1031" t="s">
        <v>8</v>
      </c>
      <c r="O1031" t="s">
        <v>35</v>
      </c>
      <c r="P1031" t="s">
        <v>66</v>
      </c>
      <c r="Q1031" t="s">
        <v>76</v>
      </c>
      <c r="R1031">
        <v>90068</v>
      </c>
      <c r="S1031" s="1">
        <v>42098</v>
      </c>
      <c r="T1031" s="1">
        <v>42105</v>
      </c>
      <c r="U1031">
        <v>840.05100000000004</v>
      </c>
      <c r="V1031">
        <v>46</v>
      </c>
      <c r="W1031">
        <v>1477.57</v>
      </c>
      <c r="X1031">
        <v>46436</v>
      </c>
      <c r="Y1031">
        <f>cleaneddata[[#This Row],[Unit Price]]-cleaneddata[[#This Row],[Discount]]</f>
        <v>35.99</v>
      </c>
      <c r="Z103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32" spans="1:26" x14ac:dyDescent="0.3">
      <c r="A1032">
        <v>2551</v>
      </c>
      <c r="B1032" t="s">
        <v>1962</v>
      </c>
      <c r="C1032" t="s">
        <v>23</v>
      </c>
      <c r="D1032">
        <v>0</v>
      </c>
      <c r="E1032">
        <v>35.99</v>
      </c>
      <c r="F1032">
        <v>0.99</v>
      </c>
      <c r="G1032" t="s">
        <v>14</v>
      </c>
      <c r="H1032" t="s">
        <v>3</v>
      </c>
      <c r="I1032" t="s">
        <v>16</v>
      </c>
      <c r="J1032" t="s">
        <v>111</v>
      </c>
      <c r="K1032" t="s">
        <v>18</v>
      </c>
      <c r="L1032" t="s">
        <v>1961</v>
      </c>
      <c r="M1032">
        <v>0.35</v>
      </c>
      <c r="N1032" t="s">
        <v>8</v>
      </c>
      <c r="O1032" t="s">
        <v>87</v>
      </c>
      <c r="P1032" t="s">
        <v>296</v>
      </c>
      <c r="Q1032" t="s">
        <v>1963</v>
      </c>
      <c r="R1032">
        <v>17403</v>
      </c>
      <c r="S1032" s="1">
        <v>42098</v>
      </c>
      <c r="T1032" s="1">
        <v>42105</v>
      </c>
      <c r="U1032">
        <v>265.96050000000002</v>
      </c>
      <c r="V1032">
        <v>12</v>
      </c>
      <c r="W1032">
        <v>385.45</v>
      </c>
      <c r="X1032">
        <v>88656</v>
      </c>
      <c r="Y1032">
        <f>cleaneddata[[#This Row],[Unit Price]]-cleaneddata[[#This Row],[Discount]]</f>
        <v>35.99</v>
      </c>
      <c r="Z10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33" spans="1:26" x14ac:dyDescent="0.3">
      <c r="A1033">
        <v>114</v>
      </c>
      <c r="B1033" t="s">
        <v>113</v>
      </c>
      <c r="C1033" t="s">
        <v>92</v>
      </c>
      <c r="D1033">
        <v>0.01</v>
      </c>
      <c r="E1033">
        <v>4.91</v>
      </c>
      <c r="F1033">
        <v>0.5</v>
      </c>
      <c r="G1033" t="s">
        <v>14</v>
      </c>
      <c r="H1033" t="s">
        <v>47</v>
      </c>
      <c r="I1033" t="s">
        <v>24</v>
      </c>
      <c r="J1033" t="s">
        <v>128</v>
      </c>
      <c r="K1033" t="s">
        <v>49</v>
      </c>
      <c r="L1033" t="s">
        <v>949</v>
      </c>
      <c r="M1033">
        <v>0.36</v>
      </c>
      <c r="N1033" t="s">
        <v>8</v>
      </c>
      <c r="O1033" t="s">
        <v>35</v>
      </c>
      <c r="P1033" t="s">
        <v>115</v>
      </c>
      <c r="Q1033" t="s">
        <v>116</v>
      </c>
      <c r="R1033">
        <v>97035</v>
      </c>
      <c r="S1033" s="1">
        <v>42098</v>
      </c>
      <c r="T1033" s="1">
        <v>42100</v>
      </c>
      <c r="U1033">
        <v>40.247700000000002</v>
      </c>
      <c r="V1033">
        <v>12</v>
      </c>
      <c r="W1033">
        <v>58.33</v>
      </c>
      <c r="X1033">
        <v>89584</v>
      </c>
      <c r="Y1033">
        <f>cleaneddata[[#This Row],[Unit Price]]-cleaneddata[[#This Row],[Discount]]</f>
        <v>4.9000000000000004</v>
      </c>
      <c r="Z103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34" spans="1:26" x14ac:dyDescent="0.3">
      <c r="A1034">
        <v>114</v>
      </c>
      <c r="B1034" t="s">
        <v>113</v>
      </c>
      <c r="C1034" t="s">
        <v>92</v>
      </c>
      <c r="D1034">
        <v>0.09</v>
      </c>
      <c r="E1034">
        <v>4</v>
      </c>
      <c r="F1034">
        <v>1.3</v>
      </c>
      <c r="G1034" t="s">
        <v>63</v>
      </c>
      <c r="H1034" t="s">
        <v>47</v>
      </c>
      <c r="I1034" t="s">
        <v>24</v>
      </c>
      <c r="J1034" t="s">
        <v>64</v>
      </c>
      <c r="K1034" t="s">
        <v>26</v>
      </c>
      <c r="L1034" t="s">
        <v>347</v>
      </c>
      <c r="M1034">
        <v>0.37</v>
      </c>
      <c r="N1034" t="s">
        <v>8</v>
      </c>
      <c r="O1034" t="s">
        <v>35</v>
      </c>
      <c r="P1034" t="s">
        <v>115</v>
      </c>
      <c r="Q1034" t="s">
        <v>116</v>
      </c>
      <c r="R1034">
        <v>97035</v>
      </c>
      <c r="S1034" s="1">
        <v>42098</v>
      </c>
      <c r="T1034" s="1">
        <v>42100</v>
      </c>
      <c r="U1034">
        <v>14.0898</v>
      </c>
      <c r="V1034">
        <v>5</v>
      </c>
      <c r="W1034">
        <v>20.420000000000002</v>
      </c>
      <c r="X1034">
        <v>89584</v>
      </c>
      <c r="Y1034">
        <f>cleaneddata[[#This Row],[Unit Price]]-cleaneddata[[#This Row],[Discount]]</f>
        <v>3.91</v>
      </c>
      <c r="Z103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35" spans="1:26" x14ac:dyDescent="0.3">
      <c r="A1035">
        <v>117</v>
      </c>
      <c r="B1035" t="s">
        <v>117</v>
      </c>
      <c r="C1035" t="s">
        <v>92</v>
      </c>
      <c r="D1035">
        <v>0.01</v>
      </c>
      <c r="E1035">
        <v>4.91</v>
      </c>
      <c r="F1035">
        <v>0.5</v>
      </c>
      <c r="G1035" t="s">
        <v>14</v>
      </c>
      <c r="H1035" t="s">
        <v>47</v>
      </c>
      <c r="I1035" t="s">
        <v>24</v>
      </c>
      <c r="J1035" t="s">
        <v>128</v>
      </c>
      <c r="K1035" t="s">
        <v>49</v>
      </c>
      <c r="L1035" t="s">
        <v>949</v>
      </c>
      <c r="M1035">
        <v>0.36</v>
      </c>
      <c r="N1035" t="s">
        <v>8</v>
      </c>
      <c r="O1035" t="s">
        <v>35</v>
      </c>
      <c r="P1035" t="s">
        <v>42</v>
      </c>
      <c r="Q1035" t="s">
        <v>118</v>
      </c>
      <c r="R1035">
        <v>98103</v>
      </c>
      <c r="S1035" s="1">
        <v>42098</v>
      </c>
      <c r="T1035" s="1">
        <v>42100</v>
      </c>
      <c r="U1035">
        <v>112.06</v>
      </c>
      <c r="V1035">
        <v>47</v>
      </c>
      <c r="W1035">
        <v>228.46</v>
      </c>
      <c r="X1035">
        <v>13959</v>
      </c>
      <c r="Y1035">
        <f>cleaneddata[[#This Row],[Unit Price]]-cleaneddata[[#This Row],[Discount]]</f>
        <v>4.9000000000000004</v>
      </c>
      <c r="Z103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36" spans="1:26" x14ac:dyDescent="0.3">
      <c r="A1036">
        <v>117</v>
      </c>
      <c r="B1036" t="s">
        <v>117</v>
      </c>
      <c r="C1036" t="s">
        <v>92</v>
      </c>
      <c r="D1036">
        <v>0.09</v>
      </c>
      <c r="E1036">
        <v>4</v>
      </c>
      <c r="F1036">
        <v>1.3</v>
      </c>
      <c r="G1036" t="s">
        <v>63</v>
      </c>
      <c r="H1036" t="s">
        <v>47</v>
      </c>
      <c r="I1036" t="s">
        <v>24</v>
      </c>
      <c r="J1036" t="s">
        <v>64</v>
      </c>
      <c r="K1036" t="s">
        <v>26</v>
      </c>
      <c r="L1036" t="s">
        <v>347</v>
      </c>
      <c r="M1036">
        <v>0.37</v>
      </c>
      <c r="N1036" t="s">
        <v>8</v>
      </c>
      <c r="O1036" t="s">
        <v>35</v>
      </c>
      <c r="P1036" t="s">
        <v>42</v>
      </c>
      <c r="Q1036" t="s">
        <v>118</v>
      </c>
      <c r="R1036">
        <v>98103</v>
      </c>
      <c r="S1036" s="1">
        <v>42098</v>
      </c>
      <c r="T1036" s="1">
        <v>42100</v>
      </c>
      <c r="U1036">
        <v>16.79</v>
      </c>
      <c r="V1036">
        <v>19</v>
      </c>
      <c r="W1036">
        <v>77.61</v>
      </c>
      <c r="X1036">
        <v>13959</v>
      </c>
      <c r="Y1036">
        <f>cleaneddata[[#This Row],[Unit Price]]-cleaneddata[[#This Row],[Discount]]</f>
        <v>3.91</v>
      </c>
      <c r="Z103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37" spans="1:26" x14ac:dyDescent="0.3">
      <c r="A1037">
        <v>1590</v>
      </c>
      <c r="B1037" t="s">
        <v>1964</v>
      </c>
      <c r="C1037" t="s">
        <v>92</v>
      </c>
      <c r="D1037">
        <v>0.03</v>
      </c>
      <c r="E1037">
        <v>19.04</v>
      </c>
      <c r="F1037">
        <v>6.38</v>
      </c>
      <c r="G1037" t="s">
        <v>63</v>
      </c>
      <c r="H1037" t="s">
        <v>70</v>
      </c>
      <c r="I1037" t="s">
        <v>4</v>
      </c>
      <c r="J1037" t="s">
        <v>102</v>
      </c>
      <c r="K1037" t="s">
        <v>49</v>
      </c>
      <c r="L1037" t="s">
        <v>1965</v>
      </c>
      <c r="M1037">
        <v>0.56000000000000005</v>
      </c>
      <c r="N1037" t="s">
        <v>8</v>
      </c>
      <c r="O1037" t="s">
        <v>87</v>
      </c>
      <c r="P1037" t="s">
        <v>293</v>
      </c>
      <c r="Q1037" t="s">
        <v>1966</v>
      </c>
      <c r="R1037">
        <v>44094</v>
      </c>
      <c r="S1037" s="1">
        <v>42098</v>
      </c>
      <c r="T1037" s="1">
        <v>42098</v>
      </c>
      <c r="U1037">
        <v>83.793599999999998</v>
      </c>
      <c r="V1037">
        <v>7</v>
      </c>
      <c r="W1037">
        <v>144.03</v>
      </c>
      <c r="X1037">
        <v>86668</v>
      </c>
      <c r="Y1037">
        <f>cleaneddata[[#This Row],[Unit Price]]-cleaneddata[[#This Row],[Discount]]</f>
        <v>19.009999999999998</v>
      </c>
      <c r="Z10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38" spans="1:26" x14ac:dyDescent="0.3">
      <c r="A1038">
        <v>1593</v>
      </c>
      <c r="B1038" t="s">
        <v>1967</v>
      </c>
      <c r="C1038" t="s">
        <v>92</v>
      </c>
      <c r="D1038">
        <v>0.02</v>
      </c>
      <c r="E1038">
        <v>5.53</v>
      </c>
      <c r="F1038">
        <v>6.98</v>
      </c>
      <c r="G1038" t="s">
        <v>14</v>
      </c>
      <c r="H1038" t="s">
        <v>70</v>
      </c>
      <c r="I1038" t="s">
        <v>24</v>
      </c>
      <c r="J1038" t="s">
        <v>48</v>
      </c>
      <c r="K1038" t="s">
        <v>49</v>
      </c>
      <c r="L1038" t="s">
        <v>1968</v>
      </c>
      <c r="M1038">
        <v>0.39</v>
      </c>
      <c r="N1038" t="s">
        <v>8</v>
      </c>
      <c r="O1038" t="s">
        <v>28</v>
      </c>
      <c r="P1038" t="s">
        <v>183</v>
      </c>
      <c r="Q1038" t="s">
        <v>526</v>
      </c>
      <c r="R1038">
        <v>74006</v>
      </c>
      <c r="S1038" s="1">
        <v>42098</v>
      </c>
      <c r="T1038" s="1">
        <v>42100</v>
      </c>
      <c r="U1038">
        <v>-77.823719999999994</v>
      </c>
      <c r="V1038">
        <v>8</v>
      </c>
      <c r="W1038">
        <v>48.81</v>
      </c>
      <c r="X1038">
        <v>86668</v>
      </c>
      <c r="Y1038">
        <f>cleaneddata[[#This Row],[Unit Price]]-cleaneddata[[#This Row],[Discount]]</f>
        <v>5.5100000000000007</v>
      </c>
      <c r="Z103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39" spans="1:26" x14ac:dyDescent="0.3">
      <c r="A1039">
        <v>2441</v>
      </c>
      <c r="B1039" t="s">
        <v>1969</v>
      </c>
      <c r="C1039" t="s">
        <v>92</v>
      </c>
      <c r="D1039">
        <v>0.02</v>
      </c>
      <c r="E1039">
        <v>63.94</v>
      </c>
      <c r="F1039">
        <v>14.48</v>
      </c>
      <c r="G1039" t="s">
        <v>14</v>
      </c>
      <c r="H1039" t="s">
        <v>15</v>
      </c>
      <c r="I1039" t="s">
        <v>4</v>
      </c>
      <c r="J1039" t="s">
        <v>102</v>
      </c>
      <c r="K1039" t="s">
        <v>49</v>
      </c>
      <c r="L1039" t="s">
        <v>1970</v>
      </c>
      <c r="M1039">
        <v>0.46</v>
      </c>
      <c r="N1039" t="s">
        <v>8</v>
      </c>
      <c r="O1039" t="s">
        <v>9</v>
      </c>
      <c r="P1039" t="s">
        <v>99</v>
      </c>
      <c r="Q1039" t="s">
        <v>1971</v>
      </c>
      <c r="R1039">
        <v>32935</v>
      </c>
      <c r="S1039" s="1">
        <v>42098</v>
      </c>
      <c r="T1039" s="1">
        <v>42098</v>
      </c>
      <c r="U1039">
        <v>-100.17</v>
      </c>
      <c r="V1039">
        <v>11</v>
      </c>
      <c r="W1039">
        <v>709.7</v>
      </c>
      <c r="X1039">
        <v>89300</v>
      </c>
      <c r="Y1039">
        <f>cleaneddata[[#This Row],[Unit Price]]-cleaneddata[[#This Row],[Discount]]</f>
        <v>63.919999999999995</v>
      </c>
      <c r="Z10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40" spans="1:26" x14ac:dyDescent="0.3">
      <c r="A1040">
        <v>2442</v>
      </c>
      <c r="B1040" t="s">
        <v>1972</v>
      </c>
      <c r="C1040" t="s">
        <v>92</v>
      </c>
      <c r="D1040">
        <v>0.01</v>
      </c>
      <c r="E1040">
        <v>5.0199999999999996</v>
      </c>
      <c r="F1040">
        <v>5.14</v>
      </c>
      <c r="G1040" t="s">
        <v>14</v>
      </c>
      <c r="H1040" t="s">
        <v>15</v>
      </c>
      <c r="I1040" t="s">
        <v>16</v>
      </c>
      <c r="J1040" t="s">
        <v>17</v>
      </c>
      <c r="K1040" t="s">
        <v>18</v>
      </c>
      <c r="L1040" t="s">
        <v>367</v>
      </c>
      <c r="M1040">
        <v>0.79</v>
      </c>
      <c r="N1040" t="s">
        <v>8</v>
      </c>
      <c r="O1040" t="s">
        <v>9</v>
      </c>
      <c r="P1040" t="s">
        <v>99</v>
      </c>
      <c r="Q1040" t="s">
        <v>1973</v>
      </c>
      <c r="R1040">
        <v>32953</v>
      </c>
      <c r="S1040" s="1">
        <v>42098</v>
      </c>
      <c r="T1040" s="1">
        <v>42100</v>
      </c>
      <c r="U1040">
        <v>-3.948</v>
      </c>
      <c r="V1040">
        <v>5</v>
      </c>
      <c r="W1040">
        <v>27.42</v>
      </c>
      <c r="X1040">
        <v>89300</v>
      </c>
      <c r="Y1040">
        <f>cleaneddata[[#This Row],[Unit Price]]-cleaneddata[[#This Row],[Discount]]</f>
        <v>5.01</v>
      </c>
      <c r="Z104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41" spans="1:26" x14ac:dyDescent="0.3">
      <c r="A1041">
        <v>3400</v>
      </c>
      <c r="B1041" t="s">
        <v>1974</v>
      </c>
      <c r="C1041" t="s">
        <v>92</v>
      </c>
      <c r="D1041">
        <v>0.1</v>
      </c>
      <c r="E1041">
        <v>9.3800000000000008</v>
      </c>
      <c r="F1041">
        <v>4.93</v>
      </c>
      <c r="G1041" t="s">
        <v>63</v>
      </c>
      <c r="H1041" t="s">
        <v>3</v>
      </c>
      <c r="I1041" t="s">
        <v>4</v>
      </c>
      <c r="J1041" t="s">
        <v>102</v>
      </c>
      <c r="K1041" t="s">
        <v>49</v>
      </c>
      <c r="L1041" t="s">
        <v>1975</v>
      </c>
      <c r="M1041">
        <v>0.56999999999999995</v>
      </c>
      <c r="N1041" t="s">
        <v>8</v>
      </c>
      <c r="O1041" t="s">
        <v>87</v>
      </c>
      <c r="P1041" t="s">
        <v>879</v>
      </c>
      <c r="Q1041" t="s">
        <v>1976</v>
      </c>
      <c r="R1041">
        <v>26554</v>
      </c>
      <c r="S1041" s="1">
        <v>42098</v>
      </c>
      <c r="T1041" s="1">
        <v>42098</v>
      </c>
      <c r="U1041">
        <v>-24.7104</v>
      </c>
      <c r="V1041">
        <v>15</v>
      </c>
      <c r="W1041">
        <v>135.78</v>
      </c>
      <c r="X1041">
        <v>87537</v>
      </c>
      <c r="Y1041">
        <f>cleaneddata[[#This Row],[Unit Price]]-cleaneddata[[#This Row],[Discount]]</f>
        <v>9.2800000000000011</v>
      </c>
      <c r="Z104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2" spans="1:26" x14ac:dyDescent="0.3">
      <c r="A1042">
        <v>1733</v>
      </c>
      <c r="B1042" t="s">
        <v>1977</v>
      </c>
      <c r="C1042" t="s">
        <v>46</v>
      </c>
      <c r="D1042">
        <v>0.02</v>
      </c>
      <c r="E1042">
        <v>60.98</v>
      </c>
      <c r="F1042">
        <v>49</v>
      </c>
      <c r="G1042" t="s">
        <v>14</v>
      </c>
      <c r="H1042" t="s">
        <v>3</v>
      </c>
      <c r="I1042" t="s">
        <v>24</v>
      </c>
      <c r="J1042" t="s">
        <v>71</v>
      </c>
      <c r="K1042" t="s">
        <v>40</v>
      </c>
      <c r="L1042" t="s">
        <v>1506</v>
      </c>
      <c r="M1042">
        <v>0.59</v>
      </c>
      <c r="N1042" t="s">
        <v>8</v>
      </c>
      <c r="O1042" t="s">
        <v>87</v>
      </c>
      <c r="P1042" t="s">
        <v>350</v>
      </c>
      <c r="Q1042" t="s">
        <v>42</v>
      </c>
      <c r="R1042">
        <v>20012</v>
      </c>
      <c r="S1042" s="1">
        <v>42098</v>
      </c>
      <c r="T1042" s="1">
        <v>42100</v>
      </c>
      <c r="U1042">
        <v>-662.52</v>
      </c>
      <c r="V1042">
        <v>34</v>
      </c>
      <c r="W1042">
        <v>2119.54</v>
      </c>
      <c r="X1042">
        <v>3841</v>
      </c>
      <c r="Y1042">
        <f>cleaneddata[[#This Row],[Unit Price]]-cleaneddata[[#This Row],[Discount]]</f>
        <v>60.959999999999994</v>
      </c>
      <c r="Z104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3" spans="1:26" x14ac:dyDescent="0.3">
      <c r="A1043">
        <v>1733</v>
      </c>
      <c r="B1043" t="s">
        <v>1977</v>
      </c>
      <c r="C1043" t="s">
        <v>46</v>
      </c>
      <c r="D1043">
        <v>0.02</v>
      </c>
      <c r="E1043">
        <v>1270.99</v>
      </c>
      <c r="F1043">
        <v>19.989999999999998</v>
      </c>
      <c r="G1043" t="s">
        <v>14</v>
      </c>
      <c r="H1043" t="s">
        <v>3</v>
      </c>
      <c r="I1043" t="s">
        <v>24</v>
      </c>
      <c r="J1043" t="s">
        <v>48</v>
      </c>
      <c r="K1043" t="s">
        <v>49</v>
      </c>
      <c r="L1043" t="s">
        <v>628</v>
      </c>
      <c r="M1043">
        <v>0.35</v>
      </c>
      <c r="N1043" t="s">
        <v>8</v>
      </c>
      <c r="O1043" t="s">
        <v>87</v>
      </c>
      <c r="P1043" t="s">
        <v>350</v>
      </c>
      <c r="Q1043" t="s">
        <v>42</v>
      </c>
      <c r="R1043">
        <v>20012</v>
      </c>
      <c r="S1043" s="1">
        <v>42098</v>
      </c>
      <c r="T1043" s="1">
        <v>42100</v>
      </c>
      <c r="U1043">
        <v>9228.2255999999998</v>
      </c>
      <c r="V1043">
        <v>36</v>
      </c>
      <c r="W1043">
        <v>45737.33</v>
      </c>
      <c r="X1043">
        <v>3841</v>
      </c>
      <c r="Y1043">
        <f>cleaneddata[[#This Row],[Unit Price]]-cleaneddata[[#This Row],[Discount]]</f>
        <v>1270.97</v>
      </c>
      <c r="Z104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4" spans="1:26" x14ac:dyDescent="0.3">
      <c r="A1044">
        <v>1734</v>
      </c>
      <c r="B1044" t="s">
        <v>1978</v>
      </c>
      <c r="C1044" t="s">
        <v>46</v>
      </c>
      <c r="D1044">
        <v>0.02</v>
      </c>
      <c r="E1044">
        <v>60.98</v>
      </c>
      <c r="F1044">
        <v>49</v>
      </c>
      <c r="G1044" t="s">
        <v>14</v>
      </c>
      <c r="H1044" t="s">
        <v>3</v>
      </c>
      <c r="I1044" t="s">
        <v>24</v>
      </c>
      <c r="J1044" t="s">
        <v>71</v>
      </c>
      <c r="K1044" t="s">
        <v>40</v>
      </c>
      <c r="L1044" t="s">
        <v>1506</v>
      </c>
      <c r="M1044">
        <v>0.59</v>
      </c>
      <c r="N1044" t="s">
        <v>8</v>
      </c>
      <c r="O1044" t="s">
        <v>87</v>
      </c>
      <c r="P1044" t="s">
        <v>88</v>
      </c>
      <c r="Q1044" t="s">
        <v>1979</v>
      </c>
      <c r="R1044">
        <v>10528</v>
      </c>
      <c r="S1044" s="1">
        <v>42098</v>
      </c>
      <c r="T1044" s="1">
        <v>42100</v>
      </c>
      <c r="U1044">
        <v>-596.26800000000003</v>
      </c>
      <c r="V1044">
        <v>9</v>
      </c>
      <c r="W1044">
        <v>561.05999999999995</v>
      </c>
      <c r="X1044">
        <v>88443</v>
      </c>
      <c r="Y1044">
        <f>cleaneddata[[#This Row],[Unit Price]]-cleaneddata[[#This Row],[Discount]]</f>
        <v>60.959999999999994</v>
      </c>
      <c r="Z104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5" spans="1:26" x14ac:dyDescent="0.3">
      <c r="A1045">
        <v>1734</v>
      </c>
      <c r="B1045" t="s">
        <v>1978</v>
      </c>
      <c r="C1045" t="s">
        <v>46</v>
      </c>
      <c r="D1045">
        <v>0.02</v>
      </c>
      <c r="E1045">
        <v>1270.99</v>
      </c>
      <c r="F1045">
        <v>19.989999999999998</v>
      </c>
      <c r="G1045" t="s">
        <v>14</v>
      </c>
      <c r="H1045" t="s">
        <v>3</v>
      </c>
      <c r="I1045" t="s">
        <v>24</v>
      </c>
      <c r="J1045" t="s">
        <v>48</v>
      </c>
      <c r="K1045" t="s">
        <v>49</v>
      </c>
      <c r="L1045" t="s">
        <v>628</v>
      </c>
      <c r="M1045">
        <v>0.35</v>
      </c>
      <c r="N1045" t="s">
        <v>8</v>
      </c>
      <c r="O1045" t="s">
        <v>87</v>
      </c>
      <c r="P1045" t="s">
        <v>88</v>
      </c>
      <c r="Q1045" t="s">
        <v>1979</v>
      </c>
      <c r="R1045">
        <v>10528</v>
      </c>
      <c r="S1045" s="1">
        <v>42098</v>
      </c>
      <c r="T1045" s="1">
        <v>42100</v>
      </c>
      <c r="U1045">
        <v>7889.6877000000004</v>
      </c>
      <c r="V1045">
        <v>9</v>
      </c>
      <c r="W1045">
        <v>11434.33</v>
      </c>
      <c r="X1045">
        <v>88443</v>
      </c>
      <c r="Y1045">
        <f>cleaneddata[[#This Row],[Unit Price]]-cleaneddata[[#This Row],[Discount]]</f>
        <v>1270.97</v>
      </c>
      <c r="Z104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6" spans="1:26" x14ac:dyDescent="0.3">
      <c r="A1046">
        <v>1734</v>
      </c>
      <c r="B1046" t="s">
        <v>1978</v>
      </c>
      <c r="C1046" t="s">
        <v>46</v>
      </c>
      <c r="D1046">
        <v>0.05</v>
      </c>
      <c r="E1046">
        <v>205.99</v>
      </c>
      <c r="F1046">
        <v>8.99</v>
      </c>
      <c r="G1046" t="s">
        <v>63</v>
      </c>
      <c r="H1046" t="s">
        <v>3</v>
      </c>
      <c r="I1046" t="s">
        <v>16</v>
      </c>
      <c r="J1046" t="s">
        <v>111</v>
      </c>
      <c r="K1046" t="s">
        <v>49</v>
      </c>
      <c r="L1046" t="s">
        <v>1008</v>
      </c>
      <c r="M1046">
        <v>0.6</v>
      </c>
      <c r="N1046" t="s">
        <v>8</v>
      </c>
      <c r="O1046" t="s">
        <v>87</v>
      </c>
      <c r="P1046" t="s">
        <v>88</v>
      </c>
      <c r="Q1046" t="s">
        <v>1979</v>
      </c>
      <c r="R1046">
        <v>10528</v>
      </c>
      <c r="S1046" s="1">
        <v>42098</v>
      </c>
      <c r="T1046" s="1">
        <v>42100</v>
      </c>
      <c r="U1046">
        <v>1545.8097600000001</v>
      </c>
      <c r="V1046">
        <v>19</v>
      </c>
      <c r="W1046">
        <v>3229.24</v>
      </c>
      <c r="X1046">
        <v>88443</v>
      </c>
      <c r="Y1046">
        <f>cleaneddata[[#This Row],[Unit Price]]-cleaneddata[[#This Row],[Discount]]</f>
        <v>205.94</v>
      </c>
      <c r="Z10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7" spans="1:26" x14ac:dyDescent="0.3">
      <c r="A1047">
        <v>2603</v>
      </c>
      <c r="B1047" t="s">
        <v>1980</v>
      </c>
      <c r="C1047" t="s">
        <v>1</v>
      </c>
      <c r="D1047">
        <v>7.0000000000000007E-2</v>
      </c>
      <c r="E1047">
        <v>200.99</v>
      </c>
      <c r="F1047">
        <v>4.2</v>
      </c>
      <c r="G1047" t="s">
        <v>14</v>
      </c>
      <c r="H1047" t="s">
        <v>70</v>
      </c>
      <c r="I1047" t="s">
        <v>16</v>
      </c>
      <c r="J1047" t="s">
        <v>111</v>
      </c>
      <c r="K1047" t="s">
        <v>49</v>
      </c>
      <c r="L1047" t="s">
        <v>770</v>
      </c>
      <c r="M1047">
        <v>0.59</v>
      </c>
      <c r="N1047" t="s">
        <v>8</v>
      </c>
      <c r="O1047" t="s">
        <v>87</v>
      </c>
      <c r="P1047" t="s">
        <v>373</v>
      </c>
      <c r="Q1047" t="s">
        <v>1981</v>
      </c>
      <c r="R1047">
        <v>7601</v>
      </c>
      <c r="S1047" s="1">
        <v>42099</v>
      </c>
      <c r="T1047" s="1">
        <v>42100</v>
      </c>
      <c r="U1047">
        <v>2225.0761200000002</v>
      </c>
      <c r="V1047">
        <v>22</v>
      </c>
      <c r="W1047">
        <v>3705.14</v>
      </c>
      <c r="X1047">
        <v>87383</v>
      </c>
      <c r="Y1047">
        <f>cleaneddata[[#This Row],[Unit Price]]-cleaneddata[[#This Row],[Discount]]</f>
        <v>200.92000000000002</v>
      </c>
      <c r="Z104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8" spans="1:26" x14ac:dyDescent="0.3">
      <c r="A1048">
        <v>2604</v>
      </c>
      <c r="B1048" t="s">
        <v>1982</v>
      </c>
      <c r="C1048" t="s">
        <v>1</v>
      </c>
      <c r="D1048">
        <v>0.01</v>
      </c>
      <c r="E1048">
        <v>297.48</v>
      </c>
      <c r="F1048">
        <v>18.059999999999999</v>
      </c>
      <c r="G1048" t="s">
        <v>2</v>
      </c>
      <c r="H1048" t="s">
        <v>70</v>
      </c>
      <c r="I1048" t="s">
        <v>16</v>
      </c>
      <c r="J1048" t="s">
        <v>32</v>
      </c>
      <c r="K1048" t="s">
        <v>33</v>
      </c>
      <c r="L1048" t="s">
        <v>363</v>
      </c>
      <c r="M1048">
        <v>0.6</v>
      </c>
      <c r="N1048" t="s">
        <v>8</v>
      </c>
      <c r="O1048" t="s">
        <v>87</v>
      </c>
      <c r="P1048" t="s">
        <v>373</v>
      </c>
      <c r="Q1048" t="s">
        <v>1983</v>
      </c>
      <c r="R1048">
        <v>8830</v>
      </c>
      <c r="S1048" s="1">
        <v>42099</v>
      </c>
      <c r="T1048" s="1">
        <v>42100</v>
      </c>
      <c r="U1048">
        <v>-338.18083200000001</v>
      </c>
      <c r="V1048">
        <v>3</v>
      </c>
      <c r="W1048">
        <v>945.36</v>
      </c>
      <c r="X1048">
        <v>87383</v>
      </c>
      <c r="Y1048">
        <f>cleaneddata[[#This Row],[Unit Price]]-cleaneddata[[#This Row],[Discount]]</f>
        <v>297.47000000000003</v>
      </c>
      <c r="Z10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49" spans="1:26" x14ac:dyDescent="0.3">
      <c r="A1049">
        <v>635</v>
      </c>
      <c r="B1049" t="s">
        <v>1984</v>
      </c>
      <c r="C1049" t="s">
        <v>13</v>
      </c>
      <c r="D1049">
        <v>0.01</v>
      </c>
      <c r="E1049">
        <v>2.08</v>
      </c>
      <c r="F1049">
        <v>5.33</v>
      </c>
      <c r="G1049" t="s">
        <v>14</v>
      </c>
      <c r="H1049" t="s">
        <v>70</v>
      </c>
      <c r="I1049" t="s">
        <v>4</v>
      </c>
      <c r="J1049" t="s">
        <v>102</v>
      </c>
      <c r="K1049" t="s">
        <v>49</v>
      </c>
      <c r="L1049" t="s">
        <v>435</v>
      </c>
      <c r="M1049">
        <v>0.43</v>
      </c>
      <c r="N1049" t="s">
        <v>8</v>
      </c>
      <c r="O1049" t="s">
        <v>28</v>
      </c>
      <c r="P1049" t="s">
        <v>60</v>
      </c>
      <c r="Q1049" t="s">
        <v>1985</v>
      </c>
      <c r="R1049">
        <v>55106</v>
      </c>
      <c r="S1049" s="1">
        <v>42099</v>
      </c>
      <c r="T1049" s="1">
        <v>42099</v>
      </c>
      <c r="U1049">
        <v>-103.7124</v>
      </c>
      <c r="V1049">
        <v>12</v>
      </c>
      <c r="W1049">
        <v>28.32</v>
      </c>
      <c r="X1049">
        <v>89284</v>
      </c>
      <c r="Y1049">
        <f>cleaneddata[[#This Row],[Unit Price]]-cleaneddata[[#This Row],[Discount]]</f>
        <v>2.0700000000000003</v>
      </c>
      <c r="Z10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50" spans="1:26" x14ac:dyDescent="0.3">
      <c r="A1050">
        <v>635</v>
      </c>
      <c r="B1050" t="s">
        <v>1984</v>
      </c>
      <c r="C1050" t="s">
        <v>13</v>
      </c>
      <c r="D1050">
        <v>0.03</v>
      </c>
      <c r="E1050">
        <v>370.98</v>
      </c>
      <c r="F1050">
        <v>99</v>
      </c>
      <c r="G1050" t="s">
        <v>2</v>
      </c>
      <c r="H1050" t="s">
        <v>70</v>
      </c>
      <c r="I1050" t="s">
        <v>24</v>
      </c>
      <c r="J1050" t="s">
        <v>54</v>
      </c>
      <c r="K1050" t="s">
        <v>33</v>
      </c>
      <c r="L1050" t="s">
        <v>1986</v>
      </c>
      <c r="M1050">
        <v>0.65</v>
      </c>
      <c r="N1050" t="s">
        <v>8</v>
      </c>
      <c r="O1050" t="s">
        <v>28</v>
      </c>
      <c r="P1050" t="s">
        <v>60</v>
      </c>
      <c r="Q1050" t="s">
        <v>1985</v>
      </c>
      <c r="R1050">
        <v>55106</v>
      </c>
      <c r="S1050" s="1">
        <v>42099</v>
      </c>
      <c r="T1050" s="1">
        <v>42100</v>
      </c>
      <c r="U1050">
        <v>-124.2864</v>
      </c>
      <c r="V1050">
        <v>6</v>
      </c>
      <c r="W1050">
        <v>2309.4899999999998</v>
      </c>
      <c r="X1050">
        <v>89284</v>
      </c>
      <c r="Y1050">
        <f>cleaneddata[[#This Row],[Unit Price]]-cleaneddata[[#This Row],[Discount]]</f>
        <v>370.95000000000005</v>
      </c>
      <c r="Z10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51" spans="1:26" x14ac:dyDescent="0.3">
      <c r="A1051">
        <v>1246</v>
      </c>
      <c r="B1051" t="s">
        <v>1987</v>
      </c>
      <c r="C1051" t="s">
        <v>13</v>
      </c>
      <c r="D1051">
        <v>0.1</v>
      </c>
      <c r="E1051">
        <v>22.38</v>
      </c>
      <c r="F1051">
        <v>15.1</v>
      </c>
      <c r="G1051" t="s">
        <v>14</v>
      </c>
      <c r="H1051" t="s">
        <v>47</v>
      </c>
      <c r="I1051" t="s">
        <v>24</v>
      </c>
      <c r="J1051" t="s">
        <v>48</v>
      </c>
      <c r="K1051" t="s">
        <v>49</v>
      </c>
      <c r="L1051" t="s">
        <v>1061</v>
      </c>
      <c r="M1051">
        <v>0.38</v>
      </c>
      <c r="N1051" t="s">
        <v>8</v>
      </c>
      <c r="O1051" t="s">
        <v>87</v>
      </c>
      <c r="P1051" t="s">
        <v>88</v>
      </c>
      <c r="Q1051" t="s">
        <v>89</v>
      </c>
      <c r="R1051">
        <v>10009</v>
      </c>
      <c r="S1051" s="1">
        <v>42099</v>
      </c>
      <c r="T1051" s="1">
        <v>42100</v>
      </c>
      <c r="U1051">
        <v>-107.51349999999999</v>
      </c>
      <c r="V1051">
        <v>26</v>
      </c>
      <c r="W1051">
        <v>564.98</v>
      </c>
      <c r="X1051">
        <v>36452</v>
      </c>
      <c r="Y1051">
        <f>cleaneddata[[#This Row],[Unit Price]]-cleaneddata[[#This Row],[Discount]]</f>
        <v>22.279999999999998</v>
      </c>
      <c r="Z105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52" spans="1:26" x14ac:dyDescent="0.3">
      <c r="A1052">
        <v>1246</v>
      </c>
      <c r="B1052" t="s">
        <v>1987</v>
      </c>
      <c r="C1052" t="s">
        <v>13</v>
      </c>
      <c r="D1052">
        <v>0.04</v>
      </c>
      <c r="E1052">
        <v>6.98</v>
      </c>
      <c r="F1052">
        <v>2.83</v>
      </c>
      <c r="G1052" t="s">
        <v>14</v>
      </c>
      <c r="H1052" t="s">
        <v>47</v>
      </c>
      <c r="I1052" t="s">
        <v>4</v>
      </c>
      <c r="J1052" t="s">
        <v>102</v>
      </c>
      <c r="K1052" t="s">
        <v>18</v>
      </c>
      <c r="L1052" t="s">
        <v>1988</v>
      </c>
      <c r="M1052">
        <v>0.37</v>
      </c>
      <c r="N1052" t="s">
        <v>8</v>
      </c>
      <c r="O1052" t="s">
        <v>87</v>
      </c>
      <c r="P1052" t="s">
        <v>88</v>
      </c>
      <c r="Q1052" t="s">
        <v>89</v>
      </c>
      <c r="R1052">
        <v>10009</v>
      </c>
      <c r="S1052" s="1">
        <v>42099</v>
      </c>
      <c r="T1052" s="1">
        <v>42101</v>
      </c>
      <c r="U1052">
        <v>46.01</v>
      </c>
      <c r="V1052">
        <v>18</v>
      </c>
      <c r="W1052">
        <v>129.47999999999999</v>
      </c>
      <c r="X1052">
        <v>36452</v>
      </c>
      <c r="Y1052">
        <f>cleaneddata[[#This Row],[Unit Price]]-cleaneddata[[#This Row],[Discount]]</f>
        <v>6.94</v>
      </c>
      <c r="Z105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53" spans="1:26" x14ac:dyDescent="0.3">
      <c r="A1053">
        <v>1247</v>
      </c>
      <c r="B1053" t="s">
        <v>1989</v>
      </c>
      <c r="C1053" t="s">
        <v>13</v>
      </c>
      <c r="D1053">
        <v>0.1</v>
      </c>
      <c r="E1053">
        <v>22.38</v>
      </c>
      <c r="F1053">
        <v>15.1</v>
      </c>
      <c r="G1053" t="s">
        <v>14</v>
      </c>
      <c r="H1053" t="s">
        <v>47</v>
      </c>
      <c r="I1053" t="s">
        <v>24</v>
      </c>
      <c r="J1053" t="s">
        <v>48</v>
      </c>
      <c r="K1053" t="s">
        <v>49</v>
      </c>
      <c r="L1053" t="s">
        <v>1061</v>
      </c>
      <c r="M1053">
        <v>0.38</v>
      </c>
      <c r="N1053" t="s">
        <v>8</v>
      </c>
      <c r="O1053" t="s">
        <v>28</v>
      </c>
      <c r="P1053" t="s">
        <v>163</v>
      </c>
      <c r="Q1053" t="s">
        <v>1990</v>
      </c>
      <c r="R1053">
        <v>78641</v>
      </c>
      <c r="S1053" s="1">
        <v>42099</v>
      </c>
      <c r="T1053" s="1">
        <v>42100</v>
      </c>
      <c r="U1053">
        <v>-107.51349999999999</v>
      </c>
      <c r="V1053">
        <v>7</v>
      </c>
      <c r="W1053">
        <v>152.11000000000001</v>
      </c>
      <c r="X1053">
        <v>91555</v>
      </c>
      <c r="Y1053">
        <f>cleaneddata[[#This Row],[Unit Price]]-cleaneddata[[#This Row],[Discount]]</f>
        <v>22.279999999999998</v>
      </c>
      <c r="Z10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54" spans="1:26" x14ac:dyDescent="0.3">
      <c r="A1054">
        <v>1247</v>
      </c>
      <c r="B1054" t="s">
        <v>1989</v>
      </c>
      <c r="C1054" t="s">
        <v>13</v>
      </c>
      <c r="D1054">
        <v>0.04</v>
      </c>
      <c r="E1054">
        <v>6.98</v>
      </c>
      <c r="F1054">
        <v>2.83</v>
      </c>
      <c r="G1054" t="s">
        <v>14</v>
      </c>
      <c r="H1054" t="s">
        <v>47</v>
      </c>
      <c r="I1054" t="s">
        <v>4</v>
      </c>
      <c r="J1054" t="s">
        <v>102</v>
      </c>
      <c r="K1054" t="s">
        <v>18</v>
      </c>
      <c r="L1054" t="s">
        <v>1988</v>
      </c>
      <c r="M1054">
        <v>0.37</v>
      </c>
      <c r="N1054" t="s">
        <v>8</v>
      </c>
      <c r="O1054" t="s">
        <v>28</v>
      </c>
      <c r="P1054" t="s">
        <v>163</v>
      </c>
      <c r="Q1054" t="s">
        <v>1990</v>
      </c>
      <c r="R1054">
        <v>78641</v>
      </c>
      <c r="S1054" s="1">
        <v>42099</v>
      </c>
      <c r="T1054" s="1">
        <v>42101</v>
      </c>
      <c r="U1054">
        <v>24.819299999999998</v>
      </c>
      <c r="V1054">
        <v>5</v>
      </c>
      <c r="W1054">
        <v>35.97</v>
      </c>
      <c r="X1054">
        <v>91555</v>
      </c>
      <c r="Y1054">
        <f>cleaneddata[[#This Row],[Unit Price]]-cleaneddata[[#This Row],[Discount]]</f>
        <v>6.94</v>
      </c>
      <c r="Z10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55" spans="1:26" x14ac:dyDescent="0.3">
      <c r="A1055">
        <v>1459</v>
      </c>
      <c r="B1055" t="s">
        <v>1991</v>
      </c>
      <c r="C1055" t="s">
        <v>13</v>
      </c>
      <c r="D1055">
        <v>0.05</v>
      </c>
      <c r="E1055">
        <v>85.99</v>
      </c>
      <c r="F1055">
        <v>0.99</v>
      </c>
      <c r="G1055" t="s">
        <v>14</v>
      </c>
      <c r="H1055" t="s">
        <v>15</v>
      </c>
      <c r="I1055" t="s">
        <v>16</v>
      </c>
      <c r="J1055" t="s">
        <v>111</v>
      </c>
      <c r="K1055" t="s">
        <v>26</v>
      </c>
      <c r="L1055" t="s">
        <v>1152</v>
      </c>
      <c r="M1055">
        <v>0.55000000000000004</v>
      </c>
      <c r="N1055" t="s">
        <v>8</v>
      </c>
      <c r="O1055" t="s">
        <v>9</v>
      </c>
      <c r="P1055" t="s">
        <v>247</v>
      </c>
      <c r="Q1055" t="s">
        <v>1992</v>
      </c>
      <c r="R1055">
        <v>29687</v>
      </c>
      <c r="S1055" s="1">
        <v>42099</v>
      </c>
      <c r="T1055" s="1">
        <v>42101</v>
      </c>
      <c r="U1055">
        <v>36.216000000000001</v>
      </c>
      <c r="V1055">
        <v>4</v>
      </c>
      <c r="W1055">
        <v>291.64</v>
      </c>
      <c r="X1055">
        <v>86734</v>
      </c>
      <c r="Y1055">
        <f>cleaneddata[[#This Row],[Unit Price]]-cleaneddata[[#This Row],[Discount]]</f>
        <v>85.94</v>
      </c>
      <c r="Z105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56" spans="1:26" x14ac:dyDescent="0.3">
      <c r="A1056">
        <v>1891</v>
      </c>
      <c r="B1056" t="s">
        <v>1993</v>
      </c>
      <c r="C1056" t="s">
        <v>46</v>
      </c>
      <c r="D1056">
        <v>0.03</v>
      </c>
      <c r="E1056">
        <v>320.64</v>
      </c>
      <c r="F1056">
        <v>29.2</v>
      </c>
      <c r="G1056" t="s">
        <v>2</v>
      </c>
      <c r="H1056" t="s">
        <v>47</v>
      </c>
      <c r="I1056" t="s">
        <v>4</v>
      </c>
      <c r="J1056" t="s">
        <v>5</v>
      </c>
      <c r="K1056" t="s">
        <v>6</v>
      </c>
      <c r="L1056" t="s">
        <v>1994</v>
      </c>
      <c r="M1056">
        <v>0.66</v>
      </c>
      <c r="N1056" t="s">
        <v>8</v>
      </c>
      <c r="O1056" t="s">
        <v>87</v>
      </c>
      <c r="P1056" t="s">
        <v>293</v>
      </c>
      <c r="Q1056" t="s">
        <v>1995</v>
      </c>
      <c r="R1056">
        <v>45801</v>
      </c>
      <c r="S1056" s="1">
        <v>42099</v>
      </c>
      <c r="T1056" s="1">
        <v>42101</v>
      </c>
      <c r="U1056">
        <v>429.75435599999997</v>
      </c>
      <c r="V1056">
        <v>7</v>
      </c>
      <c r="W1056">
        <v>2233.46</v>
      </c>
      <c r="X1056">
        <v>90630</v>
      </c>
      <c r="Y1056">
        <f>cleaneddata[[#This Row],[Unit Price]]-cleaneddata[[#This Row],[Discount]]</f>
        <v>320.61</v>
      </c>
      <c r="Z105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57" spans="1:26" x14ac:dyDescent="0.3">
      <c r="A1057">
        <v>2960</v>
      </c>
      <c r="B1057" t="s">
        <v>1996</v>
      </c>
      <c r="C1057" t="s">
        <v>46</v>
      </c>
      <c r="D1057">
        <v>0.1</v>
      </c>
      <c r="E1057">
        <v>36.549999999999997</v>
      </c>
      <c r="F1057">
        <v>13.89</v>
      </c>
      <c r="G1057" t="s">
        <v>14</v>
      </c>
      <c r="H1057" t="s">
        <v>70</v>
      </c>
      <c r="I1057" t="s">
        <v>24</v>
      </c>
      <c r="J1057" t="s">
        <v>25</v>
      </c>
      <c r="K1057" t="s">
        <v>26</v>
      </c>
      <c r="L1057" t="s">
        <v>1329</v>
      </c>
      <c r="M1057">
        <v>0.41</v>
      </c>
      <c r="N1057" t="s">
        <v>8</v>
      </c>
      <c r="O1057" t="s">
        <v>9</v>
      </c>
      <c r="P1057" t="s">
        <v>20</v>
      </c>
      <c r="Q1057" t="s">
        <v>1997</v>
      </c>
      <c r="R1057">
        <v>72956</v>
      </c>
      <c r="S1057" s="1">
        <v>42099</v>
      </c>
      <c r="T1057" s="1">
        <v>42101</v>
      </c>
      <c r="U1057">
        <v>-89.572000000000003</v>
      </c>
      <c r="V1057">
        <v>11</v>
      </c>
      <c r="W1057">
        <v>379.72</v>
      </c>
      <c r="X1057">
        <v>90646</v>
      </c>
      <c r="Y1057">
        <f>cleaneddata[[#This Row],[Unit Price]]-cleaneddata[[#This Row],[Discount]]</f>
        <v>36.449999999999996</v>
      </c>
      <c r="Z105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58" spans="1:26" x14ac:dyDescent="0.3">
      <c r="A1058">
        <v>925</v>
      </c>
      <c r="B1058" t="s">
        <v>1998</v>
      </c>
      <c r="C1058" t="s">
        <v>1</v>
      </c>
      <c r="D1058">
        <v>0.03</v>
      </c>
      <c r="E1058">
        <v>2.1800000000000002</v>
      </c>
      <c r="F1058">
        <v>1.38</v>
      </c>
      <c r="G1058" t="s">
        <v>14</v>
      </c>
      <c r="H1058" t="s">
        <v>3</v>
      </c>
      <c r="I1058" t="s">
        <v>24</v>
      </c>
      <c r="J1058" t="s">
        <v>152</v>
      </c>
      <c r="K1058" t="s">
        <v>26</v>
      </c>
      <c r="L1058" t="s">
        <v>1999</v>
      </c>
      <c r="M1058">
        <v>0.44</v>
      </c>
      <c r="N1058" t="s">
        <v>8</v>
      </c>
      <c r="O1058" t="s">
        <v>87</v>
      </c>
      <c r="P1058" t="s">
        <v>307</v>
      </c>
      <c r="Q1058" t="s">
        <v>346</v>
      </c>
      <c r="R1058">
        <v>4330</v>
      </c>
      <c r="S1058" s="1">
        <v>42100</v>
      </c>
      <c r="T1058" s="1">
        <v>42100</v>
      </c>
      <c r="U1058">
        <v>-7.04</v>
      </c>
      <c r="V1058">
        <v>7</v>
      </c>
      <c r="W1058">
        <v>15.73</v>
      </c>
      <c r="X1058">
        <v>87134</v>
      </c>
      <c r="Y1058">
        <f>cleaneddata[[#This Row],[Unit Price]]-cleaneddata[[#This Row],[Discount]]</f>
        <v>2.1500000000000004</v>
      </c>
      <c r="Z105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59" spans="1:26" x14ac:dyDescent="0.3">
      <c r="A1059">
        <v>929</v>
      </c>
      <c r="B1059" t="s">
        <v>2000</v>
      </c>
      <c r="C1059" t="s">
        <v>1</v>
      </c>
      <c r="D1059">
        <v>0.01</v>
      </c>
      <c r="E1059">
        <v>170.98</v>
      </c>
      <c r="F1059">
        <v>35.89</v>
      </c>
      <c r="G1059" t="s">
        <v>2</v>
      </c>
      <c r="H1059" t="s">
        <v>3</v>
      </c>
      <c r="I1059" t="s">
        <v>4</v>
      </c>
      <c r="J1059" t="s">
        <v>93</v>
      </c>
      <c r="K1059" t="s">
        <v>6</v>
      </c>
      <c r="L1059" t="s">
        <v>1445</v>
      </c>
      <c r="M1059">
        <v>0.66</v>
      </c>
      <c r="N1059" t="s">
        <v>8</v>
      </c>
      <c r="O1059" t="s">
        <v>87</v>
      </c>
      <c r="P1059" t="s">
        <v>373</v>
      </c>
      <c r="Q1059" t="s">
        <v>2001</v>
      </c>
      <c r="R1059">
        <v>8857</v>
      </c>
      <c r="S1059" s="1">
        <v>42100</v>
      </c>
      <c r="T1059" s="1">
        <v>42102</v>
      </c>
      <c r="U1059">
        <v>538.52</v>
      </c>
      <c r="V1059">
        <v>10</v>
      </c>
      <c r="W1059">
        <v>1719.07</v>
      </c>
      <c r="X1059">
        <v>87134</v>
      </c>
      <c r="Y1059">
        <f>cleaneddata[[#This Row],[Unit Price]]-cleaneddata[[#This Row],[Discount]]</f>
        <v>170.97</v>
      </c>
      <c r="Z105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60" spans="1:26" x14ac:dyDescent="0.3">
      <c r="A1060">
        <v>1113</v>
      </c>
      <c r="B1060" t="s">
        <v>2002</v>
      </c>
      <c r="C1060" t="s">
        <v>1</v>
      </c>
      <c r="D1060">
        <v>0.01</v>
      </c>
      <c r="E1060">
        <v>2.89</v>
      </c>
      <c r="F1060">
        <v>0.5</v>
      </c>
      <c r="G1060" t="s">
        <v>14</v>
      </c>
      <c r="H1060" t="s">
        <v>70</v>
      </c>
      <c r="I1060" t="s">
        <v>24</v>
      </c>
      <c r="J1060" t="s">
        <v>128</v>
      </c>
      <c r="K1060" t="s">
        <v>49</v>
      </c>
      <c r="L1060" t="s">
        <v>705</v>
      </c>
      <c r="M1060">
        <v>0.38</v>
      </c>
      <c r="N1060" t="s">
        <v>8</v>
      </c>
      <c r="O1060" t="s">
        <v>35</v>
      </c>
      <c r="P1060" t="s">
        <v>36</v>
      </c>
      <c r="Q1060" t="s">
        <v>2003</v>
      </c>
      <c r="R1060">
        <v>80004</v>
      </c>
      <c r="S1060" s="1">
        <v>42100</v>
      </c>
      <c r="T1060" s="1">
        <v>42101</v>
      </c>
      <c r="U1060">
        <v>29.725200000000001</v>
      </c>
      <c r="V1060">
        <v>14</v>
      </c>
      <c r="W1060">
        <v>43.08</v>
      </c>
      <c r="X1060">
        <v>90833</v>
      </c>
      <c r="Y1060">
        <f>cleaneddata[[#This Row],[Unit Price]]-cleaneddata[[#This Row],[Discount]]</f>
        <v>2.8800000000000003</v>
      </c>
      <c r="Z106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61" spans="1:26" x14ac:dyDescent="0.3">
      <c r="A1061">
        <v>1113</v>
      </c>
      <c r="B1061" t="s">
        <v>2002</v>
      </c>
      <c r="C1061" t="s">
        <v>1</v>
      </c>
      <c r="D1061">
        <v>0</v>
      </c>
      <c r="E1061">
        <v>55.99</v>
      </c>
      <c r="F1061">
        <v>5</v>
      </c>
      <c r="G1061" t="s">
        <v>14</v>
      </c>
      <c r="H1061" t="s">
        <v>70</v>
      </c>
      <c r="I1061" t="s">
        <v>16</v>
      </c>
      <c r="J1061" t="s">
        <v>111</v>
      </c>
      <c r="K1061" t="s">
        <v>18</v>
      </c>
      <c r="L1061" t="s">
        <v>1907</v>
      </c>
      <c r="M1061">
        <v>0.8</v>
      </c>
      <c r="N1061" t="s">
        <v>8</v>
      </c>
      <c r="O1061" t="s">
        <v>35</v>
      </c>
      <c r="P1061" t="s">
        <v>36</v>
      </c>
      <c r="Q1061" t="s">
        <v>2003</v>
      </c>
      <c r="R1061">
        <v>80004</v>
      </c>
      <c r="S1061" s="1">
        <v>42100</v>
      </c>
      <c r="T1061" s="1">
        <v>42102</v>
      </c>
      <c r="U1061">
        <v>-187.11</v>
      </c>
      <c r="V1061">
        <v>5</v>
      </c>
      <c r="W1061">
        <v>258.93</v>
      </c>
      <c r="X1061">
        <v>90833</v>
      </c>
      <c r="Y1061">
        <f>cleaneddata[[#This Row],[Unit Price]]-cleaneddata[[#This Row],[Discount]]</f>
        <v>55.99</v>
      </c>
      <c r="Z10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62" spans="1:26" x14ac:dyDescent="0.3">
      <c r="A1062">
        <v>2481</v>
      </c>
      <c r="B1062" t="s">
        <v>2004</v>
      </c>
      <c r="C1062" t="s">
        <v>1</v>
      </c>
      <c r="D1062">
        <v>7.0000000000000007E-2</v>
      </c>
      <c r="E1062">
        <v>5.18</v>
      </c>
      <c r="F1062">
        <v>5.74</v>
      </c>
      <c r="G1062" t="s">
        <v>63</v>
      </c>
      <c r="H1062" t="s">
        <v>70</v>
      </c>
      <c r="I1062" t="s">
        <v>24</v>
      </c>
      <c r="J1062" t="s">
        <v>48</v>
      </c>
      <c r="K1062" t="s">
        <v>49</v>
      </c>
      <c r="L1062" t="s">
        <v>826</v>
      </c>
      <c r="M1062">
        <v>0.36</v>
      </c>
      <c r="N1062" t="s">
        <v>8</v>
      </c>
      <c r="O1062" t="s">
        <v>9</v>
      </c>
      <c r="P1062" t="s">
        <v>144</v>
      </c>
      <c r="Q1062" t="s">
        <v>2005</v>
      </c>
      <c r="R1062">
        <v>70506</v>
      </c>
      <c r="S1062" s="1">
        <v>42100</v>
      </c>
      <c r="T1062" s="1">
        <v>42102</v>
      </c>
      <c r="U1062">
        <v>-188.03399999999999</v>
      </c>
      <c r="V1062">
        <v>14</v>
      </c>
      <c r="W1062">
        <v>79.61</v>
      </c>
      <c r="X1062">
        <v>91000</v>
      </c>
      <c r="Y1062">
        <f>cleaneddata[[#This Row],[Unit Price]]-cleaneddata[[#This Row],[Discount]]</f>
        <v>5.1099999999999994</v>
      </c>
      <c r="Z106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63" spans="1:26" x14ac:dyDescent="0.3">
      <c r="A1063">
        <v>1618</v>
      </c>
      <c r="B1063" t="s">
        <v>2006</v>
      </c>
      <c r="C1063" t="s">
        <v>13</v>
      </c>
      <c r="D1063">
        <v>0.09</v>
      </c>
      <c r="E1063">
        <v>12.88</v>
      </c>
      <c r="F1063">
        <v>4.59</v>
      </c>
      <c r="G1063" t="s">
        <v>14</v>
      </c>
      <c r="H1063" t="s">
        <v>15</v>
      </c>
      <c r="I1063" t="s">
        <v>24</v>
      </c>
      <c r="J1063" t="s">
        <v>544</v>
      </c>
      <c r="K1063" t="s">
        <v>26</v>
      </c>
      <c r="L1063" t="s">
        <v>2007</v>
      </c>
      <c r="M1063">
        <v>0.82</v>
      </c>
      <c r="N1063" t="s">
        <v>8</v>
      </c>
      <c r="O1063" t="s">
        <v>28</v>
      </c>
      <c r="P1063" t="s">
        <v>29</v>
      </c>
      <c r="Q1063" t="s">
        <v>1798</v>
      </c>
      <c r="R1063">
        <v>46322</v>
      </c>
      <c r="S1063" s="1">
        <v>42100</v>
      </c>
      <c r="T1063" s="1">
        <v>42100</v>
      </c>
      <c r="U1063">
        <v>-175.13</v>
      </c>
      <c r="V1063">
        <v>13</v>
      </c>
      <c r="W1063">
        <v>158.13</v>
      </c>
      <c r="X1063">
        <v>90248</v>
      </c>
      <c r="Y1063">
        <f>cleaneddata[[#This Row],[Unit Price]]-cleaneddata[[#This Row],[Discount]]</f>
        <v>12.790000000000001</v>
      </c>
      <c r="Z106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64" spans="1:26" x14ac:dyDescent="0.3">
      <c r="A1064">
        <v>1620</v>
      </c>
      <c r="B1064" t="s">
        <v>2008</v>
      </c>
      <c r="C1064" t="s">
        <v>13</v>
      </c>
      <c r="D1064">
        <v>0.02</v>
      </c>
      <c r="E1064">
        <v>45.99</v>
      </c>
      <c r="F1064">
        <v>4.99</v>
      </c>
      <c r="G1064" t="s">
        <v>63</v>
      </c>
      <c r="H1064" t="s">
        <v>15</v>
      </c>
      <c r="I1064" t="s">
        <v>16</v>
      </c>
      <c r="J1064" t="s">
        <v>111</v>
      </c>
      <c r="K1064" t="s">
        <v>49</v>
      </c>
      <c r="L1064" t="s">
        <v>2009</v>
      </c>
      <c r="M1064">
        <v>0.56999999999999995</v>
      </c>
      <c r="N1064" t="s">
        <v>8</v>
      </c>
      <c r="O1064" t="s">
        <v>87</v>
      </c>
      <c r="P1064" t="s">
        <v>296</v>
      </c>
      <c r="Q1064" t="s">
        <v>2010</v>
      </c>
      <c r="R1064">
        <v>17602</v>
      </c>
      <c r="S1064" s="1">
        <v>42100</v>
      </c>
      <c r="T1064" s="1">
        <v>42101</v>
      </c>
      <c r="U1064">
        <v>3.96</v>
      </c>
      <c r="V1064">
        <v>4</v>
      </c>
      <c r="W1064">
        <v>163.01</v>
      </c>
      <c r="X1064">
        <v>90248</v>
      </c>
      <c r="Y1064">
        <f>cleaneddata[[#This Row],[Unit Price]]-cleaneddata[[#This Row],[Discount]]</f>
        <v>45.97</v>
      </c>
      <c r="Z106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65" spans="1:26" x14ac:dyDescent="0.3">
      <c r="A1065">
        <v>3279</v>
      </c>
      <c r="B1065" t="s">
        <v>1612</v>
      </c>
      <c r="C1065" t="s">
        <v>13</v>
      </c>
      <c r="D1065">
        <v>0.06</v>
      </c>
      <c r="E1065">
        <v>89.83</v>
      </c>
      <c r="F1065">
        <v>35</v>
      </c>
      <c r="G1065" t="s">
        <v>14</v>
      </c>
      <c r="H1065" t="s">
        <v>47</v>
      </c>
      <c r="I1065" t="s">
        <v>24</v>
      </c>
      <c r="J1065" t="s">
        <v>54</v>
      </c>
      <c r="K1065" t="s">
        <v>40</v>
      </c>
      <c r="L1065" t="s">
        <v>2011</v>
      </c>
      <c r="M1065">
        <v>0.83</v>
      </c>
      <c r="N1065" t="s">
        <v>8</v>
      </c>
      <c r="O1065" t="s">
        <v>9</v>
      </c>
      <c r="P1065" t="s">
        <v>247</v>
      </c>
      <c r="Q1065" t="s">
        <v>1613</v>
      </c>
      <c r="R1065">
        <v>29203</v>
      </c>
      <c r="S1065" s="1">
        <v>42100</v>
      </c>
      <c r="T1065" s="1">
        <v>42102</v>
      </c>
      <c r="U1065">
        <v>31.11</v>
      </c>
      <c r="V1065">
        <v>4</v>
      </c>
      <c r="W1065">
        <v>366.26</v>
      </c>
      <c r="X1065">
        <v>90766</v>
      </c>
      <c r="Y1065">
        <f>cleaneddata[[#This Row],[Unit Price]]-cleaneddata[[#This Row],[Discount]]</f>
        <v>89.77</v>
      </c>
      <c r="Z106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66" spans="1:26" x14ac:dyDescent="0.3">
      <c r="A1066">
        <v>3279</v>
      </c>
      <c r="B1066" t="s">
        <v>1612</v>
      </c>
      <c r="C1066" t="s">
        <v>13</v>
      </c>
      <c r="D1066">
        <v>0.1</v>
      </c>
      <c r="E1066">
        <v>13.43</v>
      </c>
      <c r="F1066">
        <v>5.5</v>
      </c>
      <c r="G1066" t="s">
        <v>14</v>
      </c>
      <c r="H1066" t="s">
        <v>47</v>
      </c>
      <c r="I1066" t="s">
        <v>24</v>
      </c>
      <c r="J1066" t="s">
        <v>54</v>
      </c>
      <c r="K1066" t="s">
        <v>49</v>
      </c>
      <c r="L1066" t="s">
        <v>535</v>
      </c>
      <c r="M1066">
        <v>0.56999999999999995</v>
      </c>
      <c r="N1066" t="s">
        <v>8</v>
      </c>
      <c r="O1066" t="s">
        <v>9</v>
      </c>
      <c r="P1066" t="s">
        <v>247</v>
      </c>
      <c r="Q1066" t="s">
        <v>1613</v>
      </c>
      <c r="R1066">
        <v>29203</v>
      </c>
      <c r="S1066" s="1">
        <v>42100</v>
      </c>
      <c r="T1066" s="1">
        <v>42102</v>
      </c>
      <c r="U1066">
        <v>358.29539999999997</v>
      </c>
      <c r="V1066">
        <v>12</v>
      </c>
      <c r="W1066">
        <v>157.99</v>
      </c>
      <c r="X1066">
        <v>90766</v>
      </c>
      <c r="Y1066">
        <f>cleaneddata[[#This Row],[Unit Price]]-cleaneddata[[#This Row],[Discount]]</f>
        <v>13.33</v>
      </c>
      <c r="Z10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67" spans="1:26" x14ac:dyDescent="0.3">
      <c r="A1067">
        <v>3279</v>
      </c>
      <c r="B1067" t="s">
        <v>1612</v>
      </c>
      <c r="C1067" t="s">
        <v>13</v>
      </c>
      <c r="D1067">
        <v>0.01</v>
      </c>
      <c r="E1067">
        <v>125.99</v>
      </c>
      <c r="F1067">
        <v>7.69</v>
      </c>
      <c r="G1067" t="s">
        <v>14</v>
      </c>
      <c r="H1067" t="s">
        <v>47</v>
      </c>
      <c r="I1067" t="s">
        <v>16</v>
      </c>
      <c r="J1067" t="s">
        <v>111</v>
      </c>
      <c r="K1067" t="s">
        <v>49</v>
      </c>
      <c r="L1067" t="s">
        <v>1025</v>
      </c>
      <c r="M1067">
        <v>0.57999999999999996</v>
      </c>
      <c r="N1067" t="s">
        <v>8</v>
      </c>
      <c r="O1067" t="s">
        <v>9</v>
      </c>
      <c r="P1067" t="s">
        <v>247</v>
      </c>
      <c r="Q1067" t="s">
        <v>1613</v>
      </c>
      <c r="R1067">
        <v>29203</v>
      </c>
      <c r="S1067" s="1">
        <v>42100</v>
      </c>
      <c r="T1067" s="1">
        <v>42100</v>
      </c>
      <c r="U1067">
        <v>8.3219999999999992</v>
      </c>
      <c r="V1067">
        <v>11</v>
      </c>
      <c r="W1067">
        <v>1212.8800000000001</v>
      </c>
      <c r="X1067">
        <v>90766</v>
      </c>
      <c r="Y1067">
        <f>cleaneddata[[#This Row],[Unit Price]]-cleaneddata[[#This Row],[Discount]]</f>
        <v>125.97999999999999</v>
      </c>
      <c r="Z106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68" spans="1:26" x14ac:dyDescent="0.3">
      <c r="A1068">
        <v>2240</v>
      </c>
      <c r="B1068" t="s">
        <v>2012</v>
      </c>
      <c r="C1068" t="s">
        <v>23</v>
      </c>
      <c r="D1068">
        <v>0.01</v>
      </c>
      <c r="E1068">
        <v>13.43</v>
      </c>
      <c r="F1068">
        <v>5.5</v>
      </c>
      <c r="G1068" t="s">
        <v>63</v>
      </c>
      <c r="H1068" t="s">
        <v>70</v>
      </c>
      <c r="I1068" t="s">
        <v>24</v>
      </c>
      <c r="J1068" t="s">
        <v>54</v>
      </c>
      <c r="K1068" t="s">
        <v>49</v>
      </c>
      <c r="L1068" t="s">
        <v>535</v>
      </c>
      <c r="M1068">
        <v>0.56999999999999995</v>
      </c>
      <c r="N1068" t="s">
        <v>8</v>
      </c>
      <c r="O1068" t="s">
        <v>9</v>
      </c>
      <c r="P1068" t="s">
        <v>99</v>
      </c>
      <c r="Q1068" t="s">
        <v>2013</v>
      </c>
      <c r="R1068">
        <v>33801</v>
      </c>
      <c r="S1068" s="1">
        <v>42100</v>
      </c>
      <c r="T1068" s="1">
        <v>42107</v>
      </c>
      <c r="U1068">
        <v>-313.02179999999998</v>
      </c>
      <c r="V1068">
        <v>7</v>
      </c>
      <c r="W1068">
        <v>99.75</v>
      </c>
      <c r="X1068">
        <v>89102</v>
      </c>
      <c r="Y1068">
        <f>cleaneddata[[#This Row],[Unit Price]]-cleaneddata[[#This Row],[Discount]]</f>
        <v>13.42</v>
      </c>
      <c r="Z106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69" spans="1:26" x14ac:dyDescent="0.3">
      <c r="A1069">
        <v>2334</v>
      </c>
      <c r="B1069" t="s">
        <v>2014</v>
      </c>
      <c r="C1069" t="s">
        <v>23</v>
      </c>
      <c r="D1069">
        <v>0.06</v>
      </c>
      <c r="E1069">
        <v>60.65</v>
      </c>
      <c r="F1069">
        <v>12.23</v>
      </c>
      <c r="G1069" t="s">
        <v>14</v>
      </c>
      <c r="H1069" t="s">
        <v>15</v>
      </c>
      <c r="I1069" t="s">
        <v>4</v>
      </c>
      <c r="J1069" t="s">
        <v>102</v>
      </c>
      <c r="K1069" t="s">
        <v>120</v>
      </c>
      <c r="L1069" t="s">
        <v>1157</v>
      </c>
      <c r="M1069">
        <v>0.64</v>
      </c>
      <c r="N1069" t="s">
        <v>8</v>
      </c>
      <c r="O1069" t="s">
        <v>28</v>
      </c>
      <c r="P1069" t="s">
        <v>333</v>
      </c>
      <c r="Q1069" t="s">
        <v>2015</v>
      </c>
      <c r="R1069">
        <v>53220</v>
      </c>
      <c r="S1069" s="1">
        <v>42100</v>
      </c>
      <c r="T1069" s="1">
        <v>42102</v>
      </c>
      <c r="U1069">
        <v>427.00650000000002</v>
      </c>
      <c r="V1069">
        <v>10</v>
      </c>
      <c r="W1069">
        <v>618.85</v>
      </c>
      <c r="X1069">
        <v>89608</v>
      </c>
      <c r="Y1069">
        <f>cleaneddata[[#This Row],[Unit Price]]-cleaneddata[[#This Row],[Discount]]</f>
        <v>60.589999999999996</v>
      </c>
      <c r="Z106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70" spans="1:26" x14ac:dyDescent="0.3">
      <c r="A1070">
        <v>2874</v>
      </c>
      <c r="B1070" t="s">
        <v>2016</v>
      </c>
      <c r="C1070" t="s">
        <v>23</v>
      </c>
      <c r="D1070">
        <v>0.05</v>
      </c>
      <c r="E1070">
        <v>4.84</v>
      </c>
      <c r="F1070">
        <v>0.71</v>
      </c>
      <c r="G1070" t="s">
        <v>14</v>
      </c>
      <c r="H1070" t="s">
        <v>47</v>
      </c>
      <c r="I1070" t="s">
        <v>24</v>
      </c>
      <c r="J1070" t="s">
        <v>25</v>
      </c>
      <c r="K1070" t="s">
        <v>26</v>
      </c>
      <c r="L1070" t="s">
        <v>27</v>
      </c>
      <c r="M1070">
        <v>0.52</v>
      </c>
      <c r="N1070" t="s">
        <v>8</v>
      </c>
      <c r="O1070" t="s">
        <v>28</v>
      </c>
      <c r="P1070" t="s">
        <v>109</v>
      </c>
      <c r="Q1070" t="s">
        <v>2017</v>
      </c>
      <c r="R1070">
        <v>68128</v>
      </c>
      <c r="S1070" s="1">
        <v>42100</v>
      </c>
      <c r="T1070" s="1">
        <v>42109</v>
      </c>
      <c r="U1070">
        <v>13.4481</v>
      </c>
      <c r="V1070">
        <v>4</v>
      </c>
      <c r="W1070">
        <v>19.489999999999998</v>
      </c>
      <c r="X1070">
        <v>89873</v>
      </c>
      <c r="Y1070">
        <f>cleaneddata[[#This Row],[Unit Price]]-cleaneddata[[#This Row],[Discount]]</f>
        <v>4.79</v>
      </c>
      <c r="Z107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71" spans="1:26" x14ac:dyDescent="0.3">
      <c r="A1071">
        <v>102</v>
      </c>
      <c r="B1071" t="s">
        <v>2018</v>
      </c>
      <c r="C1071" t="s">
        <v>92</v>
      </c>
      <c r="D1071">
        <v>0.04</v>
      </c>
      <c r="E1071">
        <v>300.98</v>
      </c>
      <c r="F1071">
        <v>54.92</v>
      </c>
      <c r="G1071" t="s">
        <v>2</v>
      </c>
      <c r="H1071" t="s">
        <v>15</v>
      </c>
      <c r="I1071" t="s">
        <v>4</v>
      </c>
      <c r="J1071" t="s">
        <v>93</v>
      </c>
      <c r="K1071" t="s">
        <v>6</v>
      </c>
      <c r="L1071" t="s">
        <v>1946</v>
      </c>
      <c r="M1071">
        <v>0.55000000000000004</v>
      </c>
      <c r="N1071" t="s">
        <v>8</v>
      </c>
      <c r="O1071" t="s">
        <v>87</v>
      </c>
      <c r="P1071" t="s">
        <v>379</v>
      </c>
      <c r="Q1071" t="s">
        <v>764</v>
      </c>
      <c r="R1071">
        <v>2129</v>
      </c>
      <c r="S1071" s="1">
        <v>42100</v>
      </c>
      <c r="T1071" s="1">
        <v>42101</v>
      </c>
      <c r="U1071">
        <v>2023.75</v>
      </c>
      <c r="V1071">
        <v>31</v>
      </c>
      <c r="W1071">
        <v>9459.94</v>
      </c>
      <c r="X1071">
        <v>42599</v>
      </c>
      <c r="Y1071">
        <f>cleaneddata[[#This Row],[Unit Price]]-cleaneddata[[#This Row],[Discount]]</f>
        <v>300.94</v>
      </c>
      <c r="Z107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72" spans="1:26" x14ac:dyDescent="0.3">
      <c r="A1072">
        <v>107</v>
      </c>
      <c r="B1072" t="s">
        <v>2019</v>
      </c>
      <c r="C1072" t="s">
        <v>92</v>
      </c>
      <c r="D1072">
        <v>0.04</v>
      </c>
      <c r="E1072">
        <v>300.98</v>
      </c>
      <c r="F1072">
        <v>54.92</v>
      </c>
      <c r="G1072" t="s">
        <v>2</v>
      </c>
      <c r="H1072" t="s">
        <v>15</v>
      </c>
      <c r="I1072" t="s">
        <v>4</v>
      </c>
      <c r="J1072" t="s">
        <v>93</v>
      </c>
      <c r="K1072" t="s">
        <v>6</v>
      </c>
      <c r="L1072" t="s">
        <v>1946</v>
      </c>
      <c r="M1072">
        <v>0.55000000000000004</v>
      </c>
      <c r="N1072" t="s">
        <v>8</v>
      </c>
      <c r="O1072" t="s">
        <v>87</v>
      </c>
      <c r="P1072" t="s">
        <v>1332</v>
      </c>
      <c r="Q1072" t="s">
        <v>2020</v>
      </c>
      <c r="R1072">
        <v>3820</v>
      </c>
      <c r="S1072" s="1">
        <v>42100</v>
      </c>
      <c r="T1072" s="1">
        <v>42101</v>
      </c>
      <c r="U1072">
        <v>1684.4763</v>
      </c>
      <c r="V1072">
        <v>8</v>
      </c>
      <c r="W1072">
        <v>2441.27</v>
      </c>
      <c r="X1072">
        <v>88204</v>
      </c>
      <c r="Y1072">
        <f>cleaneddata[[#This Row],[Unit Price]]-cleaneddata[[#This Row],[Discount]]</f>
        <v>300.94</v>
      </c>
      <c r="Z107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73" spans="1:26" x14ac:dyDescent="0.3">
      <c r="A1073">
        <v>786</v>
      </c>
      <c r="B1073" t="s">
        <v>2021</v>
      </c>
      <c r="C1073" t="s">
        <v>92</v>
      </c>
      <c r="D1073">
        <v>0</v>
      </c>
      <c r="E1073">
        <v>8.34</v>
      </c>
      <c r="F1073">
        <v>4.82</v>
      </c>
      <c r="G1073" t="s">
        <v>14</v>
      </c>
      <c r="H1073" t="s">
        <v>47</v>
      </c>
      <c r="I1073" t="s">
        <v>24</v>
      </c>
      <c r="J1073" t="s">
        <v>64</v>
      </c>
      <c r="K1073" t="s">
        <v>49</v>
      </c>
      <c r="L1073" t="s">
        <v>937</v>
      </c>
      <c r="M1073">
        <v>0.4</v>
      </c>
      <c r="N1073" t="s">
        <v>8</v>
      </c>
      <c r="O1073" t="s">
        <v>35</v>
      </c>
      <c r="P1073" t="s">
        <v>66</v>
      </c>
      <c r="Q1073" t="s">
        <v>2022</v>
      </c>
      <c r="R1073">
        <v>92691</v>
      </c>
      <c r="S1073" s="1">
        <v>42100</v>
      </c>
      <c r="T1073" s="1">
        <v>42101</v>
      </c>
      <c r="U1073">
        <v>-5.05</v>
      </c>
      <c r="V1073">
        <v>9</v>
      </c>
      <c r="W1073">
        <v>76.23</v>
      </c>
      <c r="X1073">
        <v>91513</v>
      </c>
      <c r="Y1073">
        <f>cleaneddata[[#This Row],[Unit Price]]-cleaneddata[[#This Row],[Discount]]</f>
        <v>8.34</v>
      </c>
      <c r="Z107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74" spans="1:26" x14ac:dyDescent="0.3">
      <c r="A1074">
        <v>1730</v>
      </c>
      <c r="B1074" t="s">
        <v>2023</v>
      </c>
      <c r="C1074" t="s">
        <v>13</v>
      </c>
      <c r="D1074">
        <v>0.1</v>
      </c>
      <c r="E1074">
        <v>65.989999999999995</v>
      </c>
      <c r="F1074">
        <v>3.99</v>
      </c>
      <c r="G1074" t="s">
        <v>63</v>
      </c>
      <c r="H1074" t="s">
        <v>3</v>
      </c>
      <c r="I1074" t="s">
        <v>16</v>
      </c>
      <c r="J1074" t="s">
        <v>111</v>
      </c>
      <c r="K1074" t="s">
        <v>49</v>
      </c>
      <c r="L1074" t="s">
        <v>1610</v>
      </c>
      <c r="M1074">
        <v>0.59</v>
      </c>
      <c r="N1074" t="s">
        <v>8</v>
      </c>
      <c r="O1074" t="s">
        <v>35</v>
      </c>
      <c r="P1074" t="s">
        <v>466</v>
      </c>
      <c r="Q1074" t="s">
        <v>1474</v>
      </c>
      <c r="R1074">
        <v>83843</v>
      </c>
      <c r="S1074" s="1">
        <v>42101</v>
      </c>
      <c r="T1074" s="1">
        <v>42103</v>
      </c>
      <c r="U1074">
        <v>-88.624799999999993</v>
      </c>
      <c r="V1074">
        <v>5</v>
      </c>
      <c r="W1074">
        <v>272.86</v>
      </c>
      <c r="X1074">
        <v>90653</v>
      </c>
      <c r="Y1074">
        <f>cleaneddata[[#This Row],[Unit Price]]-cleaneddata[[#This Row],[Discount]]</f>
        <v>65.89</v>
      </c>
      <c r="Z10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75" spans="1:26" x14ac:dyDescent="0.3">
      <c r="A1075">
        <v>1957</v>
      </c>
      <c r="B1075" t="s">
        <v>2024</v>
      </c>
      <c r="C1075" t="s">
        <v>13</v>
      </c>
      <c r="D1075">
        <v>0.09</v>
      </c>
      <c r="E1075">
        <v>77.510000000000005</v>
      </c>
      <c r="F1075">
        <v>4</v>
      </c>
      <c r="G1075" t="s">
        <v>14</v>
      </c>
      <c r="H1075" t="s">
        <v>15</v>
      </c>
      <c r="I1075" t="s">
        <v>16</v>
      </c>
      <c r="J1075" t="s">
        <v>17</v>
      </c>
      <c r="K1075" t="s">
        <v>49</v>
      </c>
      <c r="L1075" t="s">
        <v>2025</v>
      </c>
      <c r="M1075">
        <v>0.76</v>
      </c>
      <c r="N1075" t="s">
        <v>8</v>
      </c>
      <c r="O1075" t="s">
        <v>28</v>
      </c>
      <c r="P1075" t="s">
        <v>56</v>
      </c>
      <c r="Q1075" t="s">
        <v>1000</v>
      </c>
      <c r="R1075">
        <v>63130</v>
      </c>
      <c r="S1075" s="1">
        <v>42101</v>
      </c>
      <c r="T1075" s="1">
        <v>42103</v>
      </c>
      <c r="U1075">
        <v>-387.1044</v>
      </c>
      <c r="V1075">
        <v>1</v>
      </c>
      <c r="W1075">
        <v>77.47</v>
      </c>
      <c r="X1075">
        <v>89818</v>
      </c>
      <c r="Y1075">
        <f>cleaneddata[[#This Row],[Unit Price]]-cleaneddata[[#This Row],[Discount]]</f>
        <v>77.42</v>
      </c>
      <c r="Z107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76" spans="1:26" x14ac:dyDescent="0.3">
      <c r="A1076">
        <v>268</v>
      </c>
      <c r="B1076" t="s">
        <v>2026</v>
      </c>
      <c r="C1076" t="s">
        <v>23</v>
      </c>
      <c r="D1076">
        <v>0.02</v>
      </c>
      <c r="E1076">
        <v>5.58</v>
      </c>
      <c r="F1076">
        <v>5.3</v>
      </c>
      <c r="G1076" t="s">
        <v>14</v>
      </c>
      <c r="H1076" t="s">
        <v>47</v>
      </c>
      <c r="I1076" t="s">
        <v>24</v>
      </c>
      <c r="J1076" t="s">
        <v>321</v>
      </c>
      <c r="K1076" t="s">
        <v>49</v>
      </c>
      <c r="L1076" t="s">
        <v>322</v>
      </c>
      <c r="M1076">
        <v>0.35</v>
      </c>
      <c r="N1076" t="s">
        <v>8</v>
      </c>
      <c r="O1076" t="s">
        <v>35</v>
      </c>
      <c r="P1076" t="s">
        <v>564</v>
      </c>
      <c r="Q1076" t="s">
        <v>2027</v>
      </c>
      <c r="R1076">
        <v>86001</v>
      </c>
      <c r="S1076" s="1">
        <v>42101</v>
      </c>
      <c r="T1076" s="1">
        <v>42106</v>
      </c>
      <c r="U1076">
        <v>-22.48</v>
      </c>
      <c r="V1076">
        <v>3</v>
      </c>
      <c r="W1076">
        <v>18.670000000000002</v>
      </c>
      <c r="X1076">
        <v>88941</v>
      </c>
      <c r="Y1076">
        <f>cleaneddata[[#This Row],[Unit Price]]-cleaneddata[[#This Row],[Discount]]</f>
        <v>5.5600000000000005</v>
      </c>
      <c r="Z10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77" spans="1:26" x14ac:dyDescent="0.3">
      <c r="A1077">
        <v>268</v>
      </c>
      <c r="B1077" t="s">
        <v>2026</v>
      </c>
      <c r="C1077" t="s">
        <v>23</v>
      </c>
      <c r="D1077">
        <v>0.03</v>
      </c>
      <c r="E1077">
        <v>40.89</v>
      </c>
      <c r="F1077">
        <v>18.98</v>
      </c>
      <c r="G1077" t="s">
        <v>14</v>
      </c>
      <c r="H1077" t="s">
        <v>47</v>
      </c>
      <c r="I1077" t="s">
        <v>4</v>
      </c>
      <c r="J1077" t="s">
        <v>102</v>
      </c>
      <c r="K1077" t="s">
        <v>49</v>
      </c>
      <c r="L1077" t="s">
        <v>2028</v>
      </c>
      <c r="M1077">
        <v>0.56999999999999995</v>
      </c>
      <c r="N1077" t="s">
        <v>8</v>
      </c>
      <c r="O1077" t="s">
        <v>35</v>
      </c>
      <c r="P1077" t="s">
        <v>564</v>
      </c>
      <c r="Q1077" t="s">
        <v>2027</v>
      </c>
      <c r="R1077">
        <v>86001</v>
      </c>
      <c r="S1077" s="1">
        <v>42101</v>
      </c>
      <c r="T1077" s="1">
        <v>42108</v>
      </c>
      <c r="U1077">
        <v>78.98</v>
      </c>
      <c r="V1077">
        <v>5</v>
      </c>
      <c r="W1077">
        <v>210.77</v>
      </c>
      <c r="X1077">
        <v>88941</v>
      </c>
      <c r="Y1077">
        <f>cleaneddata[[#This Row],[Unit Price]]-cleaneddata[[#This Row],[Discount]]</f>
        <v>40.86</v>
      </c>
      <c r="Z107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78" spans="1:26" x14ac:dyDescent="0.3">
      <c r="A1078">
        <v>272</v>
      </c>
      <c r="B1078" t="s">
        <v>2029</v>
      </c>
      <c r="C1078" t="s">
        <v>23</v>
      </c>
      <c r="D1078">
        <v>0.02</v>
      </c>
      <c r="E1078">
        <v>5.58</v>
      </c>
      <c r="F1078">
        <v>5.3</v>
      </c>
      <c r="G1078" t="s">
        <v>14</v>
      </c>
      <c r="H1078" t="s">
        <v>47</v>
      </c>
      <c r="I1078" t="s">
        <v>24</v>
      </c>
      <c r="J1078" t="s">
        <v>321</v>
      </c>
      <c r="K1078" t="s">
        <v>49</v>
      </c>
      <c r="L1078" t="s">
        <v>322</v>
      </c>
      <c r="M1078">
        <v>0.35</v>
      </c>
      <c r="N1078" t="s">
        <v>8</v>
      </c>
      <c r="O1078" t="s">
        <v>9</v>
      </c>
      <c r="P1078" t="s">
        <v>73</v>
      </c>
      <c r="Q1078" t="s">
        <v>649</v>
      </c>
      <c r="R1078">
        <v>28204</v>
      </c>
      <c r="S1078" s="1">
        <v>42101</v>
      </c>
      <c r="T1078" s="1">
        <v>42106</v>
      </c>
      <c r="U1078">
        <v>-29.898399999999999</v>
      </c>
      <c r="V1078">
        <v>11</v>
      </c>
      <c r="W1078">
        <v>68.459999999999994</v>
      </c>
      <c r="X1078">
        <v>5509</v>
      </c>
      <c r="Y1078">
        <f>cleaneddata[[#This Row],[Unit Price]]-cleaneddata[[#This Row],[Discount]]</f>
        <v>5.5600000000000005</v>
      </c>
      <c r="Z10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79" spans="1:26" x14ac:dyDescent="0.3">
      <c r="A1079">
        <v>272</v>
      </c>
      <c r="B1079" t="s">
        <v>2029</v>
      </c>
      <c r="C1079" t="s">
        <v>23</v>
      </c>
      <c r="D1079">
        <v>0.03</v>
      </c>
      <c r="E1079">
        <v>40.89</v>
      </c>
      <c r="F1079">
        <v>18.98</v>
      </c>
      <c r="G1079" t="s">
        <v>14</v>
      </c>
      <c r="H1079" t="s">
        <v>47</v>
      </c>
      <c r="I1079" t="s">
        <v>4</v>
      </c>
      <c r="J1079" t="s">
        <v>102</v>
      </c>
      <c r="K1079" t="s">
        <v>49</v>
      </c>
      <c r="L1079" t="s">
        <v>2028</v>
      </c>
      <c r="M1079">
        <v>0.56999999999999995</v>
      </c>
      <c r="N1079" t="s">
        <v>8</v>
      </c>
      <c r="O1079" t="s">
        <v>9</v>
      </c>
      <c r="P1079" t="s">
        <v>73</v>
      </c>
      <c r="Q1079" t="s">
        <v>649</v>
      </c>
      <c r="R1079">
        <v>28204</v>
      </c>
      <c r="S1079" s="1">
        <v>42101</v>
      </c>
      <c r="T1079" s="1">
        <v>42108</v>
      </c>
      <c r="U1079">
        <v>52.916600000000003</v>
      </c>
      <c r="V1079">
        <v>21</v>
      </c>
      <c r="W1079">
        <v>885.23</v>
      </c>
      <c r="X1079">
        <v>5509</v>
      </c>
      <c r="Y1079">
        <f>cleaneddata[[#This Row],[Unit Price]]-cleaneddata[[#This Row],[Discount]]</f>
        <v>40.86</v>
      </c>
      <c r="Z107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80" spans="1:26" x14ac:dyDescent="0.3">
      <c r="A1080">
        <v>696</v>
      </c>
      <c r="B1080" t="s">
        <v>1859</v>
      </c>
      <c r="C1080" t="s">
        <v>23</v>
      </c>
      <c r="D1080">
        <v>0.1</v>
      </c>
      <c r="E1080">
        <v>40.479999999999997</v>
      </c>
      <c r="F1080">
        <v>19.989999999999998</v>
      </c>
      <c r="G1080" t="s">
        <v>14</v>
      </c>
      <c r="H1080" t="s">
        <v>70</v>
      </c>
      <c r="I1080" t="s">
        <v>16</v>
      </c>
      <c r="J1080" t="s">
        <v>17</v>
      </c>
      <c r="K1080" t="s">
        <v>49</v>
      </c>
      <c r="L1080" t="s">
        <v>2030</v>
      </c>
      <c r="M1080">
        <v>0.77</v>
      </c>
      <c r="N1080" t="s">
        <v>8</v>
      </c>
      <c r="O1080" t="s">
        <v>28</v>
      </c>
      <c r="P1080" t="s">
        <v>29</v>
      </c>
      <c r="Q1080" t="s">
        <v>1860</v>
      </c>
      <c r="R1080">
        <v>46307</v>
      </c>
      <c r="S1080" s="1">
        <v>42101</v>
      </c>
      <c r="T1080" s="1">
        <v>42103</v>
      </c>
      <c r="U1080">
        <v>-580.32000000000005</v>
      </c>
      <c r="V1080">
        <v>9</v>
      </c>
      <c r="W1080">
        <v>355.84</v>
      </c>
      <c r="X1080">
        <v>89848</v>
      </c>
      <c r="Y1080">
        <f>cleaneddata[[#This Row],[Unit Price]]-cleaneddata[[#This Row],[Discount]]</f>
        <v>40.379999999999995</v>
      </c>
      <c r="Z108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81" spans="1:26" x14ac:dyDescent="0.3">
      <c r="A1081">
        <v>698</v>
      </c>
      <c r="B1081" t="s">
        <v>1019</v>
      </c>
      <c r="C1081" t="s">
        <v>23</v>
      </c>
      <c r="D1081">
        <v>0.1</v>
      </c>
      <c r="E1081">
        <v>40.479999999999997</v>
      </c>
      <c r="F1081">
        <v>19.989999999999998</v>
      </c>
      <c r="G1081" t="s">
        <v>14</v>
      </c>
      <c r="H1081" t="s">
        <v>70</v>
      </c>
      <c r="I1081" t="s">
        <v>16</v>
      </c>
      <c r="J1081" t="s">
        <v>17</v>
      </c>
      <c r="K1081" t="s">
        <v>49</v>
      </c>
      <c r="L1081" t="s">
        <v>2030</v>
      </c>
      <c r="M1081">
        <v>0.77</v>
      </c>
      <c r="N1081" t="s">
        <v>8</v>
      </c>
      <c r="O1081" t="s">
        <v>35</v>
      </c>
      <c r="P1081" t="s">
        <v>42</v>
      </c>
      <c r="Q1081" t="s">
        <v>118</v>
      </c>
      <c r="R1081">
        <v>98105</v>
      </c>
      <c r="S1081" s="1">
        <v>42101</v>
      </c>
      <c r="T1081" s="1">
        <v>42103</v>
      </c>
      <c r="U1081">
        <v>-580.32000000000005</v>
      </c>
      <c r="V1081">
        <v>36</v>
      </c>
      <c r="W1081">
        <v>1423.35</v>
      </c>
      <c r="X1081">
        <v>8994</v>
      </c>
      <c r="Y1081">
        <f>cleaneddata[[#This Row],[Unit Price]]-cleaneddata[[#This Row],[Discount]]</f>
        <v>40.379999999999995</v>
      </c>
      <c r="Z10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82" spans="1:26" x14ac:dyDescent="0.3">
      <c r="A1082">
        <v>683</v>
      </c>
      <c r="B1082" t="s">
        <v>2031</v>
      </c>
      <c r="C1082" t="s">
        <v>92</v>
      </c>
      <c r="D1082">
        <v>0.06</v>
      </c>
      <c r="E1082">
        <v>17.670000000000002</v>
      </c>
      <c r="F1082">
        <v>8.99</v>
      </c>
      <c r="G1082" t="s">
        <v>63</v>
      </c>
      <c r="H1082" t="s">
        <v>3</v>
      </c>
      <c r="I1082" t="s">
        <v>4</v>
      </c>
      <c r="J1082" t="s">
        <v>102</v>
      </c>
      <c r="K1082" t="s">
        <v>18</v>
      </c>
      <c r="L1082" t="s">
        <v>2032</v>
      </c>
      <c r="M1082">
        <v>0.47</v>
      </c>
      <c r="N1082" t="s">
        <v>8</v>
      </c>
      <c r="O1082" t="s">
        <v>28</v>
      </c>
      <c r="P1082" t="s">
        <v>109</v>
      </c>
      <c r="Q1082" t="s">
        <v>1565</v>
      </c>
      <c r="R1082">
        <v>68046</v>
      </c>
      <c r="S1082" s="1">
        <v>42101</v>
      </c>
      <c r="T1082" s="1">
        <v>42102</v>
      </c>
      <c r="U1082">
        <v>38.06</v>
      </c>
      <c r="V1082">
        <v>4</v>
      </c>
      <c r="W1082">
        <v>69.959999999999994</v>
      </c>
      <c r="X1082">
        <v>87765</v>
      </c>
      <c r="Y1082">
        <f>cleaneddata[[#This Row],[Unit Price]]-cleaneddata[[#This Row],[Discount]]</f>
        <v>17.610000000000003</v>
      </c>
      <c r="Z108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83" spans="1:26" x14ac:dyDescent="0.3">
      <c r="A1083">
        <v>1410</v>
      </c>
      <c r="B1083" t="s">
        <v>2033</v>
      </c>
      <c r="C1083" t="s">
        <v>92</v>
      </c>
      <c r="D1083">
        <v>0</v>
      </c>
      <c r="E1083">
        <v>65.989999999999995</v>
      </c>
      <c r="F1083">
        <v>5.26</v>
      </c>
      <c r="G1083" t="s">
        <v>14</v>
      </c>
      <c r="H1083" t="s">
        <v>70</v>
      </c>
      <c r="I1083" t="s">
        <v>16</v>
      </c>
      <c r="J1083" t="s">
        <v>111</v>
      </c>
      <c r="K1083" t="s">
        <v>49</v>
      </c>
      <c r="L1083" t="s">
        <v>2034</v>
      </c>
      <c r="M1083">
        <v>0.59</v>
      </c>
      <c r="N1083" t="s">
        <v>8</v>
      </c>
      <c r="O1083" t="s">
        <v>35</v>
      </c>
      <c r="P1083" t="s">
        <v>66</v>
      </c>
      <c r="Q1083" t="s">
        <v>2035</v>
      </c>
      <c r="R1083">
        <v>92553</v>
      </c>
      <c r="S1083" s="1">
        <v>42101</v>
      </c>
      <c r="T1083" s="1">
        <v>42102</v>
      </c>
      <c r="U1083">
        <v>369.99869999999999</v>
      </c>
      <c r="V1083">
        <v>9</v>
      </c>
      <c r="W1083">
        <v>536.23</v>
      </c>
      <c r="X1083">
        <v>87086</v>
      </c>
      <c r="Y1083">
        <f>cleaneddata[[#This Row],[Unit Price]]-cleaneddata[[#This Row],[Discount]]</f>
        <v>65.989999999999995</v>
      </c>
      <c r="Z108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084" spans="1:26" x14ac:dyDescent="0.3">
      <c r="A1084">
        <v>1413</v>
      </c>
      <c r="B1084" t="s">
        <v>914</v>
      </c>
      <c r="C1084" t="s">
        <v>92</v>
      </c>
      <c r="D1084">
        <v>0</v>
      </c>
      <c r="E1084">
        <v>65.989999999999995</v>
      </c>
      <c r="F1084">
        <v>5.26</v>
      </c>
      <c r="G1084" t="s">
        <v>14</v>
      </c>
      <c r="H1084" t="s">
        <v>70</v>
      </c>
      <c r="I1084" t="s">
        <v>16</v>
      </c>
      <c r="J1084" t="s">
        <v>111</v>
      </c>
      <c r="K1084" t="s">
        <v>49</v>
      </c>
      <c r="L1084" t="s">
        <v>2034</v>
      </c>
      <c r="M1084">
        <v>0.59</v>
      </c>
      <c r="N1084" t="s">
        <v>8</v>
      </c>
      <c r="O1084" t="s">
        <v>87</v>
      </c>
      <c r="P1084" t="s">
        <v>379</v>
      </c>
      <c r="Q1084" t="s">
        <v>764</v>
      </c>
      <c r="R1084">
        <v>2113</v>
      </c>
      <c r="S1084" s="1">
        <v>42101</v>
      </c>
      <c r="T1084" s="1">
        <v>42102</v>
      </c>
      <c r="U1084">
        <v>542.25</v>
      </c>
      <c r="V1084">
        <v>36</v>
      </c>
      <c r="W1084">
        <v>2144.92</v>
      </c>
      <c r="X1084">
        <v>10277</v>
      </c>
      <c r="Y1084">
        <f>cleaneddata[[#This Row],[Unit Price]]-cleaneddata[[#This Row],[Discount]]</f>
        <v>65.989999999999995</v>
      </c>
      <c r="Z108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85" spans="1:26" x14ac:dyDescent="0.3">
      <c r="A1085">
        <v>2196</v>
      </c>
      <c r="B1085" t="s">
        <v>2036</v>
      </c>
      <c r="C1085" t="s">
        <v>92</v>
      </c>
      <c r="D1085">
        <v>0.03</v>
      </c>
      <c r="E1085">
        <v>27.48</v>
      </c>
      <c r="F1085">
        <v>4</v>
      </c>
      <c r="G1085" t="s">
        <v>14</v>
      </c>
      <c r="H1085" t="s">
        <v>3</v>
      </c>
      <c r="I1085" t="s">
        <v>16</v>
      </c>
      <c r="J1085" t="s">
        <v>17</v>
      </c>
      <c r="K1085" t="s">
        <v>49</v>
      </c>
      <c r="L1085" t="s">
        <v>2037</v>
      </c>
      <c r="M1085">
        <v>0.75</v>
      </c>
      <c r="N1085" t="s">
        <v>8</v>
      </c>
      <c r="O1085" t="s">
        <v>87</v>
      </c>
      <c r="P1085" t="s">
        <v>88</v>
      </c>
      <c r="Q1085" t="s">
        <v>2038</v>
      </c>
      <c r="R1085">
        <v>14701</v>
      </c>
      <c r="S1085" s="1">
        <v>42101</v>
      </c>
      <c r="T1085" s="1">
        <v>42102</v>
      </c>
      <c r="U1085">
        <v>-88.840800000000002</v>
      </c>
      <c r="V1085">
        <v>11</v>
      </c>
      <c r="W1085">
        <v>294.97000000000003</v>
      </c>
      <c r="X1085">
        <v>89175</v>
      </c>
      <c r="Y1085">
        <f>cleaneddata[[#This Row],[Unit Price]]-cleaneddata[[#This Row],[Discount]]</f>
        <v>27.45</v>
      </c>
      <c r="Z108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86" spans="1:26" x14ac:dyDescent="0.3">
      <c r="A1086">
        <v>2196</v>
      </c>
      <c r="B1086" t="s">
        <v>2036</v>
      </c>
      <c r="C1086" t="s">
        <v>92</v>
      </c>
      <c r="D1086">
        <v>0.1</v>
      </c>
      <c r="E1086">
        <v>179.99</v>
      </c>
      <c r="F1086">
        <v>19.989999999999998</v>
      </c>
      <c r="G1086" t="s">
        <v>14</v>
      </c>
      <c r="H1086" t="s">
        <v>3</v>
      </c>
      <c r="I1086" t="s">
        <v>16</v>
      </c>
      <c r="J1086" t="s">
        <v>17</v>
      </c>
      <c r="K1086" t="s">
        <v>49</v>
      </c>
      <c r="L1086" t="s">
        <v>691</v>
      </c>
      <c r="M1086">
        <v>0.48</v>
      </c>
      <c r="N1086" t="s">
        <v>8</v>
      </c>
      <c r="O1086" t="s">
        <v>87</v>
      </c>
      <c r="P1086" t="s">
        <v>88</v>
      </c>
      <c r="Q1086" t="s">
        <v>2038</v>
      </c>
      <c r="R1086">
        <v>14701</v>
      </c>
      <c r="S1086" s="1">
        <v>42101</v>
      </c>
      <c r="T1086" s="1">
        <v>42102</v>
      </c>
      <c r="U1086">
        <v>1208.9903999999999</v>
      </c>
      <c r="V1086">
        <v>14</v>
      </c>
      <c r="W1086">
        <v>2458.0500000000002</v>
      </c>
      <c r="X1086">
        <v>89175</v>
      </c>
      <c r="Y1086">
        <f>cleaneddata[[#This Row],[Unit Price]]-cleaneddata[[#This Row],[Discount]]</f>
        <v>179.89000000000001</v>
      </c>
      <c r="Z108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87" spans="1:26" x14ac:dyDescent="0.3">
      <c r="A1087">
        <v>2196</v>
      </c>
      <c r="B1087" t="s">
        <v>2036</v>
      </c>
      <c r="C1087" t="s">
        <v>92</v>
      </c>
      <c r="D1087">
        <v>0.1</v>
      </c>
      <c r="E1087">
        <v>140.85</v>
      </c>
      <c r="F1087">
        <v>19.989999999999998</v>
      </c>
      <c r="G1087" t="s">
        <v>14</v>
      </c>
      <c r="H1087" t="s">
        <v>3</v>
      </c>
      <c r="I1087" t="s">
        <v>24</v>
      </c>
      <c r="J1087" t="s">
        <v>54</v>
      </c>
      <c r="K1087" t="s">
        <v>49</v>
      </c>
      <c r="L1087" t="s">
        <v>2039</v>
      </c>
      <c r="M1087">
        <v>0.73</v>
      </c>
      <c r="N1087" t="s">
        <v>8</v>
      </c>
      <c r="O1087" t="s">
        <v>87</v>
      </c>
      <c r="P1087" t="s">
        <v>88</v>
      </c>
      <c r="Q1087" t="s">
        <v>2038</v>
      </c>
      <c r="R1087">
        <v>14701</v>
      </c>
      <c r="S1087" s="1">
        <v>42101</v>
      </c>
      <c r="T1087" s="1">
        <v>42103</v>
      </c>
      <c r="U1087">
        <v>9.9911999999999992</v>
      </c>
      <c r="V1087">
        <v>19</v>
      </c>
      <c r="W1087">
        <v>2465.75</v>
      </c>
      <c r="X1087">
        <v>89175</v>
      </c>
      <c r="Y1087">
        <f>cleaneddata[[#This Row],[Unit Price]]-cleaneddata[[#This Row],[Discount]]</f>
        <v>140.75</v>
      </c>
      <c r="Z108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88" spans="1:26" x14ac:dyDescent="0.3">
      <c r="A1088">
        <v>2073</v>
      </c>
      <c r="B1088" t="s">
        <v>2040</v>
      </c>
      <c r="C1088" t="s">
        <v>46</v>
      </c>
      <c r="D1088">
        <v>0.05</v>
      </c>
      <c r="E1088">
        <v>291.73</v>
      </c>
      <c r="F1088">
        <v>48.8</v>
      </c>
      <c r="G1088" t="s">
        <v>2</v>
      </c>
      <c r="H1088" t="s">
        <v>15</v>
      </c>
      <c r="I1088" t="s">
        <v>4</v>
      </c>
      <c r="J1088" t="s">
        <v>85</v>
      </c>
      <c r="K1088" t="s">
        <v>33</v>
      </c>
      <c r="L1088" t="s">
        <v>86</v>
      </c>
      <c r="M1088">
        <v>0.56000000000000005</v>
      </c>
      <c r="N1088" t="s">
        <v>8</v>
      </c>
      <c r="O1088" t="s">
        <v>28</v>
      </c>
      <c r="P1088" t="s">
        <v>265</v>
      </c>
      <c r="Q1088" t="s">
        <v>2041</v>
      </c>
      <c r="R1088">
        <v>48135</v>
      </c>
      <c r="S1088" s="1">
        <v>42101</v>
      </c>
      <c r="T1088" s="1">
        <v>42103</v>
      </c>
      <c r="U1088">
        <v>550.38080000000002</v>
      </c>
      <c r="V1088">
        <v>6</v>
      </c>
      <c r="W1088">
        <v>1818.41</v>
      </c>
      <c r="X1088">
        <v>88557</v>
      </c>
      <c r="Y1088">
        <f>cleaneddata[[#This Row],[Unit Price]]-cleaneddata[[#This Row],[Discount]]</f>
        <v>291.68</v>
      </c>
      <c r="Z108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89" spans="1:26" x14ac:dyDescent="0.3">
      <c r="A1089">
        <v>2539</v>
      </c>
      <c r="B1089" t="s">
        <v>2042</v>
      </c>
      <c r="C1089" t="s">
        <v>46</v>
      </c>
      <c r="D1089">
        <v>0.08</v>
      </c>
      <c r="E1089">
        <v>12.53</v>
      </c>
      <c r="F1089">
        <v>0.5</v>
      </c>
      <c r="G1089" t="s">
        <v>14</v>
      </c>
      <c r="H1089" t="s">
        <v>47</v>
      </c>
      <c r="I1089" t="s">
        <v>24</v>
      </c>
      <c r="J1089" t="s">
        <v>128</v>
      </c>
      <c r="K1089" t="s">
        <v>49</v>
      </c>
      <c r="L1089" t="s">
        <v>2043</v>
      </c>
      <c r="M1089">
        <v>0.38</v>
      </c>
      <c r="N1089" t="s">
        <v>8</v>
      </c>
      <c r="O1089" t="s">
        <v>9</v>
      </c>
      <c r="P1089" t="s">
        <v>99</v>
      </c>
      <c r="Q1089" t="s">
        <v>2044</v>
      </c>
      <c r="R1089">
        <v>32789</v>
      </c>
      <c r="S1089" s="1">
        <v>42101</v>
      </c>
      <c r="T1089" s="1">
        <v>42102</v>
      </c>
      <c r="U1089">
        <v>215.71799999999999</v>
      </c>
      <c r="V1089">
        <v>5</v>
      </c>
      <c r="W1089">
        <v>61.1</v>
      </c>
      <c r="X1089">
        <v>91017</v>
      </c>
      <c r="Y1089">
        <f>cleaneddata[[#This Row],[Unit Price]]-cleaneddata[[#This Row],[Discount]]</f>
        <v>12.45</v>
      </c>
      <c r="Z10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90" spans="1:26" x14ac:dyDescent="0.3">
      <c r="A1090">
        <v>2540</v>
      </c>
      <c r="B1090" t="s">
        <v>2045</v>
      </c>
      <c r="C1090" t="s">
        <v>46</v>
      </c>
      <c r="D1090">
        <v>0.02</v>
      </c>
      <c r="E1090">
        <v>178.47</v>
      </c>
      <c r="F1090">
        <v>19.989999999999998</v>
      </c>
      <c r="G1090" t="s">
        <v>14</v>
      </c>
      <c r="H1090" t="s">
        <v>47</v>
      </c>
      <c r="I1090" t="s">
        <v>24</v>
      </c>
      <c r="J1090" t="s">
        <v>54</v>
      </c>
      <c r="K1090" t="s">
        <v>49</v>
      </c>
      <c r="L1090" t="s">
        <v>987</v>
      </c>
      <c r="M1090">
        <v>0.55000000000000004</v>
      </c>
      <c r="N1090" t="s">
        <v>8</v>
      </c>
      <c r="O1090" t="s">
        <v>9</v>
      </c>
      <c r="P1090" t="s">
        <v>99</v>
      </c>
      <c r="Q1090" t="s">
        <v>2046</v>
      </c>
      <c r="R1090">
        <v>32708</v>
      </c>
      <c r="S1090" s="1">
        <v>42101</v>
      </c>
      <c r="T1090" s="1">
        <v>42102</v>
      </c>
      <c r="U1090">
        <v>106.98480000000001</v>
      </c>
      <c r="V1090">
        <v>1</v>
      </c>
      <c r="W1090">
        <v>193.81</v>
      </c>
      <c r="X1090">
        <v>91017</v>
      </c>
      <c r="Y1090">
        <f>cleaneddata[[#This Row],[Unit Price]]-cleaneddata[[#This Row],[Discount]]</f>
        <v>178.45</v>
      </c>
      <c r="Z109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91" spans="1:26" x14ac:dyDescent="0.3">
      <c r="A1091">
        <v>15</v>
      </c>
      <c r="B1091" t="s">
        <v>2047</v>
      </c>
      <c r="C1091" t="s">
        <v>1</v>
      </c>
      <c r="D1091">
        <v>0</v>
      </c>
      <c r="E1091">
        <v>4.42</v>
      </c>
      <c r="F1091">
        <v>4.99</v>
      </c>
      <c r="G1091" t="s">
        <v>14</v>
      </c>
      <c r="H1091" t="s">
        <v>3</v>
      </c>
      <c r="I1091" t="s">
        <v>24</v>
      </c>
      <c r="J1091" t="s">
        <v>321</v>
      </c>
      <c r="K1091" t="s">
        <v>49</v>
      </c>
      <c r="L1091" t="s">
        <v>2048</v>
      </c>
      <c r="M1091">
        <v>0.38</v>
      </c>
      <c r="N1091" t="s">
        <v>8</v>
      </c>
      <c r="O1091" t="s">
        <v>87</v>
      </c>
      <c r="P1091" t="s">
        <v>88</v>
      </c>
      <c r="Q1091" t="s">
        <v>2049</v>
      </c>
      <c r="R1091">
        <v>11787</v>
      </c>
      <c r="S1091" s="1">
        <v>42102</v>
      </c>
      <c r="T1091" s="1">
        <v>42103</v>
      </c>
      <c r="U1091">
        <v>-59.82</v>
      </c>
      <c r="V1091">
        <v>7</v>
      </c>
      <c r="W1091">
        <v>33.47</v>
      </c>
      <c r="X1091">
        <v>86837</v>
      </c>
      <c r="Y1091">
        <f>cleaneddata[[#This Row],[Unit Price]]-cleaneddata[[#This Row],[Discount]]</f>
        <v>4.42</v>
      </c>
      <c r="Z109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92" spans="1:26" x14ac:dyDescent="0.3">
      <c r="A1092">
        <v>1935</v>
      </c>
      <c r="B1092" t="s">
        <v>2050</v>
      </c>
      <c r="C1092" t="s">
        <v>1</v>
      </c>
      <c r="D1092">
        <v>0.01</v>
      </c>
      <c r="E1092">
        <v>42.98</v>
      </c>
      <c r="F1092">
        <v>4.62</v>
      </c>
      <c r="G1092" t="s">
        <v>63</v>
      </c>
      <c r="H1092" t="s">
        <v>70</v>
      </c>
      <c r="I1092" t="s">
        <v>24</v>
      </c>
      <c r="J1092" t="s">
        <v>71</v>
      </c>
      <c r="K1092" t="s">
        <v>49</v>
      </c>
      <c r="L1092" t="s">
        <v>256</v>
      </c>
      <c r="M1092">
        <v>0.56000000000000005</v>
      </c>
      <c r="N1092" t="s">
        <v>8</v>
      </c>
      <c r="O1092" t="s">
        <v>28</v>
      </c>
      <c r="P1092" t="s">
        <v>163</v>
      </c>
      <c r="Q1092" t="s">
        <v>2051</v>
      </c>
      <c r="R1092">
        <v>75051</v>
      </c>
      <c r="S1092" s="1">
        <v>42102</v>
      </c>
      <c r="T1092" s="1">
        <v>42104</v>
      </c>
      <c r="U1092">
        <v>285.47370000000001</v>
      </c>
      <c r="V1092">
        <v>9</v>
      </c>
      <c r="W1092">
        <v>413.73</v>
      </c>
      <c r="X1092">
        <v>86686</v>
      </c>
      <c r="Y1092">
        <f>cleaneddata[[#This Row],[Unit Price]]-cleaneddata[[#This Row],[Discount]]</f>
        <v>42.97</v>
      </c>
      <c r="Z10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093" spans="1:26" x14ac:dyDescent="0.3">
      <c r="A1093">
        <v>2655</v>
      </c>
      <c r="B1093" t="s">
        <v>2052</v>
      </c>
      <c r="C1093" t="s">
        <v>1</v>
      </c>
      <c r="D1093">
        <v>7.0000000000000007E-2</v>
      </c>
      <c r="E1093">
        <v>2.94</v>
      </c>
      <c r="F1093">
        <v>0.81</v>
      </c>
      <c r="G1093" t="s">
        <v>14</v>
      </c>
      <c r="H1093" t="s">
        <v>70</v>
      </c>
      <c r="I1093" t="s">
        <v>24</v>
      </c>
      <c r="J1093" t="s">
        <v>25</v>
      </c>
      <c r="K1093" t="s">
        <v>26</v>
      </c>
      <c r="L1093" t="s">
        <v>2053</v>
      </c>
      <c r="M1093">
        <v>0.4</v>
      </c>
      <c r="N1093" t="s">
        <v>8</v>
      </c>
      <c r="O1093" t="s">
        <v>9</v>
      </c>
      <c r="P1093" t="s">
        <v>51</v>
      </c>
      <c r="Q1093" t="s">
        <v>337</v>
      </c>
      <c r="R1093">
        <v>30318</v>
      </c>
      <c r="S1093" s="1">
        <v>42102</v>
      </c>
      <c r="T1093" s="1">
        <v>42103</v>
      </c>
      <c r="U1093">
        <v>-93.927400000000006</v>
      </c>
      <c r="V1093">
        <v>10</v>
      </c>
      <c r="W1093">
        <v>29.88</v>
      </c>
      <c r="X1093">
        <v>86064</v>
      </c>
      <c r="Y1093">
        <f>cleaneddata[[#This Row],[Unit Price]]-cleaneddata[[#This Row],[Discount]]</f>
        <v>2.87</v>
      </c>
      <c r="Z109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94" spans="1:26" x14ac:dyDescent="0.3">
      <c r="A1094">
        <v>3098</v>
      </c>
      <c r="B1094" t="s">
        <v>1396</v>
      </c>
      <c r="C1094" t="s">
        <v>1</v>
      </c>
      <c r="D1094">
        <v>0.05</v>
      </c>
      <c r="E1094">
        <v>35.44</v>
      </c>
      <c r="F1094">
        <v>5.09</v>
      </c>
      <c r="G1094" t="s">
        <v>14</v>
      </c>
      <c r="H1094" t="s">
        <v>15</v>
      </c>
      <c r="I1094" t="s">
        <v>24</v>
      </c>
      <c r="J1094" t="s">
        <v>64</v>
      </c>
      <c r="K1094" t="s">
        <v>49</v>
      </c>
      <c r="L1094" t="s">
        <v>2054</v>
      </c>
      <c r="M1094">
        <v>0.38</v>
      </c>
      <c r="N1094" t="s">
        <v>8</v>
      </c>
      <c r="O1094" t="s">
        <v>87</v>
      </c>
      <c r="P1094" t="s">
        <v>88</v>
      </c>
      <c r="Q1094" t="s">
        <v>1397</v>
      </c>
      <c r="R1094">
        <v>11967</v>
      </c>
      <c r="S1094" s="1">
        <v>42102</v>
      </c>
      <c r="T1094" s="1">
        <v>42103</v>
      </c>
      <c r="U1094">
        <v>240.17519999999999</v>
      </c>
      <c r="V1094">
        <v>10</v>
      </c>
      <c r="W1094">
        <v>348.08</v>
      </c>
      <c r="X1094">
        <v>89314</v>
      </c>
      <c r="Y1094">
        <f>cleaneddata[[#This Row],[Unit Price]]-cleaneddata[[#This Row],[Discount]]</f>
        <v>35.39</v>
      </c>
      <c r="Z109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95" spans="1:26" x14ac:dyDescent="0.3">
      <c r="A1095">
        <v>1614</v>
      </c>
      <c r="B1095" t="s">
        <v>2055</v>
      </c>
      <c r="C1095" t="s">
        <v>23</v>
      </c>
      <c r="D1095">
        <v>0.06</v>
      </c>
      <c r="E1095">
        <v>40.97</v>
      </c>
      <c r="F1095">
        <v>1.99</v>
      </c>
      <c r="G1095" t="s">
        <v>14</v>
      </c>
      <c r="H1095" t="s">
        <v>15</v>
      </c>
      <c r="I1095" t="s">
        <v>16</v>
      </c>
      <c r="J1095" t="s">
        <v>17</v>
      </c>
      <c r="K1095" t="s">
        <v>18</v>
      </c>
      <c r="L1095" t="s">
        <v>2056</v>
      </c>
      <c r="M1095">
        <v>0.42</v>
      </c>
      <c r="N1095" t="s">
        <v>8</v>
      </c>
      <c r="O1095" t="s">
        <v>87</v>
      </c>
      <c r="P1095" t="s">
        <v>379</v>
      </c>
      <c r="Q1095" t="s">
        <v>2057</v>
      </c>
      <c r="R1095">
        <v>1748</v>
      </c>
      <c r="S1095" s="1">
        <v>42102</v>
      </c>
      <c r="T1095" s="1">
        <v>42106</v>
      </c>
      <c r="U1095">
        <v>341.19810000000001</v>
      </c>
      <c r="V1095">
        <v>12</v>
      </c>
      <c r="W1095">
        <v>494.49</v>
      </c>
      <c r="X1095">
        <v>87823</v>
      </c>
      <c r="Y1095">
        <f>cleaneddata[[#This Row],[Unit Price]]-cleaneddata[[#This Row],[Discount]]</f>
        <v>40.909999999999997</v>
      </c>
      <c r="Z109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96" spans="1:26" x14ac:dyDescent="0.3">
      <c r="A1096">
        <v>1018</v>
      </c>
      <c r="B1096" t="s">
        <v>2058</v>
      </c>
      <c r="C1096" t="s">
        <v>92</v>
      </c>
      <c r="D1096">
        <v>0.05</v>
      </c>
      <c r="E1096">
        <v>35.89</v>
      </c>
      <c r="F1096">
        <v>14.72</v>
      </c>
      <c r="G1096" t="s">
        <v>14</v>
      </c>
      <c r="H1096" t="s">
        <v>47</v>
      </c>
      <c r="I1096" t="s">
        <v>24</v>
      </c>
      <c r="J1096" t="s">
        <v>321</v>
      </c>
      <c r="K1096" t="s">
        <v>49</v>
      </c>
      <c r="L1096" t="s">
        <v>2059</v>
      </c>
      <c r="M1096">
        <v>0.4</v>
      </c>
      <c r="N1096" t="s">
        <v>8</v>
      </c>
      <c r="O1096" t="s">
        <v>9</v>
      </c>
      <c r="P1096" t="s">
        <v>73</v>
      </c>
      <c r="Q1096" t="s">
        <v>2060</v>
      </c>
      <c r="R1096">
        <v>27511</v>
      </c>
      <c r="S1096" s="1">
        <v>42102</v>
      </c>
      <c r="T1096" s="1">
        <v>42103</v>
      </c>
      <c r="U1096">
        <v>22.866</v>
      </c>
      <c r="V1096">
        <v>19</v>
      </c>
      <c r="W1096">
        <v>680.39</v>
      </c>
      <c r="X1096">
        <v>88391</v>
      </c>
      <c r="Y1096">
        <f>cleaneddata[[#This Row],[Unit Price]]-cleaneddata[[#This Row],[Discount]]</f>
        <v>35.840000000000003</v>
      </c>
      <c r="Z109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97" spans="1:26" x14ac:dyDescent="0.3">
      <c r="A1097">
        <v>1018</v>
      </c>
      <c r="B1097" t="s">
        <v>2058</v>
      </c>
      <c r="C1097" t="s">
        <v>92</v>
      </c>
      <c r="D1097">
        <v>0</v>
      </c>
      <c r="E1097">
        <v>11.48</v>
      </c>
      <c r="F1097">
        <v>5.43</v>
      </c>
      <c r="G1097" t="s">
        <v>14</v>
      </c>
      <c r="H1097" t="s">
        <v>47</v>
      </c>
      <c r="I1097" t="s">
        <v>24</v>
      </c>
      <c r="J1097" t="s">
        <v>64</v>
      </c>
      <c r="K1097" t="s">
        <v>49</v>
      </c>
      <c r="L1097" t="s">
        <v>2061</v>
      </c>
      <c r="M1097">
        <v>0.36</v>
      </c>
      <c r="N1097" t="s">
        <v>8</v>
      </c>
      <c r="O1097" t="s">
        <v>9</v>
      </c>
      <c r="P1097" t="s">
        <v>73</v>
      </c>
      <c r="Q1097" t="s">
        <v>2060</v>
      </c>
      <c r="R1097">
        <v>27511</v>
      </c>
      <c r="S1097" s="1">
        <v>42102</v>
      </c>
      <c r="T1097" s="1">
        <v>42102</v>
      </c>
      <c r="U1097">
        <v>115.72799999999999</v>
      </c>
      <c r="V1097">
        <v>6</v>
      </c>
      <c r="W1097">
        <v>75.52</v>
      </c>
      <c r="X1097">
        <v>88391</v>
      </c>
      <c r="Y1097">
        <f>cleaneddata[[#This Row],[Unit Price]]-cleaneddata[[#This Row],[Discount]]</f>
        <v>11.48</v>
      </c>
      <c r="Z10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098" spans="1:26" x14ac:dyDescent="0.3">
      <c r="A1098">
        <v>2561</v>
      </c>
      <c r="B1098" t="s">
        <v>1774</v>
      </c>
      <c r="C1098" t="s">
        <v>46</v>
      </c>
      <c r="D1098">
        <v>7.0000000000000007E-2</v>
      </c>
      <c r="E1098">
        <v>3.98</v>
      </c>
      <c r="F1098">
        <v>5.26</v>
      </c>
      <c r="G1098" t="s">
        <v>14</v>
      </c>
      <c r="H1098" t="s">
        <v>15</v>
      </c>
      <c r="I1098" t="s">
        <v>24</v>
      </c>
      <c r="J1098" t="s">
        <v>48</v>
      </c>
      <c r="K1098" t="s">
        <v>49</v>
      </c>
      <c r="L1098" t="s">
        <v>1831</v>
      </c>
      <c r="M1098">
        <v>0.38</v>
      </c>
      <c r="N1098" t="s">
        <v>8</v>
      </c>
      <c r="O1098" t="s">
        <v>87</v>
      </c>
      <c r="P1098" t="s">
        <v>88</v>
      </c>
      <c r="Q1098" t="s">
        <v>1775</v>
      </c>
      <c r="R1098">
        <v>10562</v>
      </c>
      <c r="S1098" s="1">
        <v>42102</v>
      </c>
      <c r="T1098" s="1">
        <v>42104</v>
      </c>
      <c r="U1098">
        <v>-59.963760000000001</v>
      </c>
      <c r="V1098">
        <v>7</v>
      </c>
      <c r="W1098">
        <v>29.77</v>
      </c>
      <c r="X1098">
        <v>86466</v>
      </c>
      <c r="Y1098">
        <f>cleaneddata[[#This Row],[Unit Price]]-cleaneddata[[#This Row],[Discount]]</f>
        <v>3.91</v>
      </c>
      <c r="Z109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099" spans="1:26" x14ac:dyDescent="0.3">
      <c r="A1099">
        <v>2561</v>
      </c>
      <c r="B1099" t="s">
        <v>1774</v>
      </c>
      <c r="C1099" t="s">
        <v>46</v>
      </c>
      <c r="D1099">
        <v>7.0000000000000007E-2</v>
      </c>
      <c r="E1099">
        <v>12.22</v>
      </c>
      <c r="F1099">
        <v>2.85</v>
      </c>
      <c r="G1099" t="s">
        <v>14</v>
      </c>
      <c r="H1099" t="s">
        <v>15</v>
      </c>
      <c r="I1099" t="s">
        <v>4</v>
      </c>
      <c r="J1099" t="s">
        <v>102</v>
      </c>
      <c r="K1099" t="s">
        <v>18</v>
      </c>
      <c r="L1099" t="s">
        <v>2062</v>
      </c>
      <c r="M1099">
        <v>0.55000000000000004</v>
      </c>
      <c r="N1099" t="s">
        <v>8</v>
      </c>
      <c r="O1099" t="s">
        <v>87</v>
      </c>
      <c r="P1099" t="s">
        <v>88</v>
      </c>
      <c r="Q1099" t="s">
        <v>1775</v>
      </c>
      <c r="R1099">
        <v>10562</v>
      </c>
      <c r="S1099" s="1">
        <v>42102</v>
      </c>
      <c r="T1099" s="1">
        <v>42102</v>
      </c>
      <c r="U1099">
        <v>89.4148</v>
      </c>
      <c r="V1099">
        <v>12</v>
      </c>
      <c r="W1099">
        <v>147.19</v>
      </c>
      <c r="X1099">
        <v>86466</v>
      </c>
      <c r="Y1099">
        <f>cleaneddata[[#This Row],[Unit Price]]-cleaneddata[[#This Row],[Discount]]</f>
        <v>12.15</v>
      </c>
      <c r="Z10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00" spans="1:26" x14ac:dyDescent="0.3">
      <c r="A1100">
        <v>2563</v>
      </c>
      <c r="B1100" t="s">
        <v>2063</v>
      </c>
      <c r="C1100" t="s">
        <v>46</v>
      </c>
      <c r="D1100">
        <v>0.08</v>
      </c>
      <c r="E1100">
        <v>4.55</v>
      </c>
      <c r="F1100">
        <v>1.49</v>
      </c>
      <c r="G1100" t="s">
        <v>14</v>
      </c>
      <c r="H1100" t="s">
        <v>47</v>
      </c>
      <c r="I1100" t="s">
        <v>24</v>
      </c>
      <c r="J1100" t="s">
        <v>48</v>
      </c>
      <c r="K1100" t="s">
        <v>49</v>
      </c>
      <c r="L1100" t="s">
        <v>1479</v>
      </c>
      <c r="M1100">
        <v>0.35</v>
      </c>
      <c r="N1100" t="s">
        <v>8</v>
      </c>
      <c r="O1100" t="s">
        <v>28</v>
      </c>
      <c r="P1100" t="s">
        <v>60</v>
      </c>
      <c r="Q1100" t="s">
        <v>2064</v>
      </c>
      <c r="R1100">
        <v>55432</v>
      </c>
      <c r="S1100" s="1">
        <v>42102</v>
      </c>
      <c r="T1100" s="1">
        <v>42103</v>
      </c>
      <c r="U1100">
        <v>27.0273</v>
      </c>
      <c r="V1100">
        <v>9</v>
      </c>
      <c r="W1100">
        <v>39.17</v>
      </c>
      <c r="X1100">
        <v>91447</v>
      </c>
      <c r="Y1100">
        <f>cleaneddata[[#This Row],[Unit Price]]-cleaneddata[[#This Row],[Discount]]</f>
        <v>4.47</v>
      </c>
      <c r="Z11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01" spans="1:26" x14ac:dyDescent="0.3">
      <c r="A1101">
        <v>2699</v>
      </c>
      <c r="B1101" t="s">
        <v>2065</v>
      </c>
      <c r="C1101" t="s">
        <v>46</v>
      </c>
      <c r="D1101">
        <v>0.04</v>
      </c>
      <c r="E1101">
        <v>70.98</v>
      </c>
      <c r="F1101">
        <v>26.74</v>
      </c>
      <c r="G1101" t="s">
        <v>2</v>
      </c>
      <c r="H1101" t="s">
        <v>70</v>
      </c>
      <c r="I1101" t="s">
        <v>4</v>
      </c>
      <c r="J1101" t="s">
        <v>93</v>
      </c>
      <c r="K1101" t="s">
        <v>6</v>
      </c>
      <c r="L1101" t="s">
        <v>2066</v>
      </c>
      <c r="M1101">
        <v>0.6</v>
      </c>
      <c r="N1101" t="s">
        <v>8</v>
      </c>
      <c r="O1101" t="s">
        <v>35</v>
      </c>
      <c r="P1101" t="s">
        <v>564</v>
      </c>
      <c r="Q1101" t="s">
        <v>2067</v>
      </c>
      <c r="R1101">
        <v>86442</v>
      </c>
      <c r="S1101" s="1">
        <v>42102</v>
      </c>
      <c r="T1101" s="1">
        <v>42104</v>
      </c>
      <c r="U1101">
        <v>-84.628799999999998</v>
      </c>
      <c r="V1101">
        <v>19</v>
      </c>
      <c r="W1101">
        <v>1345.33</v>
      </c>
      <c r="X1101">
        <v>87679</v>
      </c>
      <c r="Y1101">
        <f>cleaneddata[[#This Row],[Unit Price]]-cleaneddata[[#This Row],[Discount]]</f>
        <v>70.94</v>
      </c>
      <c r="Z110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02" spans="1:26" x14ac:dyDescent="0.3">
      <c r="A1102">
        <v>123</v>
      </c>
      <c r="B1102" t="s">
        <v>2068</v>
      </c>
      <c r="C1102" t="s">
        <v>1</v>
      </c>
      <c r="D1102">
        <v>0.06</v>
      </c>
      <c r="E1102">
        <v>8.57</v>
      </c>
      <c r="F1102">
        <v>6.14</v>
      </c>
      <c r="G1102" t="s">
        <v>14</v>
      </c>
      <c r="H1102" t="s">
        <v>47</v>
      </c>
      <c r="I1102" t="s">
        <v>24</v>
      </c>
      <c r="J1102" t="s">
        <v>544</v>
      </c>
      <c r="K1102" t="s">
        <v>18</v>
      </c>
      <c r="L1102" t="s">
        <v>2069</v>
      </c>
      <c r="M1102">
        <v>0.59</v>
      </c>
      <c r="N1102" t="s">
        <v>8</v>
      </c>
      <c r="O1102" t="s">
        <v>9</v>
      </c>
      <c r="P1102" t="s">
        <v>218</v>
      </c>
      <c r="Q1102" t="s">
        <v>2070</v>
      </c>
      <c r="R1102">
        <v>22102</v>
      </c>
      <c r="S1102" s="1">
        <v>42103</v>
      </c>
      <c r="T1102" s="1">
        <v>42104</v>
      </c>
      <c r="U1102">
        <v>105.678</v>
      </c>
      <c r="V1102">
        <v>11</v>
      </c>
      <c r="W1102">
        <v>94.97</v>
      </c>
      <c r="X1102">
        <v>90669</v>
      </c>
      <c r="Y1102">
        <f>cleaneddata[[#This Row],[Unit Price]]-cleaneddata[[#This Row],[Discount]]</f>
        <v>8.51</v>
      </c>
      <c r="Z110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03" spans="1:26" x14ac:dyDescent="0.3">
      <c r="A1103">
        <v>1186</v>
      </c>
      <c r="B1103" t="s">
        <v>2071</v>
      </c>
      <c r="C1103" t="s">
        <v>1</v>
      </c>
      <c r="D1103">
        <v>7.0000000000000007E-2</v>
      </c>
      <c r="E1103">
        <v>400.97</v>
      </c>
      <c r="F1103">
        <v>48.26</v>
      </c>
      <c r="G1103" t="s">
        <v>2</v>
      </c>
      <c r="H1103" t="s">
        <v>15</v>
      </c>
      <c r="I1103" t="s">
        <v>16</v>
      </c>
      <c r="J1103" t="s">
        <v>32</v>
      </c>
      <c r="K1103" t="s">
        <v>6</v>
      </c>
      <c r="L1103" t="s">
        <v>1536</v>
      </c>
      <c r="M1103">
        <v>0.36</v>
      </c>
      <c r="N1103" t="s">
        <v>8</v>
      </c>
      <c r="O1103" t="s">
        <v>35</v>
      </c>
      <c r="P1103" t="s">
        <v>66</v>
      </c>
      <c r="Q1103" t="s">
        <v>2072</v>
      </c>
      <c r="R1103">
        <v>92646</v>
      </c>
      <c r="S1103" s="1">
        <v>42103</v>
      </c>
      <c r="T1103" s="1">
        <v>42104</v>
      </c>
      <c r="U1103">
        <v>2581.5590999999999</v>
      </c>
      <c r="V1103">
        <v>10</v>
      </c>
      <c r="W1103">
        <v>3741.39</v>
      </c>
      <c r="X1103">
        <v>85939</v>
      </c>
      <c r="Y1103">
        <f>cleaneddata[[#This Row],[Unit Price]]-cleaneddata[[#This Row],[Discount]]</f>
        <v>400.90000000000003</v>
      </c>
      <c r="Z110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04" spans="1:26" x14ac:dyDescent="0.3">
      <c r="A1104">
        <v>1233</v>
      </c>
      <c r="B1104" t="s">
        <v>2073</v>
      </c>
      <c r="C1104" t="s">
        <v>1</v>
      </c>
      <c r="D1104">
        <v>0.1</v>
      </c>
      <c r="E1104">
        <v>120.98</v>
      </c>
      <c r="F1104">
        <v>9.07</v>
      </c>
      <c r="G1104" t="s">
        <v>63</v>
      </c>
      <c r="H1104" t="s">
        <v>15</v>
      </c>
      <c r="I1104" t="s">
        <v>24</v>
      </c>
      <c r="J1104" t="s">
        <v>48</v>
      </c>
      <c r="K1104" t="s">
        <v>49</v>
      </c>
      <c r="L1104" t="s">
        <v>1399</v>
      </c>
      <c r="M1104">
        <v>0.35</v>
      </c>
      <c r="N1104" t="s">
        <v>8</v>
      </c>
      <c r="O1104" t="s">
        <v>28</v>
      </c>
      <c r="P1104" t="s">
        <v>163</v>
      </c>
      <c r="Q1104" t="s">
        <v>2074</v>
      </c>
      <c r="R1104">
        <v>75028</v>
      </c>
      <c r="S1104" s="1">
        <v>42103</v>
      </c>
      <c r="T1104" s="1">
        <v>42105</v>
      </c>
      <c r="U1104">
        <v>297.45715999999999</v>
      </c>
      <c r="V1104">
        <v>5</v>
      </c>
      <c r="W1104">
        <v>568.24</v>
      </c>
      <c r="X1104">
        <v>89375</v>
      </c>
      <c r="Y1104">
        <f>cleaneddata[[#This Row],[Unit Price]]-cleaneddata[[#This Row],[Discount]]</f>
        <v>120.88000000000001</v>
      </c>
      <c r="Z110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05" spans="1:26" x14ac:dyDescent="0.3">
      <c r="A1105">
        <v>1233</v>
      </c>
      <c r="B1105" t="s">
        <v>2073</v>
      </c>
      <c r="C1105" t="s">
        <v>1</v>
      </c>
      <c r="D1105">
        <v>0.02</v>
      </c>
      <c r="E1105">
        <v>152.47999999999999</v>
      </c>
      <c r="F1105">
        <v>6.5</v>
      </c>
      <c r="G1105" t="s">
        <v>63</v>
      </c>
      <c r="H1105" t="s">
        <v>15</v>
      </c>
      <c r="I1105" t="s">
        <v>16</v>
      </c>
      <c r="J1105" t="s">
        <v>17</v>
      </c>
      <c r="K1105" t="s">
        <v>49</v>
      </c>
      <c r="L1105" t="s">
        <v>1769</v>
      </c>
      <c r="M1105">
        <v>0.74</v>
      </c>
      <c r="N1105" t="s">
        <v>8</v>
      </c>
      <c r="O1105" t="s">
        <v>28</v>
      </c>
      <c r="P1105" t="s">
        <v>163</v>
      </c>
      <c r="Q1105" t="s">
        <v>2074</v>
      </c>
      <c r="R1105">
        <v>75028</v>
      </c>
      <c r="S1105" s="1">
        <v>42103</v>
      </c>
      <c r="T1105" s="1">
        <v>42105</v>
      </c>
      <c r="U1105">
        <v>-564.60239999999999</v>
      </c>
      <c r="V1105">
        <v>1</v>
      </c>
      <c r="W1105">
        <v>162.91</v>
      </c>
      <c r="X1105">
        <v>89375</v>
      </c>
      <c r="Y1105">
        <f>cleaneddata[[#This Row],[Unit Price]]-cleaneddata[[#This Row],[Discount]]</f>
        <v>152.45999999999998</v>
      </c>
      <c r="Z11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06" spans="1:26" x14ac:dyDescent="0.3">
      <c r="A1106">
        <v>1178</v>
      </c>
      <c r="B1106" t="s">
        <v>2075</v>
      </c>
      <c r="C1106" t="s">
        <v>13</v>
      </c>
      <c r="D1106">
        <v>0.03</v>
      </c>
      <c r="E1106">
        <v>4.4800000000000004</v>
      </c>
      <c r="F1106">
        <v>49</v>
      </c>
      <c r="G1106" t="s">
        <v>14</v>
      </c>
      <c r="H1106" t="s">
        <v>15</v>
      </c>
      <c r="I1106" t="s">
        <v>24</v>
      </c>
      <c r="J1106" t="s">
        <v>71</v>
      </c>
      <c r="K1106" t="s">
        <v>40</v>
      </c>
      <c r="L1106" t="s">
        <v>444</v>
      </c>
      <c r="M1106">
        <v>0.6</v>
      </c>
      <c r="N1106" t="s">
        <v>8</v>
      </c>
      <c r="O1106" t="s">
        <v>9</v>
      </c>
      <c r="P1106" t="s">
        <v>99</v>
      </c>
      <c r="Q1106" t="s">
        <v>2076</v>
      </c>
      <c r="R1106">
        <v>32701</v>
      </c>
      <c r="S1106" s="1">
        <v>42103</v>
      </c>
      <c r="T1106" s="1">
        <v>42105</v>
      </c>
      <c r="U1106">
        <v>64.266000000000005</v>
      </c>
      <c r="V1106">
        <v>2</v>
      </c>
      <c r="W1106">
        <v>21.46</v>
      </c>
      <c r="X1106">
        <v>89787</v>
      </c>
      <c r="Y1106">
        <f>cleaneddata[[#This Row],[Unit Price]]-cleaneddata[[#This Row],[Discount]]</f>
        <v>4.45</v>
      </c>
      <c r="Z110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07" spans="1:26" x14ac:dyDescent="0.3">
      <c r="A1107">
        <v>1178</v>
      </c>
      <c r="B1107" t="s">
        <v>2075</v>
      </c>
      <c r="C1107" t="s">
        <v>13</v>
      </c>
      <c r="D1107">
        <v>0.06</v>
      </c>
      <c r="E1107">
        <v>350.99</v>
      </c>
      <c r="F1107">
        <v>39</v>
      </c>
      <c r="G1107" t="s">
        <v>2</v>
      </c>
      <c r="H1107" t="s">
        <v>15</v>
      </c>
      <c r="I1107" t="s">
        <v>4</v>
      </c>
      <c r="J1107" t="s">
        <v>85</v>
      </c>
      <c r="K1107" t="s">
        <v>33</v>
      </c>
      <c r="L1107" t="s">
        <v>414</v>
      </c>
      <c r="M1107">
        <v>0.55000000000000004</v>
      </c>
      <c r="N1107" t="s">
        <v>8</v>
      </c>
      <c r="O1107" t="s">
        <v>9</v>
      </c>
      <c r="P1107" t="s">
        <v>99</v>
      </c>
      <c r="Q1107" t="s">
        <v>2076</v>
      </c>
      <c r="R1107">
        <v>32701</v>
      </c>
      <c r="S1107" s="1">
        <v>42103</v>
      </c>
      <c r="T1107" s="1">
        <v>42105</v>
      </c>
      <c r="U1107">
        <v>-302.61559999999997</v>
      </c>
      <c r="V1107">
        <v>10</v>
      </c>
      <c r="W1107">
        <v>3506.78</v>
      </c>
      <c r="X1107">
        <v>89787</v>
      </c>
      <c r="Y1107">
        <f>cleaneddata[[#This Row],[Unit Price]]-cleaneddata[[#This Row],[Discount]]</f>
        <v>350.93</v>
      </c>
      <c r="Z11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08" spans="1:26" x14ac:dyDescent="0.3">
      <c r="A1108">
        <v>1178</v>
      </c>
      <c r="B1108" t="s">
        <v>2075</v>
      </c>
      <c r="C1108" t="s">
        <v>13</v>
      </c>
      <c r="D1108">
        <v>0.09</v>
      </c>
      <c r="E1108">
        <v>40.98</v>
      </c>
      <c r="F1108">
        <v>6.5</v>
      </c>
      <c r="G1108" t="s">
        <v>63</v>
      </c>
      <c r="H1108" t="s">
        <v>15</v>
      </c>
      <c r="I1108" t="s">
        <v>16</v>
      </c>
      <c r="J1108" t="s">
        <v>17</v>
      </c>
      <c r="K1108" t="s">
        <v>49</v>
      </c>
      <c r="L1108" t="s">
        <v>422</v>
      </c>
      <c r="M1108">
        <v>0.74</v>
      </c>
      <c r="N1108" t="s">
        <v>8</v>
      </c>
      <c r="O1108" t="s">
        <v>9</v>
      </c>
      <c r="P1108" t="s">
        <v>99</v>
      </c>
      <c r="Q1108" t="s">
        <v>2076</v>
      </c>
      <c r="R1108">
        <v>32701</v>
      </c>
      <c r="S1108" s="1">
        <v>42103</v>
      </c>
      <c r="T1108" s="1">
        <v>42105</v>
      </c>
      <c r="U1108">
        <v>5.6916000000000002</v>
      </c>
      <c r="V1108">
        <v>7</v>
      </c>
      <c r="W1108">
        <v>267.69</v>
      </c>
      <c r="X1108">
        <v>89787</v>
      </c>
      <c r="Y1108">
        <f>cleaneddata[[#This Row],[Unit Price]]-cleaneddata[[#This Row],[Discount]]</f>
        <v>40.889999999999993</v>
      </c>
      <c r="Z11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09" spans="1:26" x14ac:dyDescent="0.3">
      <c r="A1109">
        <v>1250</v>
      </c>
      <c r="B1109" t="s">
        <v>2077</v>
      </c>
      <c r="C1109" t="s">
        <v>13</v>
      </c>
      <c r="D1109">
        <v>0</v>
      </c>
      <c r="E1109">
        <v>3.89</v>
      </c>
      <c r="F1109">
        <v>7.01</v>
      </c>
      <c r="G1109" t="s">
        <v>14</v>
      </c>
      <c r="H1109" t="s">
        <v>70</v>
      </c>
      <c r="I1109" t="s">
        <v>24</v>
      </c>
      <c r="J1109" t="s">
        <v>48</v>
      </c>
      <c r="K1109" t="s">
        <v>49</v>
      </c>
      <c r="L1109" t="s">
        <v>702</v>
      </c>
      <c r="M1109">
        <v>0.37</v>
      </c>
      <c r="N1109" t="s">
        <v>8</v>
      </c>
      <c r="O1109" t="s">
        <v>28</v>
      </c>
      <c r="P1109" t="s">
        <v>79</v>
      </c>
      <c r="Q1109" t="s">
        <v>2078</v>
      </c>
      <c r="R1109">
        <v>60110</v>
      </c>
      <c r="S1109" s="1">
        <v>42103</v>
      </c>
      <c r="T1109" s="1">
        <v>42103</v>
      </c>
      <c r="U1109">
        <v>-255.16890000000001</v>
      </c>
      <c r="V1109">
        <v>21</v>
      </c>
      <c r="W1109">
        <v>85.64</v>
      </c>
      <c r="X1109">
        <v>87877</v>
      </c>
      <c r="Y1109">
        <f>cleaneddata[[#This Row],[Unit Price]]-cleaneddata[[#This Row],[Discount]]</f>
        <v>3.89</v>
      </c>
      <c r="Z11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10" spans="1:26" x14ac:dyDescent="0.3">
      <c r="A1110">
        <v>1250</v>
      </c>
      <c r="B1110" t="s">
        <v>2077</v>
      </c>
      <c r="C1110" t="s">
        <v>13</v>
      </c>
      <c r="D1110">
        <v>0.09</v>
      </c>
      <c r="E1110">
        <v>120.98</v>
      </c>
      <c r="F1110">
        <v>30</v>
      </c>
      <c r="G1110" t="s">
        <v>2</v>
      </c>
      <c r="H1110" t="s">
        <v>70</v>
      </c>
      <c r="I1110" t="s">
        <v>4</v>
      </c>
      <c r="J1110" t="s">
        <v>85</v>
      </c>
      <c r="K1110" t="s">
        <v>33</v>
      </c>
      <c r="L1110" t="s">
        <v>1101</v>
      </c>
      <c r="M1110">
        <v>0.64</v>
      </c>
      <c r="N1110" t="s">
        <v>8</v>
      </c>
      <c r="O1110" t="s">
        <v>28</v>
      </c>
      <c r="P1110" t="s">
        <v>79</v>
      </c>
      <c r="Q1110" t="s">
        <v>2078</v>
      </c>
      <c r="R1110">
        <v>60110</v>
      </c>
      <c r="S1110" s="1">
        <v>42103</v>
      </c>
      <c r="T1110" s="1">
        <v>42105</v>
      </c>
      <c r="U1110">
        <v>74.004800000000003</v>
      </c>
      <c r="V1110">
        <v>22</v>
      </c>
      <c r="W1110">
        <v>2508.15</v>
      </c>
      <c r="X1110">
        <v>87877</v>
      </c>
      <c r="Y1110">
        <f>cleaneddata[[#This Row],[Unit Price]]-cleaneddata[[#This Row],[Discount]]</f>
        <v>120.89</v>
      </c>
      <c r="Z11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11" spans="1:26" x14ac:dyDescent="0.3">
      <c r="A1111">
        <v>1250</v>
      </c>
      <c r="B1111" t="s">
        <v>2077</v>
      </c>
      <c r="C1111" t="s">
        <v>13</v>
      </c>
      <c r="D1111">
        <v>0.1</v>
      </c>
      <c r="E1111">
        <v>30.98</v>
      </c>
      <c r="F1111">
        <v>5.76</v>
      </c>
      <c r="G1111" t="s">
        <v>14</v>
      </c>
      <c r="H1111" t="s">
        <v>70</v>
      </c>
      <c r="I1111" t="s">
        <v>24</v>
      </c>
      <c r="J1111" t="s">
        <v>64</v>
      </c>
      <c r="K1111" t="s">
        <v>49</v>
      </c>
      <c r="L1111" t="s">
        <v>715</v>
      </c>
      <c r="M1111">
        <v>0.4</v>
      </c>
      <c r="N1111" t="s">
        <v>8</v>
      </c>
      <c r="O1111" t="s">
        <v>28</v>
      </c>
      <c r="P1111" t="s">
        <v>79</v>
      </c>
      <c r="Q1111" t="s">
        <v>2078</v>
      </c>
      <c r="R1111">
        <v>60110</v>
      </c>
      <c r="S1111" s="1">
        <v>42103</v>
      </c>
      <c r="T1111" s="1">
        <v>42104</v>
      </c>
      <c r="U1111">
        <v>109.4248</v>
      </c>
      <c r="V1111">
        <v>8</v>
      </c>
      <c r="W1111">
        <v>225.62</v>
      </c>
      <c r="X1111">
        <v>87877</v>
      </c>
      <c r="Y1111">
        <f>cleaneddata[[#This Row],[Unit Price]]-cleaneddata[[#This Row],[Discount]]</f>
        <v>30.88</v>
      </c>
      <c r="Z111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12" spans="1:26" x14ac:dyDescent="0.3">
      <c r="A1112">
        <v>2488</v>
      </c>
      <c r="B1112" t="s">
        <v>2079</v>
      </c>
      <c r="C1112" t="s">
        <v>13</v>
      </c>
      <c r="D1112">
        <v>0.08</v>
      </c>
      <c r="E1112">
        <v>4.91</v>
      </c>
      <c r="F1112">
        <v>0.5</v>
      </c>
      <c r="G1112" t="s">
        <v>14</v>
      </c>
      <c r="H1112" t="s">
        <v>15</v>
      </c>
      <c r="I1112" t="s">
        <v>24</v>
      </c>
      <c r="J1112" t="s">
        <v>128</v>
      </c>
      <c r="K1112" t="s">
        <v>49</v>
      </c>
      <c r="L1112" t="s">
        <v>949</v>
      </c>
      <c r="M1112">
        <v>0.36</v>
      </c>
      <c r="N1112" t="s">
        <v>8</v>
      </c>
      <c r="O1112" t="s">
        <v>9</v>
      </c>
      <c r="P1112" t="s">
        <v>20</v>
      </c>
      <c r="Q1112" t="s">
        <v>2080</v>
      </c>
      <c r="R1112">
        <v>72023</v>
      </c>
      <c r="S1112" s="1">
        <v>42103</v>
      </c>
      <c r="T1112" s="1">
        <v>42103</v>
      </c>
      <c r="U1112">
        <v>12.726000000000001</v>
      </c>
      <c r="V1112">
        <v>9</v>
      </c>
      <c r="W1112">
        <v>42.69</v>
      </c>
      <c r="X1112">
        <v>86887</v>
      </c>
      <c r="Y1112">
        <f>cleaneddata[[#This Row],[Unit Price]]-cleaneddata[[#This Row],[Discount]]</f>
        <v>4.83</v>
      </c>
      <c r="Z111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13" spans="1:26" x14ac:dyDescent="0.3">
      <c r="A1113">
        <v>2488</v>
      </c>
      <c r="B1113" t="s">
        <v>2079</v>
      </c>
      <c r="C1113" t="s">
        <v>13</v>
      </c>
      <c r="D1113">
        <v>0.02</v>
      </c>
      <c r="E1113">
        <v>28.15</v>
      </c>
      <c r="F1113">
        <v>6.17</v>
      </c>
      <c r="G1113" t="s">
        <v>14</v>
      </c>
      <c r="H1113" t="s">
        <v>15</v>
      </c>
      <c r="I1113" t="s">
        <v>24</v>
      </c>
      <c r="J1113" t="s">
        <v>25</v>
      </c>
      <c r="K1113" t="s">
        <v>18</v>
      </c>
      <c r="L1113" t="s">
        <v>595</v>
      </c>
      <c r="M1113">
        <v>0.55000000000000004</v>
      </c>
      <c r="N1113" t="s">
        <v>8</v>
      </c>
      <c r="O1113" t="s">
        <v>9</v>
      </c>
      <c r="P1113" t="s">
        <v>20</v>
      </c>
      <c r="Q1113" t="s">
        <v>2080</v>
      </c>
      <c r="R1113">
        <v>72023</v>
      </c>
      <c r="S1113" s="1">
        <v>42103</v>
      </c>
      <c r="T1113" s="1">
        <v>42104</v>
      </c>
      <c r="U1113">
        <v>160.8066</v>
      </c>
      <c r="V1113">
        <v>11</v>
      </c>
      <c r="W1113">
        <v>327.41000000000003</v>
      </c>
      <c r="X1113">
        <v>86887</v>
      </c>
      <c r="Y1113">
        <f>cleaneddata[[#This Row],[Unit Price]]-cleaneddata[[#This Row],[Discount]]</f>
        <v>28.13</v>
      </c>
      <c r="Z11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14" spans="1:26" x14ac:dyDescent="0.3">
      <c r="A1114">
        <v>2491</v>
      </c>
      <c r="B1114" t="s">
        <v>433</v>
      </c>
      <c r="C1114" t="s">
        <v>13</v>
      </c>
      <c r="D1114">
        <v>0.08</v>
      </c>
      <c r="E1114">
        <v>4.91</v>
      </c>
      <c r="F1114">
        <v>0.5</v>
      </c>
      <c r="G1114" t="s">
        <v>14</v>
      </c>
      <c r="H1114" t="s">
        <v>15</v>
      </c>
      <c r="I1114" t="s">
        <v>24</v>
      </c>
      <c r="J1114" t="s">
        <v>128</v>
      </c>
      <c r="K1114" t="s">
        <v>49</v>
      </c>
      <c r="L1114" t="s">
        <v>949</v>
      </c>
      <c r="M1114">
        <v>0.36</v>
      </c>
      <c r="N1114" t="s">
        <v>8</v>
      </c>
      <c r="O1114" t="s">
        <v>35</v>
      </c>
      <c r="P1114" t="s">
        <v>66</v>
      </c>
      <c r="Q1114" t="s">
        <v>76</v>
      </c>
      <c r="R1114">
        <v>90045</v>
      </c>
      <c r="S1114" s="1">
        <v>42103</v>
      </c>
      <c r="T1114" s="1">
        <v>42103</v>
      </c>
      <c r="U1114">
        <v>31.751999999999999</v>
      </c>
      <c r="V1114">
        <v>36</v>
      </c>
      <c r="W1114">
        <v>170.75</v>
      </c>
      <c r="X1114">
        <v>14785</v>
      </c>
      <c r="Y1114">
        <f>cleaneddata[[#This Row],[Unit Price]]-cleaneddata[[#This Row],[Discount]]</f>
        <v>4.83</v>
      </c>
      <c r="Z111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15" spans="1:26" x14ac:dyDescent="0.3">
      <c r="A1115">
        <v>2491</v>
      </c>
      <c r="B1115" t="s">
        <v>433</v>
      </c>
      <c r="C1115" t="s">
        <v>13</v>
      </c>
      <c r="D1115">
        <v>0.02</v>
      </c>
      <c r="E1115">
        <v>28.15</v>
      </c>
      <c r="F1115">
        <v>6.17</v>
      </c>
      <c r="G1115" t="s">
        <v>14</v>
      </c>
      <c r="H1115" t="s">
        <v>15</v>
      </c>
      <c r="I1115" t="s">
        <v>24</v>
      </c>
      <c r="J1115" t="s">
        <v>25</v>
      </c>
      <c r="K1115" t="s">
        <v>18</v>
      </c>
      <c r="L1115" t="s">
        <v>595</v>
      </c>
      <c r="M1115">
        <v>0.55000000000000004</v>
      </c>
      <c r="N1115" t="s">
        <v>8</v>
      </c>
      <c r="O1115" t="s">
        <v>35</v>
      </c>
      <c r="P1115" t="s">
        <v>66</v>
      </c>
      <c r="Q1115" t="s">
        <v>76</v>
      </c>
      <c r="R1115">
        <v>90045</v>
      </c>
      <c r="S1115" s="1">
        <v>42103</v>
      </c>
      <c r="T1115" s="1">
        <v>42104</v>
      </c>
      <c r="U1115">
        <v>117.208</v>
      </c>
      <c r="V1115">
        <v>45</v>
      </c>
      <c r="W1115">
        <v>1339.42</v>
      </c>
      <c r="X1115">
        <v>14785</v>
      </c>
      <c r="Y1115">
        <f>cleaneddata[[#This Row],[Unit Price]]-cleaneddata[[#This Row],[Discount]]</f>
        <v>28.13</v>
      </c>
      <c r="Z111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16" spans="1:26" x14ac:dyDescent="0.3">
      <c r="A1116">
        <v>115</v>
      </c>
      <c r="B1116" t="s">
        <v>2081</v>
      </c>
      <c r="C1116" t="s">
        <v>23</v>
      </c>
      <c r="D1116">
        <v>7.0000000000000007E-2</v>
      </c>
      <c r="E1116">
        <v>2.12</v>
      </c>
      <c r="F1116">
        <v>1.99</v>
      </c>
      <c r="G1116" t="s">
        <v>14</v>
      </c>
      <c r="H1116" t="s">
        <v>47</v>
      </c>
      <c r="I1116" t="s">
        <v>16</v>
      </c>
      <c r="J1116" t="s">
        <v>17</v>
      </c>
      <c r="K1116" t="s">
        <v>18</v>
      </c>
      <c r="L1116" t="s">
        <v>2082</v>
      </c>
      <c r="M1116">
        <v>0.55000000000000004</v>
      </c>
      <c r="N1116" t="s">
        <v>8</v>
      </c>
      <c r="O1116" t="s">
        <v>35</v>
      </c>
      <c r="P1116" t="s">
        <v>115</v>
      </c>
      <c r="Q1116" t="s">
        <v>2083</v>
      </c>
      <c r="R1116">
        <v>97128</v>
      </c>
      <c r="S1116" s="1">
        <v>42103</v>
      </c>
      <c r="T1116" s="1">
        <v>42105</v>
      </c>
      <c r="U1116">
        <v>-55.84</v>
      </c>
      <c r="V1116">
        <v>12</v>
      </c>
      <c r="W1116">
        <v>26.07</v>
      </c>
      <c r="X1116">
        <v>89585</v>
      </c>
      <c r="Y1116">
        <f>cleaneddata[[#This Row],[Unit Price]]-cleaneddata[[#This Row],[Discount]]</f>
        <v>2.0500000000000003</v>
      </c>
      <c r="Z111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17" spans="1:26" x14ac:dyDescent="0.3">
      <c r="A1117">
        <v>117</v>
      </c>
      <c r="B1117" t="s">
        <v>117</v>
      </c>
      <c r="C1117" t="s">
        <v>23</v>
      </c>
      <c r="D1117">
        <v>7.0000000000000007E-2</v>
      </c>
      <c r="E1117">
        <v>2.12</v>
      </c>
      <c r="F1117">
        <v>1.99</v>
      </c>
      <c r="G1117" t="s">
        <v>14</v>
      </c>
      <c r="H1117" t="s">
        <v>47</v>
      </c>
      <c r="I1117" t="s">
        <v>16</v>
      </c>
      <c r="J1117" t="s">
        <v>17</v>
      </c>
      <c r="K1117" t="s">
        <v>18</v>
      </c>
      <c r="L1117" t="s">
        <v>2082</v>
      </c>
      <c r="M1117">
        <v>0.55000000000000004</v>
      </c>
      <c r="N1117" t="s">
        <v>8</v>
      </c>
      <c r="O1117" t="s">
        <v>35</v>
      </c>
      <c r="P1117" t="s">
        <v>42</v>
      </c>
      <c r="Q1117" t="s">
        <v>118</v>
      </c>
      <c r="R1117">
        <v>98103</v>
      </c>
      <c r="S1117" s="1">
        <v>42103</v>
      </c>
      <c r="T1117" s="1">
        <v>42105</v>
      </c>
      <c r="U1117">
        <v>-55.84</v>
      </c>
      <c r="V1117">
        <v>46</v>
      </c>
      <c r="W1117">
        <v>99.94</v>
      </c>
      <c r="X1117">
        <v>58914</v>
      </c>
      <c r="Y1117">
        <f>cleaneddata[[#This Row],[Unit Price]]-cleaneddata[[#This Row],[Discount]]</f>
        <v>2.0500000000000003</v>
      </c>
      <c r="Z11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18" spans="1:26" x14ac:dyDescent="0.3">
      <c r="A1118">
        <v>2851</v>
      </c>
      <c r="B1118" t="s">
        <v>2084</v>
      </c>
      <c r="C1118" t="s">
        <v>23</v>
      </c>
      <c r="D1118">
        <v>0.05</v>
      </c>
      <c r="E1118">
        <v>115.99</v>
      </c>
      <c r="F1118">
        <v>8.99</v>
      </c>
      <c r="G1118" t="s">
        <v>14</v>
      </c>
      <c r="H1118" t="s">
        <v>15</v>
      </c>
      <c r="I1118" t="s">
        <v>16</v>
      </c>
      <c r="J1118" t="s">
        <v>111</v>
      </c>
      <c r="K1118" t="s">
        <v>49</v>
      </c>
      <c r="L1118" t="s">
        <v>2085</v>
      </c>
      <c r="M1118">
        <v>0.57999999999999996</v>
      </c>
      <c r="N1118" t="s">
        <v>8</v>
      </c>
      <c r="O1118" t="s">
        <v>28</v>
      </c>
      <c r="P1118" t="s">
        <v>163</v>
      </c>
      <c r="Q1118" t="s">
        <v>2086</v>
      </c>
      <c r="R1118">
        <v>79762</v>
      </c>
      <c r="S1118" s="1">
        <v>42103</v>
      </c>
      <c r="T1118" s="1">
        <v>42107</v>
      </c>
      <c r="U1118">
        <v>719.35260000000005</v>
      </c>
      <c r="V1118">
        <v>11</v>
      </c>
      <c r="W1118">
        <v>1042.54</v>
      </c>
      <c r="X1118">
        <v>86454</v>
      </c>
      <c r="Y1118">
        <f>cleaneddata[[#This Row],[Unit Price]]-cleaneddata[[#This Row],[Discount]]</f>
        <v>115.94</v>
      </c>
      <c r="Z111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19" spans="1:26" x14ac:dyDescent="0.3">
      <c r="A1119">
        <v>1271</v>
      </c>
      <c r="B1119" t="s">
        <v>2087</v>
      </c>
      <c r="C1119" t="s">
        <v>92</v>
      </c>
      <c r="D1119">
        <v>7.0000000000000007E-2</v>
      </c>
      <c r="E1119">
        <v>125.99</v>
      </c>
      <c r="F1119">
        <v>7.69</v>
      </c>
      <c r="G1119" t="s">
        <v>14</v>
      </c>
      <c r="H1119" t="s">
        <v>70</v>
      </c>
      <c r="I1119" t="s">
        <v>16</v>
      </c>
      <c r="J1119" t="s">
        <v>111</v>
      </c>
      <c r="K1119" t="s">
        <v>49</v>
      </c>
      <c r="L1119" t="s">
        <v>621</v>
      </c>
      <c r="M1119">
        <v>0.59</v>
      </c>
      <c r="N1119" t="s">
        <v>8</v>
      </c>
      <c r="O1119" t="s">
        <v>35</v>
      </c>
      <c r="P1119" t="s">
        <v>66</v>
      </c>
      <c r="Q1119" t="s">
        <v>2088</v>
      </c>
      <c r="R1119">
        <v>91941</v>
      </c>
      <c r="S1119" s="1">
        <v>42103</v>
      </c>
      <c r="T1119" s="1">
        <v>42104</v>
      </c>
      <c r="U1119">
        <v>588.24570000000006</v>
      </c>
      <c r="V1119">
        <v>8</v>
      </c>
      <c r="W1119">
        <v>852.53</v>
      </c>
      <c r="X1119">
        <v>88410</v>
      </c>
      <c r="Y1119">
        <f>cleaneddata[[#This Row],[Unit Price]]-cleaneddata[[#This Row],[Discount]]</f>
        <v>125.92</v>
      </c>
      <c r="Z11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20" spans="1:26" x14ac:dyDescent="0.3">
      <c r="A1120">
        <v>191</v>
      </c>
      <c r="B1120" t="s">
        <v>1097</v>
      </c>
      <c r="C1120" t="s">
        <v>46</v>
      </c>
      <c r="D1120">
        <v>0.05</v>
      </c>
      <c r="E1120">
        <v>3.8</v>
      </c>
      <c r="F1120">
        <v>1.49</v>
      </c>
      <c r="G1120" t="s">
        <v>14</v>
      </c>
      <c r="H1120" t="s">
        <v>70</v>
      </c>
      <c r="I1120" t="s">
        <v>24</v>
      </c>
      <c r="J1120" t="s">
        <v>48</v>
      </c>
      <c r="K1120" t="s">
        <v>49</v>
      </c>
      <c r="L1120" t="s">
        <v>1168</v>
      </c>
      <c r="M1120">
        <v>0.38</v>
      </c>
      <c r="N1120" t="s">
        <v>8</v>
      </c>
      <c r="O1120" t="s">
        <v>28</v>
      </c>
      <c r="P1120" t="s">
        <v>79</v>
      </c>
      <c r="Q1120" t="s">
        <v>1099</v>
      </c>
      <c r="R1120">
        <v>60505</v>
      </c>
      <c r="S1120" s="1">
        <v>42103</v>
      </c>
      <c r="T1120" s="1">
        <v>42105</v>
      </c>
      <c r="U1120">
        <v>14.467000000000001</v>
      </c>
      <c r="V1120">
        <v>14</v>
      </c>
      <c r="W1120">
        <v>53.26</v>
      </c>
      <c r="X1120">
        <v>89093</v>
      </c>
      <c r="Y1120">
        <f>cleaneddata[[#This Row],[Unit Price]]-cleaneddata[[#This Row],[Discount]]</f>
        <v>3.75</v>
      </c>
      <c r="Z112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21" spans="1:26" x14ac:dyDescent="0.3">
      <c r="A1121">
        <v>191</v>
      </c>
      <c r="B1121" t="s">
        <v>1097</v>
      </c>
      <c r="C1121" t="s">
        <v>46</v>
      </c>
      <c r="D1121">
        <v>0.09</v>
      </c>
      <c r="E1121">
        <v>30.73</v>
      </c>
      <c r="F1121">
        <v>4</v>
      </c>
      <c r="G1121" t="s">
        <v>14</v>
      </c>
      <c r="H1121" t="s">
        <v>70</v>
      </c>
      <c r="I1121" t="s">
        <v>16</v>
      </c>
      <c r="J1121" t="s">
        <v>17</v>
      </c>
      <c r="K1121" t="s">
        <v>49</v>
      </c>
      <c r="L1121" t="s">
        <v>650</v>
      </c>
      <c r="M1121">
        <v>0.75</v>
      </c>
      <c r="N1121" t="s">
        <v>8</v>
      </c>
      <c r="O1121" t="s">
        <v>28</v>
      </c>
      <c r="P1121" t="s">
        <v>79</v>
      </c>
      <c r="Q1121" t="s">
        <v>1099</v>
      </c>
      <c r="R1121">
        <v>60505</v>
      </c>
      <c r="S1121" s="1">
        <v>42103</v>
      </c>
      <c r="T1121" s="1">
        <v>42103</v>
      </c>
      <c r="U1121">
        <v>-99.986400000000003</v>
      </c>
      <c r="V1121">
        <v>7</v>
      </c>
      <c r="W1121">
        <v>203.49</v>
      </c>
      <c r="X1121">
        <v>89093</v>
      </c>
      <c r="Y1121">
        <f>cleaneddata[[#This Row],[Unit Price]]-cleaneddata[[#This Row],[Discount]]</f>
        <v>30.64</v>
      </c>
      <c r="Z112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22" spans="1:26" x14ac:dyDescent="0.3">
      <c r="A1122">
        <v>191</v>
      </c>
      <c r="B1122" t="s">
        <v>1097</v>
      </c>
      <c r="C1122" t="s">
        <v>46</v>
      </c>
      <c r="D1122">
        <v>0</v>
      </c>
      <c r="E1122">
        <v>125.99</v>
      </c>
      <c r="F1122">
        <v>8.08</v>
      </c>
      <c r="G1122" t="s">
        <v>14</v>
      </c>
      <c r="H1122" t="s">
        <v>70</v>
      </c>
      <c r="I1122" t="s">
        <v>16</v>
      </c>
      <c r="J1122" t="s">
        <v>111</v>
      </c>
      <c r="K1122" t="s">
        <v>49</v>
      </c>
      <c r="L1122" t="s">
        <v>2089</v>
      </c>
      <c r="M1122">
        <v>0.56999999999999995</v>
      </c>
      <c r="N1122" t="s">
        <v>8</v>
      </c>
      <c r="O1122" t="s">
        <v>28</v>
      </c>
      <c r="P1122" t="s">
        <v>79</v>
      </c>
      <c r="Q1122" t="s">
        <v>1099</v>
      </c>
      <c r="R1122">
        <v>60505</v>
      </c>
      <c r="S1122" s="1">
        <v>42103</v>
      </c>
      <c r="T1122" s="1">
        <v>42104</v>
      </c>
      <c r="U1122">
        <v>1348.59672</v>
      </c>
      <c r="V1122">
        <v>22</v>
      </c>
      <c r="W1122">
        <v>2356.0100000000002</v>
      </c>
      <c r="X1122">
        <v>89093</v>
      </c>
      <c r="Y1122">
        <f>cleaneddata[[#This Row],[Unit Price]]-cleaneddata[[#This Row],[Discount]]</f>
        <v>125.99</v>
      </c>
      <c r="Z112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23" spans="1:26" x14ac:dyDescent="0.3">
      <c r="A1123">
        <v>1634</v>
      </c>
      <c r="B1123" t="s">
        <v>2090</v>
      </c>
      <c r="C1123" t="s">
        <v>46</v>
      </c>
      <c r="D1123">
        <v>0.08</v>
      </c>
      <c r="E1123">
        <v>100.97</v>
      </c>
      <c r="F1123">
        <v>14</v>
      </c>
      <c r="G1123" t="s">
        <v>2</v>
      </c>
      <c r="H1123" t="s">
        <v>47</v>
      </c>
      <c r="I1123" t="s">
        <v>16</v>
      </c>
      <c r="J1123" t="s">
        <v>32</v>
      </c>
      <c r="K1123" t="s">
        <v>33</v>
      </c>
      <c r="L1123" t="s">
        <v>2091</v>
      </c>
      <c r="M1123">
        <v>0.37</v>
      </c>
      <c r="N1123" t="s">
        <v>8</v>
      </c>
      <c r="O1123" t="s">
        <v>9</v>
      </c>
      <c r="P1123" t="s">
        <v>10</v>
      </c>
      <c r="Q1123" t="s">
        <v>2092</v>
      </c>
      <c r="R1123">
        <v>39212</v>
      </c>
      <c r="S1123" s="1">
        <v>42103</v>
      </c>
      <c r="T1123" s="1">
        <v>42104</v>
      </c>
      <c r="U1123">
        <v>-73.494119999999995</v>
      </c>
      <c r="V1123">
        <v>15</v>
      </c>
      <c r="W1123">
        <v>1483.16</v>
      </c>
      <c r="X1123">
        <v>90532</v>
      </c>
      <c r="Y1123">
        <f>cleaneddata[[#This Row],[Unit Price]]-cleaneddata[[#This Row],[Discount]]</f>
        <v>100.89</v>
      </c>
      <c r="Z11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24" spans="1:26" x14ac:dyDescent="0.3">
      <c r="A1124">
        <v>2334</v>
      </c>
      <c r="B1124" t="s">
        <v>2014</v>
      </c>
      <c r="C1124" t="s">
        <v>46</v>
      </c>
      <c r="D1124">
        <v>0.05</v>
      </c>
      <c r="E1124">
        <v>14.81</v>
      </c>
      <c r="F1124">
        <v>13.32</v>
      </c>
      <c r="G1124" t="s">
        <v>14</v>
      </c>
      <c r="H1124" t="s">
        <v>3</v>
      </c>
      <c r="I1124" t="s">
        <v>24</v>
      </c>
      <c r="J1124" t="s">
        <v>71</v>
      </c>
      <c r="K1124" t="s">
        <v>49</v>
      </c>
      <c r="L1124" t="s">
        <v>570</v>
      </c>
      <c r="M1124">
        <v>0.43</v>
      </c>
      <c r="N1124" t="s">
        <v>8</v>
      </c>
      <c r="O1124" t="s">
        <v>28</v>
      </c>
      <c r="P1124" t="s">
        <v>333</v>
      </c>
      <c r="Q1124" t="s">
        <v>2015</v>
      </c>
      <c r="R1124">
        <v>53220</v>
      </c>
      <c r="S1124" s="1">
        <v>42103</v>
      </c>
      <c r="T1124" s="1">
        <v>42105</v>
      </c>
      <c r="U1124">
        <v>-190.49</v>
      </c>
      <c r="V1124">
        <v>8</v>
      </c>
      <c r="W1124">
        <v>115.99</v>
      </c>
      <c r="X1124">
        <v>89609</v>
      </c>
      <c r="Y1124">
        <f>cleaneddata[[#This Row],[Unit Price]]-cleaneddata[[#This Row],[Discount]]</f>
        <v>14.76</v>
      </c>
      <c r="Z11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25" spans="1:26" x14ac:dyDescent="0.3">
      <c r="A1125">
        <v>2334</v>
      </c>
      <c r="B1125" t="s">
        <v>2014</v>
      </c>
      <c r="C1125" t="s">
        <v>46</v>
      </c>
      <c r="D1125">
        <v>0.08</v>
      </c>
      <c r="E1125">
        <v>2.78</v>
      </c>
      <c r="F1125">
        <v>1.25</v>
      </c>
      <c r="G1125" t="s">
        <v>14</v>
      </c>
      <c r="H1125" t="s">
        <v>3</v>
      </c>
      <c r="I1125" t="s">
        <v>24</v>
      </c>
      <c r="J1125" t="s">
        <v>25</v>
      </c>
      <c r="K1125" t="s">
        <v>26</v>
      </c>
      <c r="L1125" t="s">
        <v>358</v>
      </c>
      <c r="M1125">
        <v>0.59</v>
      </c>
      <c r="N1125" t="s">
        <v>8</v>
      </c>
      <c r="O1125" t="s">
        <v>28</v>
      </c>
      <c r="P1125" t="s">
        <v>333</v>
      </c>
      <c r="Q1125" t="s">
        <v>2015</v>
      </c>
      <c r="R1125">
        <v>53220</v>
      </c>
      <c r="S1125" s="1">
        <v>42103</v>
      </c>
      <c r="T1125" s="1">
        <v>42104</v>
      </c>
      <c r="U1125">
        <v>-8.77</v>
      </c>
      <c r="V1125">
        <v>7</v>
      </c>
      <c r="W1125">
        <v>19.46</v>
      </c>
      <c r="X1125">
        <v>89609</v>
      </c>
      <c r="Y1125">
        <f>cleaneddata[[#This Row],[Unit Price]]-cleaneddata[[#This Row],[Discount]]</f>
        <v>2.6999999999999997</v>
      </c>
      <c r="Z11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26" spans="1:26" x14ac:dyDescent="0.3">
      <c r="A1126">
        <v>2847</v>
      </c>
      <c r="B1126" t="s">
        <v>2093</v>
      </c>
      <c r="C1126" t="s">
        <v>46</v>
      </c>
      <c r="D1126">
        <v>0.04</v>
      </c>
      <c r="E1126">
        <v>90.48</v>
      </c>
      <c r="F1126">
        <v>19.989999999999998</v>
      </c>
      <c r="G1126" t="s">
        <v>14</v>
      </c>
      <c r="H1126" t="s">
        <v>70</v>
      </c>
      <c r="I1126" t="s">
        <v>24</v>
      </c>
      <c r="J1126" t="s">
        <v>321</v>
      </c>
      <c r="K1126" t="s">
        <v>49</v>
      </c>
      <c r="L1126" t="s">
        <v>478</v>
      </c>
      <c r="M1126">
        <v>0.4</v>
      </c>
      <c r="N1126" t="s">
        <v>8</v>
      </c>
      <c r="O1126" t="s">
        <v>9</v>
      </c>
      <c r="P1126" t="s">
        <v>376</v>
      </c>
      <c r="Q1126" t="s">
        <v>2094</v>
      </c>
      <c r="R1126">
        <v>38017</v>
      </c>
      <c r="S1126" s="1">
        <v>42103</v>
      </c>
      <c r="T1126" s="1">
        <v>42105</v>
      </c>
      <c r="U1126">
        <v>55.555199999999999</v>
      </c>
      <c r="V1126">
        <v>3</v>
      </c>
      <c r="W1126">
        <v>268.64</v>
      </c>
      <c r="X1126">
        <v>85928</v>
      </c>
      <c r="Y1126">
        <f>cleaneddata[[#This Row],[Unit Price]]-cleaneddata[[#This Row],[Discount]]</f>
        <v>90.44</v>
      </c>
      <c r="Z112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27" spans="1:26" x14ac:dyDescent="0.3">
      <c r="A1127">
        <v>2847</v>
      </c>
      <c r="B1127" t="s">
        <v>2093</v>
      </c>
      <c r="C1127" t="s">
        <v>46</v>
      </c>
      <c r="D1127">
        <v>0.02</v>
      </c>
      <c r="E1127">
        <v>9.77</v>
      </c>
      <c r="F1127">
        <v>6.02</v>
      </c>
      <c r="G1127" t="s">
        <v>14</v>
      </c>
      <c r="H1127" t="s">
        <v>70</v>
      </c>
      <c r="I1127" t="s">
        <v>4</v>
      </c>
      <c r="J1127" t="s">
        <v>102</v>
      </c>
      <c r="K1127" t="s">
        <v>120</v>
      </c>
      <c r="L1127" t="s">
        <v>2095</v>
      </c>
      <c r="M1127">
        <v>0.48</v>
      </c>
      <c r="N1127" t="s">
        <v>8</v>
      </c>
      <c r="O1127" t="s">
        <v>9</v>
      </c>
      <c r="P1127" t="s">
        <v>376</v>
      </c>
      <c r="Q1127" t="s">
        <v>2094</v>
      </c>
      <c r="R1127">
        <v>38017</v>
      </c>
      <c r="S1127" s="1">
        <v>42103</v>
      </c>
      <c r="T1127" s="1">
        <v>42104</v>
      </c>
      <c r="U1127">
        <v>-535.33199999999999</v>
      </c>
      <c r="V1127">
        <v>9</v>
      </c>
      <c r="W1127">
        <v>87.68</v>
      </c>
      <c r="X1127">
        <v>85928</v>
      </c>
      <c r="Y1127">
        <f>cleaneddata[[#This Row],[Unit Price]]-cleaneddata[[#This Row],[Discount]]</f>
        <v>9.75</v>
      </c>
      <c r="Z112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28" spans="1:26" x14ac:dyDescent="0.3">
      <c r="A1128">
        <v>2847</v>
      </c>
      <c r="B1128" t="s">
        <v>2093</v>
      </c>
      <c r="C1128" t="s">
        <v>46</v>
      </c>
      <c r="D1128">
        <v>0.09</v>
      </c>
      <c r="E1128">
        <v>34.99</v>
      </c>
      <c r="F1128">
        <v>7.73</v>
      </c>
      <c r="G1128" t="s">
        <v>14</v>
      </c>
      <c r="H1128" t="s">
        <v>70</v>
      </c>
      <c r="I1128" t="s">
        <v>24</v>
      </c>
      <c r="J1128" t="s">
        <v>25</v>
      </c>
      <c r="K1128" t="s">
        <v>49</v>
      </c>
      <c r="L1128" t="s">
        <v>1280</v>
      </c>
      <c r="M1128">
        <v>0.59</v>
      </c>
      <c r="N1128" t="s">
        <v>8</v>
      </c>
      <c r="O1128" t="s">
        <v>9</v>
      </c>
      <c r="P1128" t="s">
        <v>376</v>
      </c>
      <c r="Q1128" t="s">
        <v>2094</v>
      </c>
      <c r="R1128">
        <v>38017</v>
      </c>
      <c r="S1128" s="1">
        <v>42103</v>
      </c>
      <c r="T1128" s="1">
        <v>42105</v>
      </c>
      <c r="U1128">
        <v>-208.72040000000001</v>
      </c>
      <c r="V1128">
        <v>1</v>
      </c>
      <c r="W1128">
        <v>37.619999999999997</v>
      </c>
      <c r="X1128">
        <v>85928</v>
      </c>
      <c r="Y1128">
        <f>cleaneddata[[#This Row],[Unit Price]]-cleaneddata[[#This Row],[Discount]]</f>
        <v>34.9</v>
      </c>
      <c r="Z112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29" spans="1:26" x14ac:dyDescent="0.3">
      <c r="A1129">
        <v>1602</v>
      </c>
      <c r="B1129" t="s">
        <v>2096</v>
      </c>
      <c r="C1129" t="s">
        <v>1</v>
      </c>
      <c r="D1129">
        <v>0.1</v>
      </c>
      <c r="E1129">
        <v>9.11</v>
      </c>
      <c r="F1129">
        <v>2.15</v>
      </c>
      <c r="G1129" t="s">
        <v>14</v>
      </c>
      <c r="H1129" t="s">
        <v>47</v>
      </c>
      <c r="I1129" t="s">
        <v>24</v>
      </c>
      <c r="J1129" t="s">
        <v>64</v>
      </c>
      <c r="K1129" t="s">
        <v>26</v>
      </c>
      <c r="L1129" t="s">
        <v>65</v>
      </c>
      <c r="M1129">
        <v>0.4</v>
      </c>
      <c r="N1129" t="s">
        <v>8</v>
      </c>
      <c r="O1129" t="s">
        <v>87</v>
      </c>
      <c r="P1129" t="s">
        <v>394</v>
      </c>
      <c r="Q1129" t="s">
        <v>2097</v>
      </c>
      <c r="R1129">
        <v>20601</v>
      </c>
      <c r="S1129" s="1">
        <v>42104</v>
      </c>
      <c r="T1129" s="1">
        <v>42106</v>
      </c>
      <c r="U1129">
        <v>-3.9312</v>
      </c>
      <c r="V1129">
        <v>2</v>
      </c>
      <c r="W1129">
        <v>17.420000000000002</v>
      </c>
      <c r="X1129">
        <v>89680</v>
      </c>
      <c r="Y1129">
        <f>cleaneddata[[#This Row],[Unit Price]]-cleaneddata[[#This Row],[Discount]]</f>
        <v>9.01</v>
      </c>
      <c r="Z112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30" spans="1:26" x14ac:dyDescent="0.3">
      <c r="A1130">
        <v>451</v>
      </c>
      <c r="B1130" t="s">
        <v>195</v>
      </c>
      <c r="C1130" t="s">
        <v>13</v>
      </c>
      <c r="D1130">
        <v>0.03</v>
      </c>
      <c r="E1130">
        <v>15.99</v>
      </c>
      <c r="F1130">
        <v>11.28</v>
      </c>
      <c r="G1130" t="s">
        <v>14</v>
      </c>
      <c r="H1130" t="s">
        <v>47</v>
      </c>
      <c r="I1130" t="s">
        <v>16</v>
      </c>
      <c r="J1130" t="s">
        <v>32</v>
      </c>
      <c r="K1130" t="s">
        <v>120</v>
      </c>
      <c r="L1130" t="s">
        <v>1182</v>
      </c>
      <c r="M1130">
        <v>0.38</v>
      </c>
      <c r="N1130" t="s">
        <v>8</v>
      </c>
      <c r="O1130" t="s">
        <v>35</v>
      </c>
      <c r="P1130" t="s">
        <v>66</v>
      </c>
      <c r="Q1130" t="s">
        <v>197</v>
      </c>
      <c r="R1130">
        <v>94024</v>
      </c>
      <c r="S1130" s="1">
        <v>42104</v>
      </c>
      <c r="T1130" s="1">
        <v>42105</v>
      </c>
      <c r="U1130">
        <v>-53.296199999999999</v>
      </c>
      <c r="V1130">
        <v>2</v>
      </c>
      <c r="W1130">
        <v>35.479999999999997</v>
      </c>
      <c r="X1130">
        <v>86010</v>
      </c>
      <c r="Y1130">
        <f>cleaneddata[[#This Row],[Unit Price]]-cleaneddata[[#This Row],[Discount]]</f>
        <v>15.96</v>
      </c>
      <c r="Z113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31" spans="1:26" x14ac:dyDescent="0.3">
      <c r="A1131">
        <v>3191</v>
      </c>
      <c r="B1131" t="s">
        <v>1682</v>
      </c>
      <c r="C1131" t="s">
        <v>13</v>
      </c>
      <c r="D1131">
        <v>0.09</v>
      </c>
      <c r="E1131">
        <v>35.94</v>
      </c>
      <c r="F1131">
        <v>6.66</v>
      </c>
      <c r="G1131" t="s">
        <v>14</v>
      </c>
      <c r="H1131" t="s">
        <v>70</v>
      </c>
      <c r="I1131" t="s">
        <v>24</v>
      </c>
      <c r="J1131" t="s">
        <v>321</v>
      </c>
      <c r="K1131" t="s">
        <v>49</v>
      </c>
      <c r="L1131" t="s">
        <v>2098</v>
      </c>
      <c r="M1131">
        <v>0.4</v>
      </c>
      <c r="N1131" t="s">
        <v>8</v>
      </c>
      <c r="O1131" t="s">
        <v>28</v>
      </c>
      <c r="P1131" t="s">
        <v>333</v>
      </c>
      <c r="Q1131" t="s">
        <v>1683</v>
      </c>
      <c r="R1131">
        <v>54481</v>
      </c>
      <c r="S1131" s="1">
        <v>42104</v>
      </c>
      <c r="T1131" s="1">
        <v>42106</v>
      </c>
      <c r="U1131">
        <v>172.56440000000001</v>
      </c>
      <c r="V1131">
        <v>9</v>
      </c>
      <c r="W1131">
        <v>312.22000000000003</v>
      </c>
      <c r="X1131">
        <v>86448</v>
      </c>
      <c r="Y1131">
        <f>cleaneddata[[#This Row],[Unit Price]]-cleaneddata[[#This Row],[Discount]]</f>
        <v>35.849999999999994</v>
      </c>
      <c r="Z11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32" spans="1:26" x14ac:dyDescent="0.3">
      <c r="A1132">
        <v>2684</v>
      </c>
      <c r="B1132" t="s">
        <v>1183</v>
      </c>
      <c r="C1132" t="s">
        <v>23</v>
      </c>
      <c r="D1132">
        <v>7.0000000000000007E-2</v>
      </c>
      <c r="E1132">
        <v>4.97</v>
      </c>
      <c r="F1132">
        <v>5.71</v>
      </c>
      <c r="G1132" t="s">
        <v>14</v>
      </c>
      <c r="H1132" t="s">
        <v>3</v>
      </c>
      <c r="I1132" t="s">
        <v>4</v>
      </c>
      <c r="J1132" t="s">
        <v>102</v>
      </c>
      <c r="K1132" t="s">
        <v>120</v>
      </c>
      <c r="L1132" t="s">
        <v>2099</v>
      </c>
      <c r="M1132">
        <v>0.54</v>
      </c>
      <c r="N1132" t="s">
        <v>8</v>
      </c>
      <c r="O1132" t="s">
        <v>9</v>
      </c>
      <c r="P1132" t="s">
        <v>99</v>
      </c>
      <c r="Q1132" t="s">
        <v>1184</v>
      </c>
      <c r="R1132">
        <v>33952</v>
      </c>
      <c r="S1132" s="1">
        <v>42104</v>
      </c>
      <c r="T1132" s="1">
        <v>42109</v>
      </c>
      <c r="U1132">
        <v>-180.15199999999999</v>
      </c>
      <c r="V1132">
        <v>5</v>
      </c>
      <c r="W1132">
        <v>26.66</v>
      </c>
      <c r="X1132">
        <v>89148</v>
      </c>
      <c r="Y1132">
        <f>cleaneddata[[#This Row],[Unit Price]]-cleaneddata[[#This Row],[Discount]]</f>
        <v>4.8999999999999995</v>
      </c>
      <c r="Z113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33" spans="1:26" x14ac:dyDescent="0.3">
      <c r="A1133">
        <v>2684</v>
      </c>
      <c r="B1133" t="s">
        <v>1183</v>
      </c>
      <c r="C1133" t="s">
        <v>23</v>
      </c>
      <c r="D1133">
        <v>0.09</v>
      </c>
      <c r="E1133">
        <v>2.62</v>
      </c>
      <c r="F1133">
        <v>0.8</v>
      </c>
      <c r="G1133" t="s">
        <v>14</v>
      </c>
      <c r="H1133" t="s">
        <v>3</v>
      </c>
      <c r="I1133" t="s">
        <v>24</v>
      </c>
      <c r="J1133" t="s">
        <v>152</v>
      </c>
      <c r="K1133" t="s">
        <v>26</v>
      </c>
      <c r="L1133" t="s">
        <v>2100</v>
      </c>
      <c r="M1133">
        <v>0.39</v>
      </c>
      <c r="N1133" t="s">
        <v>8</v>
      </c>
      <c r="O1133" t="s">
        <v>9</v>
      </c>
      <c r="P1133" t="s">
        <v>99</v>
      </c>
      <c r="Q1133" t="s">
        <v>1184</v>
      </c>
      <c r="R1133">
        <v>33952</v>
      </c>
      <c r="S1133" s="1">
        <v>42104</v>
      </c>
      <c r="T1133" s="1">
        <v>42106</v>
      </c>
      <c r="U1133">
        <v>8.3879999999999999</v>
      </c>
      <c r="V1133">
        <v>12</v>
      </c>
      <c r="W1133">
        <v>29.55</v>
      </c>
      <c r="X1133">
        <v>89148</v>
      </c>
      <c r="Y1133">
        <f>cleaneddata[[#This Row],[Unit Price]]-cleaneddata[[#This Row],[Discount]]</f>
        <v>2.5300000000000002</v>
      </c>
      <c r="Z11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34" spans="1:26" x14ac:dyDescent="0.3">
      <c r="A1134">
        <v>2684</v>
      </c>
      <c r="B1134" t="s">
        <v>1183</v>
      </c>
      <c r="C1134" t="s">
        <v>23</v>
      </c>
      <c r="D1134">
        <v>0.03</v>
      </c>
      <c r="E1134">
        <v>65.989999999999995</v>
      </c>
      <c r="F1134">
        <v>8.8000000000000007</v>
      </c>
      <c r="G1134" t="s">
        <v>14</v>
      </c>
      <c r="H1134" t="s">
        <v>3</v>
      </c>
      <c r="I1134" t="s">
        <v>16</v>
      </c>
      <c r="J1134" t="s">
        <v>111</v>
      </c>
      <c r="K1134" t="s">
        <v>49</v>
      </c>
      <c r="L1134" t="s">
        <v>428</v>
      </c>
      <c r="M1134">
        <v>0.57999999999999996</v>
      </c>
      <c r="N1134" t="s">
        <v>8</v>
      </c>
      <c r="O1134" t="s">
        <v>9</v>
      </c>
      <c r="P1134" t="s">
        <v>99</v>
      </c>
      <c r="Q1134" t="s">
        <v>1184</v>
      </c>
      <c r="R1134">
        <v>33952</v>
      </c>
      <c r="S1134" s="1">
        <v>42104</v>
      </c>
      <c r="T1134" s="1">
        <v>42104</v>
      </c>
      <c r="U1134">
        <v>9.9398999999999997</v>
      </c>
      <c r="V1134">
        <v>21</v>
      </c>
      <c r="W1134">
        <v>1237.4000000000001</v>
      </c>
      <c r="X1134">
        <v>89148</v>
      </c>
      <c r="Y1134">
        <f>cleaneddata[[#This Row],[Unit Price]]-cleaneddata[[#This Row],[Discount]]</f>
        <v>65.959999999999994</v>
      </c>
      <c r="Z113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35" spans="1:26" x14ac:dyDescent="0.3">
      <c r="A1135">
        <v>1103</v>
      </c>
      <c r="B1135" t="s">
        <v>2101</v>
      </c>
      <c r="C1135" t="s">
        <v>46</v>
      </c>
      <c r="D1135">
        <v>0.05</v>
      </c>
      <c r="E1135">
        <v>328.14</v>
      </c>
      <c r="F1135">
        <v>91.05</v>
      </c>
      <c r="G1135" t="s">
        <v>2</v>
      </c>
      <c r="H1135" t="s">
        <v>47</v>
      </c>
      <c r="I1135" t="s">
        <v>24</v>
      </c>
      <c r="J1135" t="s">
        <v>71</v>
      </c>
      <c r="K1135" t="s">
        <v>33</v>
      </c>
      <c r="L1135" t="s">
        <v>559</v>
      </c>
      <c r="M1135">
        <v>0.56999999999999995</v>
      </c>
      <c r="N1135" t="s">
        <v>8</v>
      </c>
      <c r="O1135" t="s">
        <v>28</v>
      </c>
      <c r="P1135" t="s">
        <v>109</v>
      </c>
      <c r="Q1135" t="s">
        <v>2102</v>
      </c>
      <c r="R1135">
        <v>68046</v>
      </c>
      <c r="S1135" s="1">
        <v>42104</v>
      </c>
      <c r="T1135" s="1">
        <v>42105</v>
      </c>
      <c r="U1135">
        <v>772.04</v>
      </c>
      <c r="V1135">
        <v>7</v>
      </c>
      <c r="W1135">
        <v>2291.39</v>
      </c>
      <c r="X1135">
        <v>90977</v>
      </c>
      <c r="Y1135">
        <f>cleaneddata[[#This Row],[Unit Price]]-cleaneddata[[#This Row],[Discount]]</f>
        <v>328.09</v>
      </c>
      <c r="Z113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36" spans="1:26" x14ac:dyDescent="0.3">
      <c r="A1136">
        <v>1104</v>
      </c>
      <c r="B1136" t="s">
        <v>2103</v>
      </c>
      <c r="C1136" t="s">
        <v>46</v>
      </c>
      <c r="D1136">
        <v>0.05</v>
      </c>
      <c r="E1136">
        <v>328.14</v>
      </c>
      <c r="F1136">
        <v>91.05</v>
      </c>
      <c r="G1136" t="s">
        <v>2</v>
      </c>
      <c r="H1136" t="s">
        <v>47</v>
      </c>
      <c r="I1136" t="s">
        <v>24</v>
      </c>
      <c r="J1136" t="s">
        <v>71</v>
      </c>
      <c r="K1136" t="s">
        <v>33</v>
      </c>
      <c r="L1136" t="s">
        <v>559</v>
      </c>
      <c r="M1136">
        <v>0.56999999999999995</v>
      </c>
      <c r="N1136" t="s">
        <v>8</v>
      </c>
      <c r="O1136" t="s">
        <v>87</v>
      </c>
      <c r="P1136" t="s">
        <v>88</v>
      </c>
      <c r="Q1136" t="s">
        <v>89</v>
      </c>
      <c r="R1136">
        <v>10282</v>
      </c>
      <c r="S1136" s="1">
        <v>42104</v>
      </c>
      <c r="T1136" s="1">
        <v>42105</v>
      </c>
      <c r="U1136">
        <v>772.04</v>
      </c>
      <c r="V1136">
        <v>29</v>
      </c>
      <c r="W1136">
        <v>9492.92</v>
      </c>
      <c r="X1136">
        <v>27456</v>
      </c>
      <c r="Y1136">
        <f>cleaneddata[[#This Row],[Unit Price]]-cleaneddata[[#This Row],[Discount]]</f>
        <v>328.09</v>
      </c>
      <c r="Z11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37" spans="1:26" x14ac:dyDescent="0.3">
      <c r="A1137">
        <v>1185</v>
      </c>
      <c r="B1137" t="s">
        <v>1758</v>
      </c>
      <c r="C1137" t="s">
        <v>46</v>
      </c>
      <c r="D1137">
        <v>0.08</v>
      </c>
      <c r="E1137">
        <v>11.7</v>
      </c>
      <c r="F1137">
        <v>6.96</v>
      </c>
      <c r="G1137" t="s">
        <v>14</v>
      </c>
      <c r="H1137" t="s">
        <v>15</v>
      </c>
      <c r="I1137" t="s">
        <v>24</v>
      </c>
      <c r="J1137" t="s">
        <v>71</v>
      </c>
      <c r="K1137" t="s">
        <v>120</v>
      </c>
      <c r="L1137" t="s">
        <v>736</v>
      </c>
      <c r="M1137">
        <v>0.5</v>
      </c>
      <c r="N1137" t="s">
        <v>8</v>
      </c>
      <c r="O1137" t="s">
        <v>9</v>
      </c>
      <c r="P1137" t="s">
        <v>140</v>
      </c>
      <c r="Q1137" t="s">
        <v>334</v>
      </c>
      <c r="R1137">
        <v>35756</v>
      </c>
      <c r="S1137" s="1">
        <v>42104</v>
      </c>
      <c r="T1137" s="1">
        <v>42107</v>
      </c>
      <c r="U1137">
        <v>28.565999999999999</v>
      </c>
      <c r="V1137">
        <v>8</v>
      </c>
      <c r="W1137">
        <v>87.8</v>
      </c>
      <c r="X1137">
        <v>85940</v>
      </c>
      <c r="Y1137">
        <f>cleaneddata[[#This Row],[Unit Price]]-cleaneddata[[#This Row],[Discount]]</f>
        <v>11.62</v>
      </c>
      <c r="Z113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38" spans="1:26" x14ac:dyDescent="0.3">
      <c r="A1138">
        <v>2430</v>
      </c>
      <c r="B1138" t="s">
        <v>1813</v>
      </c>
      <c r="C1138" t="s">
        <v>46</v>
      </c>
      <c r="D1138">
        <v>0.04</v>
      </c>
      <c r="E1138">
        <v>7.08</v>
      </c>
      <c r="F1138">
        <v>2.35</v>
      </c>
      <c r="G1138" t="s">
        <v>14</v>
      </c>
      <c r="H1138" t="s">
        <v>47</v>
      </c>
      <c r="I1138" t="s">
        <v>24</v>
      </c>
      <c r="J1138" t="s">
        <v>25</v>
      </c>
      <c r="K1138" t="s">
        <v>26</v>
      </c>
      <c r="L1138" t="s">
        <v>1889</v>
      </c>
      <c r="M1138">
        <v>0.47</v>
      </c>
      <c r="N1138" t="s">
        <v>8</v>
      </c>
      <c r="O1138" t="s">
        <v>28</v>
      </c>
      <c r="P1138" t="s">
        <v>163</v>
      </c>
      <c r="Q1138" t="s">
        <v>1814</v>
      </c>
      <c r="R1138">
        <v>76541</v>
      </c>
      <c r="S1138" s="1">
        <v>42104</v>
      </c>
      <c r="T1138" s="1">
        <v>42105</v>
      </c>
      <c r="U1138">
        <v>24.59</v>
      </c>
      <c r="V1138">
        <v>7</v>
      </c>
      <c r="W1138">
        <v>49.1</v>
      </c>
      <c r="X1138">
        <v>91109</v>
      </c>
      <c r="Y1138">
        <f>cleaneddata[[#This Row],[Unit Price]]-cleaneddata[[#This Row],[Discount]]</f>
        <v>7.04</v>
      </c>
      <c r="Z113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39" spans="1:26" x14ac:dyDescent="0.3">
      <c r="A1139">
        <v>2999</v>
      </c>
      <c r="B1139" t="s">
        <v>2104</v>
      </c>
      <c r="C1139" t="s">
        <v>46</v>
      </c>
      <c r="D1139">
        <v>0.03</v>
      </c>
      <c r="E1139">
        <v>10.98</v>
      </c>
      <c r="F1139">
        <v>3.37</v>
      </c>
      <c r="G1139" t="s">
        <v>14</v>
      </c>
      <c r="H1139" t="s">
        <v>15</v>
      </c>
      <c r="I1139" t="s">
        <v>24</v>
      </c>
      <c r="J1139" t="s">
        <v>544</v>
      </c>
      <c r="K1139" t="s">
        <v>18</v>
      </c>
      <c r="L1139" t="s">
        <v>2105</v>
      </c>
      <c r="M1139">
        <v>0.56999999999999995</v>
      </c>
      <c r="N1139" t="s">
        <v>8</v>
      </c>
      <c r="O1139" t="s">
        <v>28</v>
      </c>
      <c r="P1139" t="s">
        <v>265</v>
      </c>
      <c r="Q1139" t="s">
        <v>2106</v>
      </c>
      <c r="R1139">
        <v>48237</v>
      </c>
      <c r="S1139" s="1">
        <v>42104</v>
      </c>
      <c r="T1139" s="1">
        <v>42105</v>
      </c>
      <c r="U1139">
        <v>11.82</v>
      </c>
      <c r="V1139">
        <v>5</v>
      </c>
      <c r="W1139">
        <v>56.19</v>
      </c>
      <c r="X1139">
        <v>87041</v>
      </c>
      <c r="Y1139">
        <f>cleaneddata[[#This Row],[Unit Price]]-cleaneddata[[#This Row],[Discount]]</f>
        <v>10.950000000000001</v>
      </c>
      <c r="Z113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40" spans="1:26" x14ac:dyDescent="0.3">
      <c r="A1140">
        <v>2363</v>
      </c>
      <c r="B1140" t="s">
        <v>2107</v>
      </c>
      <c r="C1140" t="s">
        <v>13</v>
      </c>
      <c r="D1140">
        <v>0</v>
      </c>
      <c r="E1140">
        <v>5.77</v>
      </c>
      <c r="F1140">
        <v>5.92</v>
      </c>
      <c r="G1140" t="s">
        <v>14</v>
      </c>
      <c r="H1140" t="s">
        <v>47</v>
      </c>
      <c r="I1140" t="s">
        <v>4</v>
      </c>
      <c r="J1140" t="s">
        <v>102</v>
      </c>
      <c r="K1140" t="s">
        <v>120</v>
      </c>
      <c r="L1140" t="s">
        <v>2108</v>
      </c>
      <c r="M1140">
        <v>0.55000000000000004</v>
      </c>
      <c r="N1140" t="s">
        <v>8</v>
      </c>
      <c r="O1140" t="s">
        <v>87</v>
      </c>
      <c r="P1140" t="s">
        <v>293</v>
      </c>
      <c r="Q1140" t="s">
        <v>2109</v>
      </c>
      <c r="R1140">
        <v>44256</v>
      </c>
      <c r="S1140" s="1">
        <v>42105</v>
      </c>
      <c r="T1140" s="1">
        <v>42107</v>
      </c>
      <c r="U1140">
        <v>-61.5276</v>
      </c>
      <c r="V1140">
        <v>11</v>
      </c>
      <c r="W1140">
        <v>69.89</v>
      </c>
      <c r="X1140">
        <v>90040</v>
      </c>
      <c r="Y1140">
        <f>cleaneddata[[#This Row],[Unit Price]]-cleaneddata[[#This Row],[Discount]]</f>
        <v>5.77</v>
      </c>
      <c r="Z11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41" spans="1:26" x14ac:dyDescent="0.3">
      <c r="A1141">
        <v>2862</v>
      </c>
      <c r="B1141" t="s">
        <v>2110</v>
      </c>
      <c r="C1141" t="s">
        <v>13</v>
      </c>
      <c r="D1141">
        <v>0</v>
      </c>
      <c r="E1141">
        <v>12.22</v>
      </c>
      <c r="F1141">
        <v>2.85</v>
      </c>
      <c r="G1141" t="s">
        <v>14</v>
      </c>
      <c r="H1141" t="s">
        <v>70</v>
      </c>
      <c r="I1141" t="s">
        <v>4</v>
      </c>
      <c r="J1141" t="s">
        <v>102</v>
      </c>
      <c r="K1141" t="s">
        <v>18</v>
      </c>
      <c r="L1141" t="s">
        <v>2062</v>
      </c>
      <c r="M1141">
        <v>0.55000000000000004</v>
      </c>
      <c r="N1141" t="s">
        <v>8</v>
      </c>
      <c r="O1141" t="s">
        <v>28</v>
      </c>
      <c r="P1141" t="s">
        <v>109</v>
      </c>
      <c r="Q1141" t="s">
        <v>2017</v>
      </c>
      <c r="R1141">
        <v>68128</v>
      </c>
      <c r="S1141" s="1">
        <v>42105</v>
      </c>
      <c r="T1141" s="1">
        <v>42106</v>
      </c>
      <c r="U1141">
        <v>76.389899999999997</v>
      </c>
      <c r="V1141">
        <v>9</v>
      </c>
      <c r="W1141">
        <v>110.71</v>
      </c>
      <c r="X1141">
        <v>88278</v>
      </c>
      <c r="Y1141">
        <f>cleaneddata[[#This Row],[Unit Price]]-cleaneddata[[#This Row],[Discount]]</f>
        <v>12.22</v>
      </c>
      <c r="Z11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42" spans="1:26" x14ac:dyDescent="0.3">
      <c r="A1142">
        <v>369</v>
      </c>
      <c r="B1142" t="s">
        <v>2111</v>
      </c>
      <c r="C1142" t="s">
        <v>23</v>
      </c>
      <c r="D1142">
        <v>0.09</v>
      </c>
      <c r="E1142">
        <v>19.23</v>
      </c>
      <c r="F1142">
        <v>6.15</v>
      </c>
      <c r="G1142" t="s">
        <v>63</v>
      </c>
      <c r="H1142" t="s">
        <v>70</v>
      </c>
      <c r="I1142" t="s">
        <v>4</v>
      </c>
      <c r="J1142" t="s">
        <v>102</v>
      </c>
      <c r="K1142" t="s">
        <v>18</v>
      </c>
      <c r="L1142" t="s">
        <v>1253</v>
      </c>
      <c r="M1142">
        <v>0.44</v>
      </c>
      <c r="N1142" t="s">
        <v>8</v>
      </c>
      <c r="O1142" t="s">
        <v>35</v>
      </c>
      <c r="P1142" t="s">
        <v>66</v>
      </c>
      <c r="Q1142" t="s">
        <v>2112</v>
      </c>
      <c r="R1142">
        <v>94601</v>
      </c>
      <c r="S1142" s="1">
        <v>42105</v>
      </c>
      <c r="T1142" s="1">
        <v>42107</v>
      </c>
      <c r="U1142">
        <v>211.232</v>
      </c>
      <c r="V1142">
        <v>21</v>
      </c>
      <c r="W1142">
        <v>394.1</v>
      </c>
      <c r="X1142">
        <v>90292</v>
      </c>
      <c r="Y1142">
        <f>cleaneddata[[#This Row],[Unit Price]]-cleaneddata[[#This Row],[Discount]]</f>
        <v>19.14</v>
      </c>
      <c r="Z114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43" spans="1:26" x14ac:dyDescent="0.3">
      <c r="A1143">
        <v>1712</v>
      </c>
      <c r="B1143" t="s">
        <v>2113</v>
      </c>
      <c r="C1143" t="s">
        <v>23</v>
      </c>
      <c r="D1143">
        <v>0.03</v>
      </c>
      <c r="E1143">
        <v>11.66</v>
      </c>
      <c r="F1143">
        <v>7.95</v>
      </c>
      <c r="G1143" t="s">
        <v>14</v>
      </c>
      <c r="H1143" t="s">
        <v>70</v>
      </c>
      <c r="I1143" t="s">
        <v>24</v>
      </c>
      <c r="J1143" t="s">
        <v>25</v>
      </c>
      <c r="K1143" t="s">
        <v>18</v>
      </c>
      <c r="L1143" t="s">
        <v>2114</v>
      </c>
      <c r="M1143">
        <v>0.57999999999999996</v>
      </c>
      <c r="N1143" t="s">
        <v>8</v>
      </c>
      <c r="O1143" t="s">
        <v>9</v>
      </c>
      <c r="P1143" t="s">
        <v>51</v>
      </c>
      <c r="Q1143" t="s">
        <v>2115</v>
      </c>
      <c r="R1143">
        <v>30907</v>
      </c>
      <c r="S1143" s="1">
        <v>42105</v>
      </c>
      <c r="T1143" s="1">
        <v>42114</v>
      </c>
      <c r="U1143">
        <v>-31.094000000000001</v>
      </c>
      <c r="V1143">
        <v>22</v>
      </c>
      <c r="W1143">
        <v>267.32</v>
      </c>
      <c r="X1143">
        <v>87749</v>
      </c>
      <c r="Y1143">
        <f>cleaneddata[[#This Row],[Unit Price]]-cleaneddata[[#This Row],[Discount]]</f>
        <v>11.63</v>
      </c>
      <c r="Z114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44" spans="1:26" x14ac:dyDescent="0.3">
      <c r="A1144">
        <v>721</v>
      </c>
      <c r="B1144" t="s">
        <v>2116</v>
      </c>
      <c r="C1144" t="s">
        <v>92</v>
      </c>
      <c r="D1144">
        <v>0.01</v>
      </c>
      <c r="E1144">
        <v>7.28</v>
      </c>
      <c r="F1144">
        <v>11.15</v>
      </c>
      <c r="G1144" t="s">
        <v>14</v>
      </c>
      <c r="H1144" t="s">
        <v>70</v>
      </c>
      <c r="I1144" t="s">
        <v>24</v>
      </c>
      <c r="J1144" t="s">
        <v>64</v>
      </c>
      <c r="K1144" t="s">
        <v>49</v>
      </c>
      <c r="L1144" t="s">
        <v>951</v>
      </c>
      <c r="M1144">
        <v>0.37</v>
      </c>
      <c r="N1144" t="s">
        <v>8</v>
      </c>
      <c r="O1144" t="s">
        <v>28</v>
      </c>
      <c r="P1144" t="s">
        <v>29</v>
      </c>
      <c r="Q1144" t="s">
        <v>2117</v>
      </c>
      <c r="R1144">
        <v>46041</v>
      </c>
      <c r="S1144" s="1">
        <v>42105</v>
      </c>
      <c r="T1144" s="1">
        <v>42107</v>
      </c>
      <c r="U1144">
        <v>-24.245999999999999</v>
      </c>
      <c r="V1144">
        <v>1</v>
      </c>
      <c r="W1144">
        <v>11.21</v>
      </c>
      <c r="X1144">
        <v>91054</v>
      </c>
      <c r="Y1144">
        <f>cleaneddata[[#This Row],[Unit Price]]-cleaneddata[[#This Row],[Discount]]</f>
        <v>7.2700000000000005</v>
      </c>
      <c r="Z11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45" spans="1:26" x14ac:dyDescent="0.3">
      <c r="A1145">
        <v>445</v>
      </c>
      <c r="B1145" t="s">
        <v>2118</v>
      </c>
      <c r="C1145" t="s">
        <v>46</v>
      </c>
      <c r="D1145">
        <v>0.03</v>
      </c>
      <c r="E1145">
        <v>48.04</v>
      </c>
      <c r="F1145">
        <v>19.989999999999998</v>
      </c>
      <c r="G1145" t="s">
        <v>14</v>
      </c>
      <c r="H1145" t="s">
        <v>3</v>
      </c>
      <c r="I1145" t="s">
        <v>24</v>
      </c>
      <c r="J1145" t="s">
        <v>64</v>
      </c>
      <c r="K1145" t="s">
        <v>49</v>
      </c>
      <c r="L1145" t="s">
        <v>2119</v>
      </c>
      <c r="M1145">
        <v>0.37</v>
      </c>
      <c r="N1145" t="s">
        <v>8</v>
      </c>
      <c r="O1145" t="s">
        <v>28</v>
      </c>
      <c r="P1145" t="s">
        <v>109</v>
      </c>
      <c r="Q1145" t="s">
        <v>1353</v>
      </c>
      <c r="R1145">
        <v>68701</v>
      </c>
      <c r="S1145" s="1">
        <v>42105</v>
      </c>
      <c r="T1145" s="1">
        <v>42107</v>
      </c>
      <c r="U1145">
        <v>-4.46</v>
      </c>
      <c r="V1145">
        <v>2</v>
      </c>
      <c r="W1145">
        <v>101.71</v>
      </c>
      <c r="X1145">
        <v>88083</v>
      </c>
      <c r="Y1145">
        <f>cleaneddata[[#This Row],[Unit Price]]-cleaneddata[[#This Row],[Discount]]</f>
        <v>48.01</v>
      </c>
      <c r="Z114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46" spans="1:26" x14ac:dyDescent="0.3">
      <c r="A1146">
        <v>918</v>
      </c>
      <c r="B1146" t="s">
        <v>2120</v>
      </c>
      <c r="C1146" t="s">
        <v>13</v>
      </c>
      <c r="D1146">
        <v>0.05</v>
      </c>
      <c r="E1146">
        <v>35.51</v>
      </c>
      <c r="F1146">
        <v>6.31</v>
      </c>
      <c r="G1146" t="s">
        <v>14</v>
      </c>
      <c r="H1146" t="s">
        <v>15</v>
      </c>
      <c r="I1146" t="s">
        <v>24</v>
      </c>
      <c r="J1146" t="s">
        <v>54</v>
      </c>
      <c r="K1146" t="s">
        <v>49</v>
      </c>
      <c r="L1146" t="s">
        <v>2121</v>
      </c>
      <c r="M1146">
        <v>0.57999999999999996</v>
      </c>
      <c r="N1146" t="s">
        <v>8</v>
      </c>
      <c r="O1146" t="s">
        <v>35</v>
      </c>
      <c r="P1146" t="s">
        <v>66</v>
      </c>
      <c r="Q1146" t="s">
        <v>2122</v>
      </c>
      <c r="R1146">
        <v>91730</v>
      </c>
      <c r="S1146" s="1">
        <v>42106</v>
      </c>
      <c r="T1146" s="1">
        <v>42108</v>
      </c>
      <c r="U1146">
        <v>6.11</v>
      </c>
      <c r="V1146">
        <v>2</v>
      </c>
      <c r="W1146">
        <v>73.099999999999994</v>
      </c>
      <c r="X1146">
        <v>90492</v>
      </c>
      <c r="Y1146">
        <f>cleaneddata[[#This Row],[Unit Price]]-cleaneddata[[#This Row],[Discount]]</f>
        <v>35.46</v>
      </c>
      <c r="Z114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47" spans="1:26" x14ac:dyDescent="0.3">
      <c r="A1147">
        <v>919</v>
      </c>
      <c r="B1147" t="s">
        <v>2123</v>
      </c>
      <c r="C1147" t="s">
        <v>13</v>
      </c>
      <c r="D1147">
        <v>0.1</v>
      </c>
      <c r="E1147">
        <v>8.34</v>
      </c>
      <c r="F1147">
        <v>2.64</v>
      </c>
      <c r="G1147" t="s">
        <v>14</v>
      </c>
      <c r="H1147" t="s">
        <v>15</v>
      </c>
      <c r="I1147" t="s">
        <v>24</v>
      </c>
      <c r="J1147" t="s">
        <v>544</v>
      </c>
      <c r="K1147" t="s">
        <v>18</v>
      </c>
      <c r="L1147" t="s">
        <v>859</v>
      </c>
      <c r="M1147">
        <v>0.59</v>
      </c>
      <c r="N1147" t="s">
        <v>8</v>
      </c>
      <c r="O1147" t="s">
        <v>35</v>
      </c>
      <c r="P1147" t="s">
        <v>66</v>
      </c>
      <c r="Q1147" t="s">
        <v>2124</v>
      </c>
      <c r="R1147">
        <v>96003</v>
      </c>
      <c r="S1147" s="1">
        <v>42106</v>
      </c>
      <c r="T1147" s="1">
        <v>42106</v>
      </c>
      <c r="U1147">
        <v>-6.34</v>
      </c>
      <c r="V1147">
        <v>6</v>
      </c>
      <c r="W1147">
        <v>47.95</v>
      </c>
      <c r="X1147">
        <v>90492</v>
      </c>
      <c r="Y1147">
        <f>cleaneddata[[#This Row],[Unit Price]]-cleaneddata[[#This Row],[Discount]]</f>
        <v>8.24</v>
      </c>
      <c r="Z114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48" spans="1:26" x14ac:dyDescent="0.3">
      <c r="A1148">
        <v>920</v>
      </c>
      <c r="B1148" t="s">
        <v>1857</v>
      </c>
      <c r="C1148" t="s">
        <v>13</v>
      </c>
      <c r="D1148">
        <v>0.03</v>
      </c>
      <c r="E1148">
        <v>8.0399999999999991</v>
      </c>
      <c r="F1148">
        <v>8.94</v>
      </c>
      <c r="G1148" t="s">
        <v>14</v>
      </c>
      <c r="H1148" t="s">
        <v>15</v>
      </c>
      <c r="I1148" t="s">
        <v>24</v>
      </c>
      <c r="J1148" t="s">
        <v>48</v>
      </c>
      <c r="K1148" t="s">
        <v>49</v>
      </c>
      <c r="L1148" t="s">
        <v>2125</v>
      </c>
      <c r="M1148">
        <v>0.4</v>
      </c>
      <c r="N1148" t="s">
        <v>8</v>
      </c>
      <c r="O1148" t="s">
        <v>35</v>
      </c>
      <c r="P1148" t="s">
        <v>66</v>
      </c>
      <c r="Q1148" t="s">
        <v>1205</v>
      </c>
      <c r="R1148">
        <v>92374</v>
      </c>
      <c r="S1148" s="1">
        <v>42106</v>
      </c>
      <c r="T1148" s="1">
        <v>42108</v>
      </c>
      <c r="U1148">
        <v>-160.27549999999999</v>
      </c>
      <c r="V1148">
        <v>9</v>
      </c>
      <c r="W1148">
        <v>76.77</v>
      </c>
      <c r="X1148">
        <v>90492</v>
      </c>
      <c r="Y1148">
        <f>cleaneddata[[#This Row],[Unit Price]]-cleaneddata[[#This Row],[Discount]]</f>
        <v>8.01</v>
      </c>
      <c r="Z114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49" spans="1:26" x14ac:dyDescent="0.3">
      <c r="A1149">
        <v>754</v>
      </c>
      <c r="B1149" t="s">
        <v>2126</v>
      </c>
      <c r="C1149" t="s">
        <v>23</v>
      </c>
      <c r="D1149">
        <v>0.06</v>
      </c>
      <c r="E1149">
        <v>119.99</v>
      </c>
      <c r="F1149">
        <v>14</v>
      </c>
      <c r="G1149" t="s">
        <v>2</v>
      </c>
      <c r="H1149" t="s">
        <v>15</v>
      </c>
      <c r="I1149" t="s">
        <v>16</v>
      </c>
      <c r="J1149" t="s">
        <v>32</v>
      </c>
      <c r="K1149" t="s">
        <v>33</v>
      </c>
      <c r="L1149" t="s">
        <v>2127</v>
      </c>
      <c r="M1149">
        <v>0.36</v>
      </c>
      <c r="N1149" t="s">
        <v>8</v>
      </c>
      <c r="O1149" t="s">
        <v>35</v>
      </c>
      <c r="P1149" t="s">
        <v>564</v>
      </c>
      <c r="Q1149" t="s">
        <v>2128</v>
      </c>
      <c r="R1149">
        <v>86314</v>
      </c>
      <c r="S1149" s="1">
        <v>42106</v>
      </c>
      <c r="T1149" s="1">
        <v>42113</v>
      </c>
      <c r="U1149">
        <v>-207.679788</v>
      </c>
      <c r="V1149">
        <v>2</v>
      </c>
      <c r="W1149">
        <v>243.86</v>
      </c>
      <c r="X1149">
        <v>90439</v>
      </c>
      <c r="Y1149">
        <f>cleaneddata[[#This Row],[Unit Price]]-cleaneddata[[#This Row],[Discount]]</f>
        <v>119.92999999999999</v>
      </c>
      <c r="Z114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50" spans="1:26" x14ac:dyDescent="0.3">
      <c r="A1150">
        <v>3221</v>
      </c>
      <c r="B1150" t="s">
        <v>2129</v>
      </c>
      <c r="C1150" t="s">
        <v>46</v>
      </c>
      <c r="D1150">
        <v>0.03</v>
      </c>
      <c r="E1150">
        <v>6.68</v>
      </c>
      <c r="F1150">
        <v>1.5</v>
      </c>
      <c r="G1150" t="s">
        <v>14</v>
      </c>
      <c r="H1150" t="s">
        <v>70</v>
      </c>
      <c r="I1150" t="s">
        <v>24</v>
      </c>
      <c r="J1150" t="s">
        <v>25</v>
      </c>
      <c r="K1150" t="s">
        <v>26</v>
      </c>
      <c r="L1150" t="s">
        <v>1844</v>
      </c>
      <c r="M1150">
        <v>0.48</v>
      </c>
      <c r="N1150" t="s">
        <v>8</v>
      </c>
      <c r="O1150" t="s">
        <v>9</v>
      </c>
      <c r="P1150" t="s">
        <v>99</v>
      </c>
      <c r="Q1150" t="s">
        <v>2130</v>
      </c>
      <c r="R1150">
        <v>33322</v>
      </c>
      <c r="S1150" s="1">
        <v>42106</v>
      </c>
      <c r="T1150" s="1">
        <v>42107</v>
      </c>
      <c r="U1150">
        <v>-577.30399999999997</v>
      </c>
      <c r="V1150">
        <v>7</v>
      </c>
      <c r="W1150">
        <v>48.32</v>
      </c>
      <c r="X1150">
        <v>90815</v>
      </c>
      <c r="Y1150">
        <f>cleaneddata[[#This Row],[Unit Price]]-cleaneddata[[#This Row],[Discount]]</f>
        <v>6.6499999999999995</v>
      </c>
      <c r="Z115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51" spans="1:26" x14ac:dyDescent="0.3">
      <c r="A1151">
        <v>171</v>
      </c>
      <c r="B1151" t="s">
        <v>2131</v>
      </c>
      <c r="C1151" t="s">
        <v>1</v>
      </c>
      <c r="D1151">
        <v>0.05</v>
      </c>
      <c r="E1151">
        <v>1.88</v>
      </c>
      <c r="F1151">
        <v>1.49</v>
      </c>
      <c r="G1151" t="s">
        <v>14</v>
      </c>
      <c r="H1151" t="s">
        <v>70</v>
      </c>
      <c r="I1151" t="s">
        <v>24</v>
      </c>
      <c r="J1151" t="s">
        <v>48</v>
      </c>
      <c r="K1151" t="s">
        <v>49</v>
      </c>
      <c r="L1151" t="s">
        <v>589</v>
      </c>
      <c r="M1151">
        <v>0.37</v>
      </c>
      <c r="N1151" t="s">
        <v>8</v>
      </c>
      <c r="O1151" t="s">
        <v>87</v>
      </c>
      <c r="P1151" t="s">
        <v>373</v>
      </c>
      <c r="Q1151" t="s">
        <v>781</v>
      </c>
      <c r="R1151">
        <v>7024</v>
      </c>
      <c r="S1151" s="1">
        <v>42107</v>
      </c>
      <c r="T1151" s="1">
        <v>42109</v>
      </c>
      <c r="U1151">
        <v>-2.9095</v>
      </c>
      <c r="V1151">
        <v>1</v>
      </c>
      <c r="W1151">
        <v>3.42</v>
      </c>
      <c r="X1151">
        <v>87464</v>
      </c>
      <c r="Y1151">
        <f>cleaneddata[[#This Row],[Unit Price]]-cleaneddata[[#This Row],[Discount]]</f>
        <v>1.8299999999999998</v>
      </c>
      <c r="Z115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52" spans="1:26" x14ac:dyDescent="0.3">
      <c r="A1152">
        <v>1561</v>
      </c>
      <c r="B1152" t="s">
        <v>1428</v>
      </c>
      <c r="C1152" t="s">
        <v>1</v>
      </c>
      <c r="D1152">
        <v>0.05</v>
      </c>
      <c r="E1152">
        <v>12.2</v>
      </c>
      <c r="F1152">
        <v>6.02</v>
      </c>
      <c r="G1152" t="s">
        <v>14</v>
      </c>
      <c r="H1152" t="s">
        <v>70</v>
      </c>
      <c r="I1152" t="s">
        <v>4</v>
      </c>
      <c r="J1152" t="s">
        <v>102</v>
      </c>
      <c r="K1152" t="s">
        <v>18</v>
      </c>
      <c r="L1152" t="s">
        <v>2132</v>
      </c>
      <c r="M1152">
        <v>0.43</v>
      </c>
      <c r="N1152" t="s">
        <v>8</v>
      </c>
      <c r="O1152" t="s">
        <v>28</v>
      </c>
      <c r="P1152" t="s">
        <v>163</v>
      </c>
      <c r="Q1152" t="s">
        <v>1430</v>
      </c>
      <c r="R1152">
        <v>76063</v>
      </c>
      <c r="S1152" s="1">
        <v>42107</v>
      </c>
      <c r="T1152" s="1">
        <v>42108</v>
      </c>
      <c r="U1152">
        <v>-6.6420000000000003</v>
      </c>
      <c r="V1152">
        <v>5</v>
      </c>
      <c r="W1152">
        <v>63.93</v>
      </c>
      <c r="X1152">
        <v>88094</v>
      </c>
      <c r="Y1152">
        <f>cleaneddata[[#This Row],[Unit Price]]-cleaneddata[[#This Row],[Discount]]</f>
        <v>12.149999999999999</v>
      </c>
      <c r="Z11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53" spans="1:26" x14ac:dyDescent="0.3">
      <c r="A1153">
        <v>2738</v>
      </c>
      <c r="B1153" t="s">
        <v>2133</v>
      </c>
      <c r="C1153" t="s">
        <v>1</v>
      </c>
      <c r="D1153">
        <v>0.02</v>
      </c>
      <c r="E1153">
        <v>33.979999999999997</v>
      </c>
      <c r="F1153">
        <v>1.99</v>
      </c>
      <c r="G1153" t="s">
        <v>14</v>
      </c>
      <c r="H1153" t="s">
        <v>3</v>
      </c>
      <c r="I1153" t="s">
        <v>16</v>
      </c>
      <c r="J1153" t="s">
        <v>17</v>
      </c>
      <c r="K1153" t="s">
        <v>18</v>
      </c>
      <c r="L1153" t="s">
        <v>2134</v>
      </c>
      <c r="M1153">
        <v>0.45</v>
      </c>
      <c r="N1153" t="s">
        <v>8</v>
      </c>
      <c r="O1153" t="s">
        <v>87</v>
      </c>
      <c r="P1153" t="s">
        <v>609</v>
      </c>
      <c r="Q1153" t="s">
        <v>610</v>
      </c>
      <c r="R1153">
        <v>5403</v>
      </c>
      <c r="S1153" s="1">
        <v>42107</v>
      </c>
      <c r="T1153" s="1">
        <v>42109</v>
      </c>
      <c r="U1153">
        <v>164.06129999999999</v>
      </c>
      <c r="V1153">
        <v>7</v>
      </c>
      <c r="W1153">
        <v>237.77</v>
      </c>
      <c r="X1153">
        <v>89017</v>
      </c>
      <c r="Y1153">
        <f>cleaneddata[[#This Row],[Unit Price]]-cleaneddata[[#This Row],[Discount]]</f>
        <v>33.959999999999994</v>
      </c>
      <c r="Z115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54" spans="1:26" x14ac:dyDescent="0.3">
      <c r="A1154">
        <v>3169</v>
      </c>
      <c r="B1154" t="s">
        <v>2135</v>
      </c>
      <c r="C1154" t="s">
        <v>1</v>
      </c>
      <c r="D1154">
        <v>0.08</v>
      </c>
      <c r="E1154">
        <v>7.28</v>
      </c>
      <c r="F1154">
        <v>11.15</v>
      </c>
      <c r="G1154" t="s">
        <v>63</v>
      </c>
      <c r="H1154" t="s">
        <v>3</v>
      </c>
      <c r="I1154" t="s">
        <v>24</v>
      </c>
      <c r="J1154" t="s">
        <v>64</v>
      </c>
      <c r="K1154" t="s">
        <v>49</v>
      </c>
      <c r="L1154" t="s">
        <v>951</v>
      </c>
      <c r="M1154">
        <v>0.37</v>
      </c>
      <c r="N1154" t="s">
        <v>8</v>
      </c>
      <c r="O1154" t="s">
        <v>9</v>
      </c>
      <c r="P1154" t="s">
        <v>99</v>
      </c>
      <c r="Q1154" t="s">
        <v>2136</v>
      </c>
      <c r="R1154">
        <v>32127</v>
      </c>
      <c r="S1154" s="1">
        <v>42107</v>
      </c>
      <c r="T1154" s="1">
        <v>42108</v>
      </c>
      <c r="U1154">
        <v>-44.414999999999999</v>
      </c>
      <c r="V1154">
        <v>1</v>
      </c>
      <c r="W1154">
        <v>14.66</v>
      </c>
      <c r="X1154">
        <v>86490</v>
      </c>
      <c r="Y1154">
        <f>cleaneddata[[#This Row],[Unit Price]]-cleaneddata[[#This Row],[Discount]]</f>
        <v>7.2</v>
      </c>
      <c r="Z115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55" spans="1:26" x14ac:dyDescent="0.3">
      <c r="A1155">
        <v>2973</v>
      </c>
      <c r="B1155" t="s">
        <v>2137</v>
      </c>
      <c r="C1155" t="s">
        <v>13</v>
      </c>
      <c r="D1155">
        <v>0.01</v>
      </c>
      <c r="E1155">
        <v>30.97</v>
      </c>
      <c r="F1155">
        <v>4</v>
      </c>
      <c r="G1155" t="s">
        <v>14</v>
      </c>
      <c r="H1155" t="s">
        <v>47</v>
      </c>
      <c r="I1155" t="s">
        <v>16</v>
      </c>
      <c r="J1155" t="s">
        <v>17</v>
      </c>
      <c r="K1155" t="s">
        <v>49</v>
      </c>
      <c r="L1155" t="s">
        <v>2138</v>
      </c>
      <c r="M1155">
        <v>0.74</v>
      </c>
      <c r="N1155" t="s">
        <v>8</v>
      </c>
      <c r="O1155" t="s">
        <v>28</v>
      </c>
      <c r="P1155" t="s">
        <v>333</v>
      </c>
      <c r="Q1155" t="s">
        <v>2139</v>
      </c>
      <c r="R1155">
        <v>53151</v>
      </c>
      <c r="S1155" s="1">
        <v>42107</v>
      </c>
      <c r="T1155" s="1">
        <v>42109</v>
      </c>
      <c r="U1155">
        <v>17.102799999999998</v>
      </c>
      <c r="V1155">
        <v>17</v>
      </c>
      <c r="W1155">
        <v>523.05999999999995</v>
      </c>
      <c r="X1155">
        <v>87186</v>
      </c>
      <c r="Y1155">
        <f>cleaneddata[[#This Row],[Unit Price]]-cleaneddata[[#This Row],[Discount]]</f>
        <v>30.959999999999997</v>
      </c>
      <c r="Z11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56" spans="1:26" x14ac:dyDescent="0.3">
      <c r="A1156">
        <v>2973</v>
      </c>
      <c r="B1156" t="s">
        <v>2137</v>
      </c>
      <c r="C1156" t="s">
        <v>13</v>
      </c>
      <c r="D1156">
        <v>0.08</v>
      </c>
      <c r="E1156">
        <v>125.99</v>
      </c>
      <c r="F1156">
        <v>7.69</v>
      </c>
      <c r="G1156" t="s">
        <v>14</v>
      </c>
      <c r="H1156" t="s">
        <v>47</v>
      </c>
      <c r="I1156" t="s">
        <v>16</v>
      </c>
      <c r="J1156" t="s">
        <v>111</v>
      </c>
      <c r="K1156" t="s">
        <v>49</v>
      </c>
      <c r="L1156" t="s">
        <v>1025</v>
      </c>
      <c r="M1156">
        <v>0.57999999999999996</v>
      </c>
      <c r="N1156" t="s">
        <v>8</v>
      </c>
      <c r="O1156" t="s">
        <v>28</v>
      </c>
      <c r="P1156" t="s">
        <v>333</v>
      </c>
      <c r="Q1156" t="s">
        <v>2139</v>
      </c>
      <c r="R1156">
        <v>53151</v>
      </c>
      <c r="S1156" s="1">
        <v>42107</v>
      </c>
      <c r="T1156" s="1">
        <v>42109</v>
      </c>
      <c r="U1156">
        <v>1269.3819599999999</v>
      </c>
      <c r="V1156">
        <v>23</v>
      </c>
      <c r="W1156">
        <v>2424.6799999999998</v>
      </c>
      <c r="X1156">
        <v>87186</v>
      </c>
      <c r="Y1156">
        <f>cleaneddata[[#This Row],[Unit Price]]-cleaneddata[[#This Row],[Discount]]</f>
        <v>125.91</v>
      </c>
      <c r="Z11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57" spans="1:26" x14ac:dyDescent="0.3">
      <c r="A1157">
        <v>2250</v>
      </c>
      <c r="B1157" t="s">
        <v>2140</v>
      </c>
      <c r="C1157" t="s">
        <v>23</v>
      </c>
      <c r="D1157">
        <v>0</v>
      </c>
      <c r="E1157">
        <v>2.08</v>
      </c>
      <c r="F1157">
        <v>5.33</v>
      </c>
      <c r="G1157" t="s">
        <v>14</v>
      </c>
      <c r="H1157" t="s">
        <v>47</v>
      </c>
      <c r="I1157" t="s">
        <v>4</v>
      </c>
      <c r="J1157" t="s">
        <v>102</v>
      </c>
      <c r="K1157" t="s">
        <v>49</v>
      </c>
      <c r="L1157" t="s">
        <v>435</v>
      </c>
      <c r="M1157">
        <v>0.43</v>
      </c>
      <c r="N1157" t="s">
        <v>8</v>
      </c>
      <c r="O1157" t="s">
        <v>87</v>
      </c>
      <c r="P1157" t="s">
        <v>296</v>
      </c>
      <c r="Q1157" t="s">
        <v>2141</v>
      </c>
      <c r="R1157">
        <v>16801</v>
      </c>
      <c r="S1157" s="1">
        <v>42107</v>
      </c>
      <c r="T1157" s="1">
        <v>42114</v>
      </c>
      <c r="U1157">
        <v>-192.5532</v>
      </c>
      <c r="V1157">
        <v>22</v>
      </c>
      <c r="W1157">
        <v>51.41</v>
      </c>
      <c r="X1157">
        <v>86699</v>
      </c>
      <c r="Y1157">
        <f>cleaneddata[[#This Row],[Unit Price]]-cleaneddata[[#This Row],[Discount]]</f>
        <v>2.08</v>
      </c>
      <c r="Z115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58" spans="1:26" x14ac:dyDescent="0.3">
      <c r="A1158">
        <v>940</v>
      </c>
      <c r="B1158" t="s">
        <v>2142</v>
      </c>
      <c r="C1158" t="s">
        <v>23</v>
      </c>
      <c r="D1158">
        <v>0.09</v>
      </c>
      <c r="E1158">
        <v>100.98</v>
      </c>
      <c r="F1158">
        <v>35.840000000000003</v>
      </c>
      <c r="G1158" t="s">
        <v>2</v>
      </c>
      <c r="H1158" t="s">
        <v>47</v>
      </c>
      <c r="I1158" t="s">
        <v>4</v>
      </c>
      <c r="J1158" t="s">
        <v>93</v>
      </c>
      <c r="K1158" t="s">
        <v>6</v>
      </c>
      <c r="L1158" t="s">
        <v>94</v>
      </c>
      <c r="M1158">
        <v>0.62</v>
      </c>
      <c r="N1158" t="s">
        <v>8</v>
      </c>
      <c r="O1158" t="s">
        <v>87</v>
      </c>
      <c r="P1158" t="s">
        <v>224</v>
      </c>
      <c r="Q1158" t="s">
        <v>2143</v>
      </c>
      <c r="R1158">
        <v>6776</v>
      </c>
      <c r="S1158" s="1">
        <v>42108</v>
      </c>
      <c r="T1158" s="1">
        <v>42113</v>
      </c>
      <c r="U1158">
        <v>-193.58</v>
      </c>
      <c r="V1158">
        <v>4</v>
      </c>
      <c r="W1158">
        <v>396.19</v>
      </c>
      <c r="X1158">
        <v>90844</v>
      </c>
      <c r="Y1158">
        <f>cleaneddata[[#This Row],[Unit Price]]-cleaneddata[[#This Row],[Discount]]</f>
        <v>100.89</v>
      </c>
      <c r="Z115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59" spans="1:26" x14ac:dyDescent="0.3">
      <c r="A1159">
        <v>329</v>
      </c>
      <c r="B1159" t="s">
        <v>2144</v>
      </c>
      <c r="C1159" t="s">
        <v>92</v>
      </c>
      <c r="D1159">
        <v>0.06</v>
      </c>
      <c r="E1159">
        <v>296.18</v>
      </c>
      <c r="F1159">
        <v>54.12</v>
      </c>
      <c r="G1159" t="s">
        <v>2</v>
      </c>
      <c r="H1159" t="s">
        <v>47</v>
      </c>
      <c r="I1159" t="s">
        <v>4</v>
      </c>
      <c r="J1159" t="s">
        <v>5</v>
      </c>
      <c r="K1159" t="s">
        <v>6</v>
      </c>
      <c r="L1159" t="s">
        <v>1055</v>
      </c>
      <c r="M1159">
        <v>0.76</v>
      </c>
      <c r="N1159" t="s">
        <v>8</v>
      </c>
      <c r="O1159" t="s">
        <v>87</v>
      </c>
      <c r="P1159" t="s">
        <v>307</v>
      </c>
      <c r="Q1159" t="s">
        <v>308</v>
      </c>
      <c r="R1159">
        <v>4073</v>
      </c>
      <c r="S1159" s="1">
        <v>42108</v>
      </c>
      <c r="T1159" s="1">
        <v>42109</v>
      </c>
      <c r="U1159">
        <v>-715.77820599999995</v>
      </c>
      <c r="V1159">
        <v>5</v>
      </c>
      <c r="W1159">
        <v>1170.21</v>
      </c>
      <c r="X1159">
        <v>89726</v>
      </c>
      <c r="Y1159">
        <f>cleaneddata[[#This Row],[Unit Price]]-cleaneddata[[#This Row],[Discount]]</f>
        <v>296.12</v>
      </c>
      <c r="Z115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60" spans="1:26" x14ac:dyDescent="0.3">
      <c r="A1160">
        <v>331</v>
      </c>
      <c r="B1160" t="s">
        <v>2145</v>
      </c>
      <c r="C1160" t="s">
        <v>92</v>
      </c>
      <c r="D1160">
        <v>0.01</v>
      </c>
      <c r="E1160">
        <v>29.1</v>
      </c>
      <c r="F1160">
        <v>4</v>
      </c>
      <c r="G1160" t="s">
        <v>63</v>
      </c>
      <c r="H1160" t="s">
        <v>47</v>
      </c>
      <c r="I1160" t="s">
        <v>16</v>
      </c>
      <c r="J1160" t="s">
        <v>17</v>
      </c>
      <c r="K1160" t="s">
        <v>49</v>
      </c>
      <c r="L1160" t="s">
        <v>2146</v>
      </c>
      <c r="M1160">
        <v>0.78</v>
      </c>
      <c r="N1160" t="s">
        <v>8</v>
      </c>
      <c r="O1160" t="s">
        <v>87</v>
      </c>
      <c r="P1160" t="s">
        <v>1332</v>
      </c>
      <c r="Q1160" t="s">
        <v>2147</v>
      </c>
      <c r="R1160">
        <v>3045</v>
      </c>
      <c r="S1160" s="1">
        <v>42108</v>
      </c>
      <c r="T1160" s="1">
        <v>42110</v>
      </c>
      <c r="U1160">
        <v>-22.82</v>
      </c>
      <c r="V1160">
        <v>8</v>
      </c>
      <c r="W1160">
        <v>243.32</v>
      </c>
      <c r="X1160">
        <v>89726</v>
      </c>
      <c r="Y1160">
        <f>cleaneddata[[#This Row],[Unit Price]]-cleaneddata[[#This Row],[Discount]]</f>
        <v>29.09</v>
      </c>
      <c r="Z116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61" spans="1:26" x14ac:dyDescent="0.3">
      <c r="A1161">
        <v>1559</v>
      </c>
      <c r="B1161" t="s">
        <v>2148</v>
      </c>
      <c r="C1161" t="s">
        <v>1</v>
      </c>
      <c r="D1161">
        <v>0.1</v>
      </c>
      <c r="E1161">
        <v>226.67</v>
      </c>
      <c r="F1161">
        <v>28.16</v>
      </c>
      <c r="G1161" t="s">
        <v>2</v>
      </c>
      <c r="H1161" t="s">
        <v>15</v>
      </c>
      <c r="I1161" t="s">
        <v>4</v>
      </c>
      <c r="J1161" t="s">
        <v>85</v>
      </c>
      <c r="K1161" t="s">
        <v>33</v>
      </c>
      <c r="L1161" t="s">
        <v>1352</v>
      </c>
      <c r="M1161">
        <v>0.59</v>
      </c>
      <c r="N1161" t="s">
        <v>8</v>
      </c>
      <c r="O1161" t="s">
        <v>9</v>
      </c>
      <c r="P1161" t="s">
        <v>218</v>
      </c>
      <c r="Q1161" t="s">
        <v>2149</v>
      </c>
      <c r="R1161">
        <v>24060</v>
      </c>
      <c r="S1161" s="1">
        <v>42109</v>
      </c>
      <c r="T1161" s="1">
        <v>42111</v>
      </c>
      <c r="U1161">
        <v>-390.76799999999997</v>
      </c>
      <c r="V1161">
        <v>5</v>
      </c>
      <c r="W1161">
        <v>1088.26</v>
      </c>
      <c r="X1161">
        <v>87424</v>
      </c>
      <c r="Y1161">
        <f>cleaneddata[[#This Row],[Unit Price]]-cleaneddata[[#This Row],[Discount]]</f>
        <v>226.57</v>
      </c>
      <c r="Z116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62" spans="1:26" x14ac:dyDescent="0.3">
      <c r="A1162">
        <v>1632</v>
      </c>
      <c r="B1162" t="s">
        <v>497</v>
      </c>
      <c r="C1162" t="s">
        <v>13</v>
      </c>
      <c r="D1162">
        <v>0.02</v>
      </c>
      <c r="E1162">
        <v>25.99</v>
      </c>
      <c r="F1162">
        <v>5.37</v>
      </c>
      <c r="G1162" t="s">
        <v>14</v>
      </c>
      <c r="H1162" t="s">
        <v>47</v>
      </c>
      <c r="I1162" t="s">
        <v>24</v>
      </c>
      <c r="J1162" t="s">
        <v>25</v>
      </c>
      <c r="K1162" t="s">
        <v>49</v>
      </c>
      <c r="L1162" t="s">
        <v>1202</v>
      </c>
      <c r="M1162">
        <v>0.56000000000000005</v>
      </c>
      <c r="N1162" t="s">
        <v>8</v>
      </c>
      <c r="O1162" t="s">
        <v>9</v>
      </c>
      <c r="P1162" t="s">
        <v>10</v>
      </c>
      <c r="Q1162" t="s">
        <v>499</v>
      </c>
      <c r="R1162">
        <v>39401</v>
      </c>
      <c r="S1162" s="1">
        <v>42109</v>
      </c>
      <c r="T1162" s="1">
        <v>42111</v>
      </c>
      <c r="U1162">
        <v>-88.158000000000001</v>
      </c>
      <c r="V1162">
        <v>9</v>
      </c>
      <c r="W1162">
        <v>243.24</v>
      </c>
      <c r="X1162">
        <v>90533</v>
      </c>
      <c r="Y1162">
        <f>cleaneddata[[#This Row],[Unit Price]]-cleaneddata[[#This Row],[Discount]]</f>
        <v>25.97</v>
      </c>
      <c r="Z116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63" spans="1:26" x14ac:dyDescent="0.3">
      <c r="A1163">
        <v>553</v>
      </c>
      <c r="B1163" t="s">
        <v>827</v>
      </c>
      <c r="C1163" t="s">
        <v>23</v>
      </c>
      <c r="D1163">
        <v>0.01</v>
      </c>
      <c r="E1163">
        <v>4.9800000000000004</v>
      </c>
      <c r="F1163">
        <v>7.44</v>
      </c>
      <c r="G1163" t="s">
        <v>14</v>
      </c>
      <c r="H1163" t="s">
        <v>70</v>
      </c>
      <c r="I1163" t="s">
        <v>24</v>
      </c>
      <c r="J1163" t="s">
        <v>64</v>
      </c>
      <c r="K1163" t="s">
        <v>49</v>
      </c>
      <c r="L1163" t="s">
        <v>2150</v>
      </c>
      <c r="M1163">
        <v>0.36</v>
      </c>
      <c r="N1163" t="s">
        <v>8</v>
      </c>
      <c r="O1163" t="s">
        <v>35</v>
      </c>
      <c r="P1163" t="s">
        <v>66</v>
      </c>
      <c r="Q1163" t="s">
        <v>76</v>
      </c>
      <c r="R1163">
        <v>90008</v>
      </c>
      <c r="S1163" s="1">
        <v>42109</v>
      </c>
      <c r="T1163" s="1">
        <v>42118</v>
      </c>
      <c r="U1163">
        <v>-179.59200000000001</v>
      </c>
      <c r="V1163">
        <v>63</v>
      </c>
      <c r="W1163">
        <v>330.21</v>
      </c>
      <c r="X1163">
        <v>8165</v>
      </c>
      <c r="Y1163">
        <f>cleaneddata[[#This Row],[Unit Price]]-cleaneddata[[#This Row],[Discount]]</f>
        <v>4.9700000000000006</v>
      </c>
      <c r="Z11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64" spans="1:26" x14ac:dyDescent="0.3">
      <c r="A1164">
        <v>555</v>
      </c>
      <c r="B1164" t="s">
        <v>1276</v>
      </c>
      <c r="C1164" t="s">
        <v>23</v>
      </c>
      <c r="D1164">
        <v>0.01</v>
      </c>
      <c r="E1164">
        <v>4.9800000000000004</v>
      </c>
      <c r="F1164">
        <v>7.44</v>
      </c>
      <c r="G1164" t="s">
        <v>14</v>
      </c>
      <c r="H1164" t="s">
        <v>70</v>
      </c>
      <c r="I1164" t="s">
        <v>24</v>
      </c>
      <c r="J1164" t="s">
        <v>64</v>
      </c>
      <c r="K1164" t="s">
        <v>49</v>
      </c>
      <c r="L1164" t="s">
        <v>2150</v>
      </c>
      <c r="M1164">
        <v>0.36</v>
      </c>
      <c r="N1164" t="s">
        <v>8</v>
      </c>
      <c r="O1164" t="s">
        <v>35</v>
      </c>
      <c r="P1164" t="s">
        <v>122</v>
      </c>
      <c r="Q1164" t="s">
        <v>1277</v>
      </c>
      <c r="R1164">
        <v>84062</v>
      </c>
      <c r="S1164" s="1">
        <v>42109</v>
      </c>
      <c r="T1164" s="1">
        <v>42118</v>
      </c>
      <c r="U1164">
        <v>-161.6328</v>
      </c>
      <c r="V1164">
        <v>16</v>
      </c>
      <c r="W1164">
        <v>83.86</v>
      </c>
      <c r="X1164">
        <v>86191</v>
      </c>
      <c r="Y1164">
        <f>cleaneddata[[#This Row],[Unit Price]]-cleaneddata[[#This Row],[Discount]]</f>
        <v>4.9700000000000006</v>
      </c>
      <c r="Z116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65" spans="1:26" x14ac:dyDescent="0.3">
      <c r="A1165">
        <v>2952</v>
      </c>
      <c r="B1165" t="s">
        <v>2151</v>
      </c>
      <c r="C1165" t="s">
        <v>92</v>
      </c>
      <c r="D1165">
        <v>0.08</v>
      </c>
      <c r="E1165">
        <v>5.74</v>
      </c>
      <c r="F1165">
        <v>5.01</v>
      </c>
      <c r="G1165" t="s">
        <v>63</v>
      </c>
      <c r="H1165" t="s">
        <v>70</v>
      </c>
      <c r="I1165" t="s">
        <v>24</v>
      </c>
      <c r="J1165" t="s">
        <v>48</v>
      </c>
      <c r="K1165" t="s">
        <v>49</v>
      </c>
      <c r="L1165" t="s">
        <v>1041</v>
      </c>
      <c r="M1165">
        <v>0.39</v>
      </c>
      <c r="N1165" t="s">
        <v>8</v>
      </c>
      <c r="O1165" t="s">
        <v>87</v>
      </c>
      <c r="P1165" t="s">
        <v>293</v>
      </c>
      <c r="Q1165" t="s">
        <v>2152</v>
      </c>
      <c r="R1165">
        <v>43123</v>
      </c>
      <c r="S1165" s="1">
        <v>42109</v>
      </c>
      <c r="T1165" s="1">
        <v>42111</v>
      </c>
      <c r="U1165">
        <v>-61.628039999999999</v>
      </c>
      <c r="V1165">
        <v>12</v>
      </c>
      <c r="W1165">
        <v>70.03</v>
      </c>
      <c r="X1165">
        <v>91398</v>
      </c>
      <c r="Y1165">
        <f>cleaneddata[[#This Row],[Unit Price]]-cleaneddata[[#This Row],[Discount]]</f>
        <v>5.66</v>
      </c>
      <c r="Z116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66" spans="1:26" x14ac:dyDescent="0.3">
      <c r="A1166">
        <v>568</v>
      </c>
      <c r="B1166" t="s">
        <v>1458</v>
      </c>
      <c r="C1166" t="s">
        <v>46</v>
      </c>
      <c r="D1166">
        <v>0.09</v>
      </c>
      <c r="E1166">
        <v>70.97</v>
      </c>
      <c r="F1166">
        <v>3.5</v>
      </c>
      <c r="G1166" t="s">
        <v>14</v>
      </c>
      <c r="H1166" t="s">
        <v>15</v>
      </c>
      <c r="I1166" t="s">
        <v>24</v>
      </c>
      <c r="J1166" t="s">
        <v>71</v>
      </c>
      <c r="K1166" t="s">
        <v>49</v>
      </c>
      <c r="L1166" t="s">
        <v>2153</v>
      </c>
      <c r="M1166">
        <v>0.59</v>
      </c>
      <c r="N1166" t="s">
        <v>8</v>
      </c>
      <c r="O1166" t="s">
        <v>9</v>
      </c>
      <c r="P1166" t="s">
        <v>10</v>
      </c>
      <c r="Q1166" t="s">
        <v>1459</v>
      </c>
      <c r="R1166">
        <v>39701</v>
      </c>
      <c r="S1166" s="1">
        <v>42109</v>
      </c>
      <c r="T1166" s="1">
        <v>42109</v>
      </c>
      <c r="U1166">
        <v>-99.567999999999998</v>
      </c>
      <c r="V1166">
        <v>12</v>
      </c>
      <c r="W1166">
        <v>805.99</v>
      </c>
      <c r="X1166">
        <v>88880</v>
      </c>
      <c r="Y1166">
        <f>cleaneddata[[#This Row],[Unit Price]]-cleaneddata[[#This Row],[Discount]]</f>
        <v>70.88</v>
      </c>
      <c r="Z11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67" spans="1:26" x14ac:dyDescent="0.3">
      <c r="A1167">
        <v>1607</v>
      </c>
      <c r="B1167" t="s">
        <v>1011</v>
      </c>
      <c r="C1167" t="s">
        <v>46</v>
      </c>
      <c r="D1167">
        <v>0.01</v>
      </c>
      <c r="E1167">
        <v>15.16</v>
      </c>
      <c r="F1167">
        <v>15.09</v>
      </c>
      <c r="G1167" t="s">
        <v>14</v>
      </c>
      <c r="H1167" t="s">
        <v>47</v>
      </c>
      <c r="I1167" t="s">
        <v>24</v>
      </c>
      <c r="J1167" t="s">
        <v>48</v>
      </c>
      <c r="K1167" t="s">
        <v>49</v>
      </c>
      <c r="L1167" t="s">
        <v>2154</v>
      </c>
      <c r="M1167">
        <v>0.39</v>
      </c>
      <c r="N1167" t="s">
        <v>8</v>
      </c>
      <c r="O1167" t="s">
        <v>87</v>
      </c>
      <c r="P1167" t="s">
        <v>88</v>
      </c>
      <c r="Q1167" t="s">
        <v>1013</v>
      </c>
      <c r="R1167">
        <v>11520</v>
      </c>
      <c r="S1167" s="1">
        <v>42109</v>
      </c>
      <c r="T1167" s="1">
        <v>42109</v>
      </c>
      <c r="U1167">
        <v>-200.85900000000001</v>
      </c>
      <c r="V1167">
        <v>7</v>
      </c>
      <c r="W1167">
        <v>110.93</v>
      </c>
      <c r="X1167">
        <v>87994</v>
      </c>
      <c r="Y1167">
        <f>cleaneddata[[#This Row],[Unit Price]]-cleaneddata[[#This Row],[Discount]]</f>
        <v>15.15</v>
      </c>
      <c r="Z11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68" spans="1:26" x14ac:dyDescent="0.3">
      <c r="A1168">
        <v>1818</v>
      </c>
      <c r="B1168" t="s">
        <v>2155</v>
      </c>
      <c r="C1168" t="s">
        <v>46</v>
      </c>
      <c r="D1168">
        <v>0.06</v>
      </c>
      <c r="E1168">
        <v>17.98</v>
      </c>
      <c r="F1168">
        <v>8.51</v>
      </c>
      <c r="G1168" t="s">
        <v>14</v>
      </c>
      <c r="H1168" t="s">
        <v>15</v>
      </c>
      <c r="I1168" t="s">
        <v>16</v>
      </c>
      <c r="J1168" t="s">
        <v>32</v>
      </c>
      <c r="K1168" t="s">
        <v>120</v>
      </c>
      <c r="L1168" t="s">
        <v>1856</v>
      </c>
      <c r="M1168">
        <v>0.4</v>
      </c>
      <c r="N1168" t="s">
        <v>8</v>
      </c>
      <c r="O1168" t="s">
        <v>28</v>
      </c>
      <c r="P1168" t="s">
        <v>265</v>
      </c>
      <c r="Q1168" t="s">
        <v>2156</v>
      </c>
      <c r="R1168">
        <v>48126</v>
      </c>
      <c r="S1168" s="1">
        <v>42109</v>
      </c>
      <c r="T1168" s="1">
        <v>42111</v>
      </c>
      <c r="U1168">
        <v>-47.243088</v>
      </c>
      <c r="V1168">
        <v>3</v>
      </c>
      <c r="W1168">
        <v>56.38</v>
      </c>
      <c r="X1168">
        <v>85991</v>
      </c>
      <c r="Y1168">
        <f>cleaneddata[[#This Row],[Unit Price]]-cleaneddata[[#This Row],[Discount]]</f>
        <v>17.920000000000002</v>
      </c>
      <c r="Z116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69" spans="1:26" x14ac:dyDescent="0.3">
      <c r="A1169">
        <v>1818</v>
      </c>
      <c r="B1169" t="s">
        <v>2155</v>
      </c>
      <c r="C1169" t="s">
        <v>46</v>
      </c>
      <c r="D1169">
        <v>0.1</v>
      </c>
      <c r="E1169">
        <v>9.99</v>
      </c>
      <c r="F1169">
        <v>4.78</v>
      </c>
      <c r="G1169" t="s">
        <v>63</v>
      </c>
      <c r="H1169" t="s">
        <v>15</v>
      </c>
      <c r="I1169" t="s">
        <v>24</v>
      </c>
      <c r="J1169" t="s">
        <v>64</v>
      </c>
      <c r="K1169" t="s">
        <v>49</v>
      </c>
      <c r="L1169" t="s">
        <v>1495</v>
      </c>
      <c r="M1169">
        <v>0.4</v>
      </c>
      <c r="N1169" t="s">
        <v>8</v>
      </c>
      <c r="O1169" t="s">
        <v>28</v>
      </c>
      <c r="P1169" t="s">
        <v>265</v>
      </c>
      <c r="Q1169" t="s">
        <v>2156</v>
      </c>
      <c r="R1169">
        <v>48126</v>
      </c>
      <c r="S1169" s="1">
        <v>42109</v>
      </c>
      <c r="T1169" s="1">
        <v>42112</v>
      </c>
      <c r="U1169">
        <v>9.1539999999999999</v>
      </c>
      <c r="V1169">
        <v>12</v>
      </c>
      <c r="W1169">
        <v>119.13</v>
      </c>
      <c r="X1169">
        <v>85991</v>
      </c>
      <c r="Y1169">
        <f>cleaneddata[[#This Row],[Unit Price]]-cleaneddata[[#This Row],[Discount]]</f>
        <v>9.89</v>
      </c>
      <c r="Z116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70" spans="1:26" x14ac:dyDescent="0.3">
      <c r="A1170">
        <v>1821</v>
      </c>
      <c r="B1170" t="s">
        <v>974</v>
      </c>
      <c r="C1170" t="s">
        <v>46</v>
      </c>
      <c r="D1170">
        <v>7.0000000000000007E-2</v>
      </c>
      <c r="E1170">
        <v>18.649999999999999</v>
      </c>
      <c r="F1170">
        <v>3.77</v>
      </c>
      <c r="G1170" t="s">
        <v>14</v>
      </c>
      <c r="H1170" t="s">
        <v>15</v>
      </c>
      <c r="I1170" t="s">
        <v>4</v>
      </c>
      <c r="J1170" t="s">
        <v>102</v>
      </c>
      <c r="K1170" t="s">
        <v>18</v>
      </c>
      <c r="L1170" t="s">
        <v>2157</v>
      </c>
      <c r="M1170">
        <v>0.39</v>
      </c>
      <c r="N1170" t="s">
        <v>8</v>
      </c>
      <c r="O1170" t="s">
        <v>87</v>
      </c>
      <c r="P1170" t="s">
        <v>88</v>
      </c>
      <c r="Q1170" t="s">
        <v>89</v>
      </c>
      <c r="R1170">
        <v>10177</v>
      </c>
      <c r="S1170" s="1">
        <v>42109</v>
      </c>
      <c r="T1170" s="1">
        <v>42110</v>
      </c>
      <c r="U1170">
        <v>149.72</v>
      </c>
      <c r="V1170">
        <v>34</v>
      </c>
      <c r="W1170">
        <v>643.64</v>
      </c>
      <c r="X1170">
        <v>47108</v>
      </c>
      <c r="Y1170">
        <f>cleaneddata[[#This Row],[Unit Price]]-cleaneddata[[#This Row],[Discount]]</f>
        <v>18.579999999999998</v>
      </c>
      <c r="Z117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71" spans="1:26" x14ac:dyDescent="0.3">
      <c r="A1171">
        <v>1821</v>
      </c>
      <c r="B1171" t="s">
        <v>974</v>
      </c>
      <c r="C1171" t="s">
        <v>46</v>
      </c>
      <c r="D1171">
        <v>0.06</v>
      </c>
      <c r="E1171">
        <v>17.98</v>
      </c>
      <c r="F1171">
        <v>8.51</v>
      </c>
      <c r="G1171" t="s">
        <v>14</v>
      </c>
      <c r="H1171" t="s">
        <v>15</v>
      </c>
      <c r="I1171" t="s">
        <v>16</v>
      </c>
      <c r="J1171" t="s">
        <v>32</v>
      </c>
      <c r="K1171" t="s">
        <v>120</v>
      </c>
      <c r="L1171" t="s">
        <v>1856</v>
      </c>
      <c r="M1171">
        <v>0.4</v>
      </c>
      <c r="N1171" t="s">
        <v>8</v>
      </c>
      <c r="O1171" t="s">
        <v>87</v>
      </c>
      <c r="P1171" t="s">
        <v>88</v>
      </c>
      <c r="Q1171" t="s">
        <v>89</v>
      </c>
      <c r="R1171">
        <v>10177</v>
      </c>
      <c r="S1171" s="1">
        <v>42109</v>
      </c>
      <c r="T1171" s="1">
        <v>42111</v>
      </c>
      <c r="U1171">
        <v>-52.492319999999999</v>
      </c>
      <c r="V1171">
        <v>13</v>
      </c>
      <c r="W1171">
        <v>244.31</v>
      </c>
      <c r="X1171">
        <v>47108</v>
      </c>
      <c r="Y1171">
        <f>cleaneddata[[#This Row],[Unit Price]]-cleaneddata[[#This Row],[Discount]]</f>
        <v>17.920000000000002</v>
      </c>
      <c r="Z117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72" spans="1:26" x14ac:dyDescent="0.3">
      <c r="A1172">
        <v>1821</v>
      </c>
      <c r="B1172" t="s">
        <v>974</v>
      </c>
      <c r="C1172" t="s">
        <v>46</v>
      </c>
      <c r="D1172">
        <v>0.1</v>
      </c>
      <c r="E1172">
        <v>9.99</v>
      </c>
      <c r="F1172">
        <v>4.78</v>
      </c>
      <c r="G1172" t="s">
        <v>63</v>
      </c>
      <c r="H1172" t="s">
        <v>15</v>
      </c>
      <c r="I1172" t="s">
        <v>24</v>
      </c>
      <c r="J1172" t="s">
        <v>64</v>
      </c>
      <c r="K1172" t="s">
        <v>49</v>
      </c>
      <c r="L1172" t="s">
        <v>1495</v>
      </c>
      <c r="M1172">
        <v>0.4</v>
      </c>
      <c r="N1172" t="s">
        <v>8</v>
      </c>
      <c r="O1172" t="s">
        <v>87</v>
      </c>
      <c r="P1172" t="s">
        <v>88</v>
      </c>
      <c r="Q1172" t="s">
        <v>89</v>
      </c>
      <c r="R1172">
        <v>10177</v>
      </c>
      <c r="S1172" s="1">
        <v>42109</v>
      </c>
      <c r="T1172" s="1">
        <v>42112</v>
      </c>
      <c r="U1172">
        <v>7.96</v>
      </c>
      <c r="V1172">
        <v>47</v>
      </c>
      <c r="W1172">
        <v>466.58</v>
      </c>
      <c r="X1172">
        <v>47108</v>
      </c>
      <c r="Y1172">
        <f>cleaneddata[[#This Row],[Unit Price]]-cleaneddata[[#This Row],[Discount]]</f>
        <v>9.89</v>
      </c>
      <c r="Z117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73" spans="1:26" x14ac:dyDescent="0.3">
      <c r="A1173">
        <v>1821</v>
      </c>
      <c r="B1173" t="s">
        <v>974</v>
      </c>
      <c r="C1173" t="s">
        <v>46</v>
      </c>
      <c r="D1173">
        <v>0.08</v>
      </c>
      <c r="E1173">
        <v>175.99</v>
      </c>
      <c r="F1173">
        <v>8.99</v>
      </c>
      <c r="G1173" t="s">
        <v>63</v>
      </c>
      <c r="H1173" t="s">
        <v>15</v>
      </c>
      <c r="I1173" t="s">
        <v>16</v>
      </c>
      <c r="J1173" t="s">
        <v>111</v>
      </c>
      <c r="K1173" t="s">
        <v>49</v>
      </c>
      <c r="L1173" t="s">
        <v>1155</v>
      </c>
      <c r="M1173">
        <v>0.56999999999999995</v>
      </c>
      <c r="N1173" t="s">
        <v>8</v>
      </c>
      <c r="O1173" t="s">
        <v>87</v>
      </c>
      <c r="P1173" t="s">
        <v>88</v>
      </c>
      <c r="Q1173" t="s">
        <v>89</v>
      </c>
      <c r="R1173">
        <v>10177</v>
      </c>
      <c r="S1173" s="1">
        <v>42109</v>
      </c>
      <c r="T1173" s="1">
        <v>42110</v>
      </c>
      <c r="U1173">
        <v>-459.08280000000002</v>
      </c>
      <c r="V1173">
        <v>16</v>
      </c>
      <c r="W1173">
        <v>2290.69</v>
      </c>
      <c r="X1173">
        <v>47108</v>
      </c>
      <c r="Y1173">
        <f>cleaneddata[[#This Row],[Unit Price]]-cleaneddata[[#This Row],[Discount]]</f>
        <v>175.91</v>
      </c>
      <c r="Z117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74" spans="1:26" x14ac:dyDescent="0.3">
      <c r="A1174">
        <v>2139</v>
      </c>
      <c r="B1174" t="s">
        <v>2158</v>
      </c>
      <c r="C1174" t="s">
        <v>1</v>
      </c>
      <c r="D1174">
        <v>0.05</v>
      </c>
      <c r="E1174">
        <v>2550.14</v>
      </c>
      <c r="F1174">
        <v>29.7</v>
      </c>
      <c r="G1174" t="s">
        <v>2</v>
      </c>
      <c r="H1174" t="s">
        <v>70</v>
      </c>
      <c r="I1174" t="s">
        <v>16</v>
      </c>
      <c r="J1174" t="s">
        <v>32</v>
      </c>
      <c r="K1174" t="s">
        <v>33</v>
      </c>
      <c r="L1174" t="s">
        <v>1948</v>
      </c>
      <c r="M1174">
        <v>0.56999999999999995</v>
      </c>
      <c r="N1174" t="s">
        <v>8</v>
      </c>
      <c r="O1174" t="s">
        <v>28</v>
      </c>
      <c r="P1174" t="s">
        <v>333</v>
      </c>
      <c r="Q1174" t="s">
        <v>106</v>
      </c>
      <c r="R1174">
        <v>53094</v>
      </c>
      <c r="S1174" s="1">
        <v>42110</v>
      </c>
      <c r="T1174" s="1">
        <v>42111</v>
      </c>
      <c r="U1174">
        <v>-3971.0628000000002</v>
      </c>
      <c r="V1174">
        <v>2</v>
      </c>
      <c r="W1174">
        <v>4845.2700000000004</v>
      </c>
      <c r="X1174">
        <v>86003</v>
      </c>
      <c r="Y1174">
        <f>cleaneddata[[#This Row],[Unit Price]]-cleaneddata[[#This Row],[Discount]]</f>
        <v>2550.0899999999997</v>
      </c>
      <c r="Z11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75" spans="1:26" x14ac:dyDescent="0.3">
      <c r="A1175">
        <v>1916</v>
      </c>
      <c r="B1175" t="s">
        <v>1370</v>
      </c>
      <c r="C1175" t="s">
        <v>13</v>
      </c>
      <c r="D1175">
        <v>0.01</v>
      </c>
      <c r="E1175">
        <v>125.99</v>
      </c>
      <c r="F1175">
        <v>8.99</v>
      </c>
      <c r="G1175" t="s">
        <v>14</v>
      </c>
      <c r="H1175" t="s">
        <v>47</v>
      </c>
      <c r="I1175" t="s">
        <v>16</v>
      </c>
      <c r="J1175" t="s">
        <v>111</v>
      </c>
      <c r="K1175" t="s">
        <v>49</v>
      </c>
      <c r="L1175" t="s">
        <v>1630</v>
      </c>
      <c r="M1175">
        <v>0.55000000000000004</v>
      </c>
      <c r="N1175" t="s">
        <v>8</v>
      </c>
      <c r="O1175" t="s">
        <v>9</v>
      </c>
      <c r="P1175" t="s">
        <v>20</v>
      </c>
      <c r="Q1175" t="s">
        <v>1372</v>
      </c>
      <c r="R1175">
        <v>72209</v>
      </c>
      <c r="S1175" s="1">
        <v>42110</v>
      </c>
      <c r="T1175" s="1">
        <v>42112</v>
      </c>
      <c r="U1175">
        <v>-45.472000000000001</v>
      </c>
      <c r="V1175">
        <v>9</v>
      </c>
      <c r="W1175">
        <v>1011.44</v>
      </c>
      <c r="X1175">
        <v>85895</v>
      </c>
      <c r="Y1175">
        <f>cleaneddata[[#This Row],[Unit Price]]-cleaneddata[[#This Row],[Discount]]</f>
        <v>125.97999999999999</v>
      </c>
      <c r="Z117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76" spans="1:26" x14ac:dyDescent="0.3">
      <c r="A1176">
        <v>653</v>
      </c>
      <c r="B1176" t="s">
        <v>2159</v>
      </c>
      <c r="C1176" t="s">
        <v>46</v>
      </c>
      <c r="D1176">
        <v>0</v>
      </c>
      <c r="E1176">
        <v>2.78</v>
      </c>
      <c r="F1176">
        <v>1.49</v>
      </c>
      <c r="G1176" t="s">
        <v>63</v>
      </c>
      <c r="H1176" t="s">
        <v>15</v>
      </c>
      <c r="I1176" t="s">
        <v>24</v>
      </c>
      <c r="J1176" t="s">
        <v>48</v>
      </c>
      <c r="K1176" t="s">
        <v>49</v>
      </c>
      <c r="L1176" t="s">
        <v>2160</v>
      </c>
      <c r="M1176">
        <v>0.36</v>
      </c>
      <c r="N1176" t="s">
        <v>8</v>
      </c>
      <c r="O1176" t="s">
        <v>35</v>
      </c>
      <c r="P1176" t="s">
        <v>66</v>
      </c>
      <c r="Q1176" t="s">
        <v>2122</v>
      </c>
      <c r="R1176">
        <v>91730</v>
      </c>
      <c r="S1176" s="1">
        <v>42110</v>
      </c>
      <c r="T1176" s="1">
        <v>42111</v>
      </c>
      <c r="U1176">
        <v>20.6448</v>
      </c>
      <c r="V1176">
        <v>9</v>
      </c>
      <c r="W1176">
        <v>29.92</v>
      </c>
      <c r="X1176">
        <v>91213</v>
      </c>
      <c r="Y1176">
        <f>cleaneddata[[#This Row],[Unit Price]]-cleaneddata[[#This Row],[Discount]]</f>
        <v>2.78</v>
      </c>
      <c r="Z11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77" spans="1:26" x14ac:dyDescent="0.3">
      <c r="A1177">
        <v>1041</v>
      </c>
      <c r="B1177" t="s">
        <v>2161</v>
      </c>
      <c r="C1177" t="s">
        <v>1</v>
      </c>
      <c r="D1177">
        <v>0.06</v>
      </c>
      <c r="E1177">
        <v>55.94</v>
      </c>
      <c r="F1177">
        <v>4</v>
      </c>
      <c r="G1177" t="s">
        <v>14</v>
      </c>
      <c r="H1177" t="s">
        <v>3</v>
      </c>
      <c r="I1177" t="s">
        <v>16</v>
      </c>
      <c r="J1177" t="s">
        <v>17</v>
      </c>
      <c r="K1177" t="s">
        <v>49</v>
      </c>
      <c r="L1177" t="s">
        <v>1760</v>
      </c>
      <c r="M1177">
        <v>0.74</v>
      </c>
      <c r="N1177" t="s">
        <v>8</v>
      </c>
      <c r="O1177" t="s">
        <v>35</v>
      </c>
      <c r="P1177" t="s">
        <v>66</v>
      </c>
      <c r="Q1177" t="s">
        <v>2162</v>
      </c>
      <c r="R1177">
        <v>95695</v>
      </c>
      <c r="S1177" s="1">
        <v>42111</v>
      </c>
      <c r="T1177" s="1">
        <v>42112</v>
      </c>
      <c r="U1177">
        <v>-13.77</v>
      </c>
      <c r="V1177">
        <v>6</v>
      </c>
      <c r="W1177">
        <v>322.77</v>
      </c>
      <c r="X1177">
        <v>87846</v>
      </c>
      <c r="Y1177">
        <f>cleaneddata[[#This Row],[Unit Price]]-cleaneddata[[#This Row],[Discount]]</f>
        <v>55.879999999999995</v>
      </c>
      <c r="Z117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78" spans="1:26" x14ac:dyDescent="0.3">
      <c r="A1178">
        <v>1041</v>
      </c>
      <c r="B1178" t="s">
        <v>2161</v>
      </c>
      <c r="C1178" t="s">
        <v>1</v>
      </c>
      <c r="D1178">
        <v>7.0000000000000007E-2</v>
      </c>
      <c r="E1178">
        <v>6.3</v>
      </c>
      <c r="F1178">
        <v>0.5</v>
      </c>
      <c r="G1178" t="s">
        <v>14</v>
      </c>
      <c r="H1178" t="s">
        <v>3</v>
      </c>
      <c r="I1178" t="s">
        <v>24</v>
      </c>
      <c r="J1178" t="s">
        <v>128</v>
      </c>
      <c r="K1178" t="s">
        <v>49</v>
      </c>
      <c r="L1178" t="s">
        <v>802</v>
      </c>
      <c r="M1178">
        <v>0.39</v>
      </c>
      <c r="N1178" t="s">
        <v>8</v>
      </c>
      <c r="O1178" t="s">
        <v>35</v>
      </c>
      <c r="P1178" t="s">
        <v>66</v>
      </c>
      <c r="Q1178" t="s">
        <v>2162</v>
      </c>
      <c r="R1178">
        <v>95695</v>
      </c>
      <c r="S1178" s="1">
        <v>42111</v>
      </c>
      <c r="T1178" s="1">
        <v>42111</v>
      </c>
      <c r="U1178">
        <v>44.912100000000002</v>
      </c>
      <c r="V1178">
        <v>11</v>
      </c>
      <c r="W1178">
        <v>65.09</v>
      </c>
      <c r="X1178">
        <v>87846</v>
      </c>
      <c r="Y1178">
        <f>cleaneddata[[#This Row],[Unit Price]]-cleaneddata[[#This Row],[Discount]]</f>
        <v>6.2299999999999995</v>
      </c>
      <c r="Z117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79" spans="1:26" x14ac:dyDescent="0.3">
      <c r="A1179">
        <v>1350</v>
      </c>
      <c r="B1179" t="s">
        <v>2163</v>
      </c>
      <c r="C1179" t="s">
        <v>13</v>
      </c>
      <c r="D1179">
        <v>0</v>
      </c>
      <c r="E1179">
        <v>12.2</v>
      </c>
      <c r="F1179">
        <v>6.02</v>
      </c>
      <c r="G1179" t="s">
        <v>63</v>
      </c>
      <c r="H1179" t="s">
        <v>47</v>
      </c>
      <c r="I1179" t="s">
        <v>4</v>
      </c>
      <c r="J1179" t="s">
        <v>102</v>
      </c>
      <c r="K1179" t="s">
        <v>18</v>
      </c>
      <c r="L1179" t="s">
        <v>2132</v>
      </c>
      <c r="M1179">
        <v>0.43</v>
      </c>
      <c r="N1179" t="s">
        <v>8</v>
      </c>
      <c r="O1179" t="s">
        <v>9</v>
      </c>
      <c r="P1179" t="s">
        <v>99</v>
      </c>
      <c r="Q1179" t="s">
        <v>2164</v>
      </c>
      <c r="R1179">
        <v>33055</v>
      </c>
      <c r="S1179" s="1">
        <v>42111</v>
      </c>
      <c r="T1179" s="1">
        <v>42112</v>
      </c>
      <c r="U1179">
        <v>-172.298</v>
      </c>
      <c r="V1179">
        <v>4</v>
      </c>
      <c r="W1179">
        <v>56.24</v>
      </c>
      <c r="X1179">
        <v>88233</v>
      </c>
      <c r="Y1179">
        <f>cleaneddata[[#This Row],[Unit Price]]-cleaneddata[[#This Row],[Discount]]</f>
        <v>12.2</v>
      </c>
      <c r="Z117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80" spans="1:26" x14ac:dyDescent="0.3">
      <c r="A1180">
        <v>2867</v>
      </c>
      <c r="B1180" t="s">
        <v>2165</v>
      </c>
      <c r="C1180" t="s">
        <v>13</v>
      </c>
      <c r="D1180">
        <v>0.01</v>
      </c>
      <c r="E1180">
        <v>125.99</v>
      </c>
      <c r="F1180">
        <v>8.99</v>
      </c>
      <c r="G1180" t="s">
        <v>14</v>
      </c>
      <c r="H1180" t="s">
        <v>70</v>
      </c>
      <c r="I1180" t="s">
        <v>16</v>
      </c>
      <c r="J1180" t="s">
        <v>111</v>
      </c>
      <c r="K1180" t="s">
        <v>49</v>
      </c>
      <c r="L1180" t="s">
        <v>329</v>
      </c>
      <c r="M1180">
        <v>0.59</v>
      </c>
      <c r="N1180" t="s">
        <v>8</v>
      </c>
      <c r="O1180" t="s">
        <v>87</v>
      </c>
      <c r="P1180" t="s">
        <v>350</v>
      </c>
      <c r="Q1180" t="s">
        <v>42</v>
      </c>
      <c r="R1180">
        <v>20016</v>
      </c>
      <c r="S1180" s="1">
        <v>42111</v>
      </c>
      <c r="T1180" s="1">
        <v>42112</v>
      </c>
      <c r="U1180">
        <v>-582.64800000000002</v>
      </c>
      <c r="V1180">
        <v>2</v>
      </c>
      <c r="W1180">
        <v>226.88</v>
      </c>
      <c r="X1180">
        <v>11013</v>
      </c>
      <c r="Y1180">
        <f>cleaneddata[[#This Row],[Unit Price]]-cleaneddata[[#This Row],[Discount]]</f>
        <v>125.97999999999999</v>
      </c>
      <c r="Z118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81" spans="1:26" x14ac:dyDescent="0.3">
      <c r="A1181">
        <v>2868</v>
      </c>
      <c r="B1181" t="s">
        <v>298</v>
      </c>
      <c r="C1181" t="s">
        <v>13</v>
      </c>
      <c r="D1181">
        <v>0.01</v>
      </c>
      <c r="E1181">
        <v>125.99</v>
      </c>
      <c r="F1181">
        <v>8.99</v>
      </c>
      <c r="G1181" t="s">
        <v>14</v>
      </c>
      <c r="H1181" t="s">
        <v>70</v>
      </c>
      <c r="I1181" t="s">
        <v>16</v>
      </c>
      <c r="J1181" t="s">
        <v>111</v>
      </c>
      <c r="K1181" t="s">
        <v>49</v>
      </c>
      <c r="L1181" t="s">
        <v>329</v>
      </c>
      <c r="M1181">
        <v>0.59</v>
      </c>
      <c r="N1181" t="s">
        <v>8</v>
      </c>
      <c r="O1181" t="s">
        <v>35</v>
      </c>
      <c r="P1181" t="s">
        <v>42</v>
      </c>
      <c r="Q1181" t="s">
        <v>300</v>
      </c>
      <c r="R1181">
        <v>98026</v>
      </c>
      <c r="S1181" s="1">
        <v>42111</v>
      </c>
      <c r="T1181" s="1">
        <v>42112</v>
      </c>
      <c r="U1181">
        <v>-582.64800000000002</v>
      </c>
      <c r="V1181">
        <v>1</v>
      </c>
      <c r="W1181">
        <v>113.44</v>
      </c>
      <c r="X1181">
        <v>85827</v>
      </c>
      <c r="Y1181">
        <f>cleaneddata[[#This Row],[Unit Price]]-cleaneddata[[#This Row],[Discount]]</f>
        <v>125.97999999999999</v>
      </c>
      <c r="Z11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82" spans="1:26" x14ac:dyDescent="0.3">
      <c r="A1182">
        <v>1889</v>
      </c>
      <c r="B1182" t="s">
        <v>2166</v>
      </c>
      <c r="C1182" t="s">
        <v>23</v>
      </c>
      <c r="D1182">
        <v>0.09</v>
      </c>
      <c r="E1182">
        <v>78.8</v>
      </c>
      <c r="F1182">
        <v>35</v>
      </c>
      <c r="G1182" t="s">
        <v>14</v>
      </c>
      <c r="H1182" t="s">
        <v>47</v>
      </c>
      <c r="I1182" t="s">
        <v>24</v>
      </c>
      <c r="J1182" t="s">
        <v>54</v>
      </c>
      <c r="K1182" t="s">
        <v>40</v>
      </c>
      <c r="L1182" t="s">
        <v>2167</v>
      </c>
      <c r="M1182">
        <v>0.83</v>
      </c>
      <c r="N1182" t="s">
        <v>8</v>
      </c>
      <c r="O1182" t="s">
        <v>87</v>
      </c>
      <c r="P1182" t="s">
        <v>293</v>
      </c>
      <c r="Q1182" t="s">
        <v>1283</v>
      </c>
      <c r="R1182">
        <v>45429</v>
      </c>
      <c r="S1182" s="1">
        <v>42111</v>
      </c>
      <c r="T1182" s="1">
        <v>42115</v>
      </c>
      <c r="U1182">
        <v>-1025.0172</v>
      </c>
      <c r="V1182">
        <v>14</v>
      </c>
      <c r="W1182">
        <v>1059.3800000000001</v>
      </c>
      <c r="X1182">
        <v>90631</v>
      </c>
      <c r="Y1182">
        <f>cleaneddata[[#This Row],[Unit Price]]-cleaneddata[[#This Row],[Discount]]</f>
        <v>78.709999999999994</v>
      </c>
      <c r="Z118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183" spans="1:26" x14ac:dyDescent="0.3">
      <c r="A1183">
        <v>2593</v>
      </c>
      <c r="B1183" t="s">
        <v>1571</v>
      </c>
      <c r="C1183" t="s">
        <v>23</v>
      </c>
      <c r="D1183">
        <v>0.02</v>
      </c>
      <c r="E1183">
        <v>419.19</v>
      </c>
      <c r="F1183">
        <v>19.989999999999998</v>
      </c>
      <c r="G1183" t="s">
        <v>14</v>
      </c>
      <c r="H1183" t="s">
        <v>70</v>
      </c>
      <c r="I1183" t="s">
        <v>24</v>
      </c>
      <c r="J1183" t="s">
        <v>54</v>
      </c>
      <c r="K1183" t="s">
        <v>49</v>
      </c>
      <c r="L1183" t="s">
        <v>2168</v>
      </c>
      <c r="M1183">
        <v>0.57999999999999996</v>
      </c>
      <c r="N1183" t="s">
        <v>8</v>
      </c>
      <c r="O1183" t="s">
        <v>9</v>
      </c>
      <c r="P1183" t="s">
        <v>51</v>
      </c>
      <c r="Q1183" t="s">
        <v>1573</v>
      </c>
      <c r="R1183">
        <v>30605</v>
      </c>
      <c r="S1183" s="1">
        <v>42111</v>
      </c>
      <c r="T1183" s="1">
        <v>42111</v>
      </c>
      <c r="U1183">
        <v>-39.606000000000002</v>
      </c>
      <c r="V1183">
        <v>10</v>
      </c>
      <c r="W1183">
        <v>4354.55</v>
      </c>
      <c r="X1183">
        <v>87772</v>
      </c>
      <c r="Y1183">
        <f>cleaneddata[[#This Row],[Unit Price]]-cleaneddata[[#This Row],[Discount]]</f>
        <v>419.17</v>
      </c>
      <c r="Z11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84" spans="1:26" x14ac:dyDescent="0.3">
      <c r="A1184">
        <v>377</v>
      </c>
      <c r="B1184" t="s">
        <v>2169</v>
      </c>
      <c r="C1184" t="s">
        <v>92</v>
      </c>
      <c r="D1184">
        <v>0.03</v>
      </c>
      <c r="E1184">
        <v>25.98</v>
      </c>
      <c r="F1184">
        <v>5.37</v>
      </c>
      <c r="G1184" t="s">
        <v>14</v>
      </c>
      <c r="H1184" t="s">
        <v>15</v>
      </c>
      <c r="I1184" t="s">
        <v>24</v>
      </c>
      <c r="J1184" t="s">
        <v>71</v>
      </c>
      <c r="K1184" t="s">
        <v>120</v>
      </c>
      <c r="L1184" t="s">
        <v>2170</v>
      </c>
      <c r="M1184">
        <v>0.5</v>
      </c>
      <c r="N1184" t="s">
        <v>8</v>
      </c>
      <c r="O1184" t="s">
        <v>28</v>
      </c>
      <c r="P1184" t="s">
        <v>79</v>
      </c>
      <c r="Q1184" t="s">
        <v>2171</v>
      </c>
      <c r="R1184">
        <v>60510</v>
      </c>
      <c r="S1184" s="1">
        <v>42111</v>
      </c>
      <c r="T1184" s="1">
        <v>42111</v>
      </c>
      <c r="U1184">
        <v>250.0376</v>
      </c>
      <c r="V1184">
        <v>17</v>
      </c>
      <c r="W1184">
        <v>460.87</v>
      </c>
      <c r="X1184">
        <v>89579</v>
      </c>
      <c r="Y1184">
        <f>cleaneddata[[#This Row],[Unit Price]]-cleaneddata[[#This Row],[Discount]]</f>
        <v>25.95</v>
      </c>
      <c r="Z118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85" spans="1:26" x14ac:dyDescent="0.3">
      <c r="A1185">
        <v>2004</v>
      </c>
      <c r="B1185" t="s">
        <v>2172</v>
      </c>
      <c r="C1185" t="s">
        <v>92</v>
      </c>
      <c r="D1185">
        <v>0.06</v>
      </c>
      <c r="E1185">
        <v>4.24</v>
      </c>
      <c r="F1185">
        <v>5.41</v>
      </c>
      <c r="G1185" t="s">
        <v>14</v>
      </c>
      <c r="H1185" t="s">
        <v>47</v>
      </c>
      <c r="I1185" t="s">
        <v>24</v>
      </c>
      <c r="J1185" t="s">
        <v>48</v>
      </c>
      <c r="K1185" t="s">
        <v>49</v>
      </c>
      <c r="L1185" t="s">
        <v>1647</v>
      </c>
      <c r="M1185">
        <v>0.35</v>
      </c>
      <c r="N1185" t="s">
        <v>8</v>
      </c>
      <c r="O1185" t="s">
        <v>35</v>
      </c>
      <c r="P1185" t="s">
        <v>253</v>
      </c>
      <c r="Q1185" t="s">
        <v>892</v>
      </c>
      <c r="R1185">
        <v>59715</v>
      </c>
      <c r="S1185" s="1">
        <v>42111</v>
      </c>
      <c r="T1185" s="1">
        <v>42113</v>
      </c>
      <c r="U1185">
        <v>-78.916679999999999</v>
      </c>
      <c r="V1185">
        <v>10</v>
      </c>
      <c r="W1185">
        <v>45</v>
      </c>
      <c r="X1185">
        <v>91277</v>
      </c>
      <c r="Y1185">
        <f>cleaneddata[[#This Row],[Unit Price]]-cleaneddata[[#This Row],[Discount]]</f>
        <v>4.1800000000000006</v>
      </c>
      <c r="Z118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86" spans="1:26" x14ac:dyDescent="0.3">
      <c r="A1186">
        <v>2004</v>
      </c>
      <c r="B1186" t="s">
        <v>2172</v>
      </c>
      <c r="C1186" t="s">
        <v>92</v>
      </c>
      <c r="D1186">
        <v>0.04</v>
      </c>
      <c r="E1186">
        <v>6783.02</v>
      </c>
      <c r="F1186">
        <v>24.49</v>
      </c>
      <c r="G1186" t="s">
        <v>14</v>
      </c>
      <c r="H1186" t="s">
        <v>47</v>
      </c>
      <c r="I1186" t="s">
        <v>16</v>
      </c>
      <c r="J1186" t="s">
        <v>32</v>
      </c>
      <c r="K1186" t="s">
        <v>40</v>
      </c>
      <c r="L1186" t="s">
        <v>290</v>
      </c>
      <c r="M1186">
        <v>0.39</v>
      </c>
      <c r="N1186" t="s">
        <v>8</v>
      </c>
      <c r="O1186" t="s">
        <v>35</v>
      </c>
      <c r="P1186" t="s">
        <v>253</v>
      </c>
      <c r="Q1186" t="s">
        <v>892</v>
      </c>
      <c r="R1186">
        <v>59715</v>
      </c>
      <c r="S1186" s="1">
        <v>42111</v>
      </c>
      <c r="T1186" s="1">
        <v>42113</v>
      </c>
      <c r="U1186">
        <v>-13562.637408000001</v>
      </c>
      <c r="V1186">
        <v>1</v>
      </c>
      <c r="W1186">
        <v>6569.07</v>
      </c>
      <c r="X1186">
        <v>91277</v>
      </c>
      <c r="Y1186">
        <f>cleaneddata[[#This Row],[Unit Price]]-cleaneddata[[#This Row],[Discount]]</f>
        <v>6782.9800000000005</v>
      </c>
      <c r="Z118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187" spans="1:26" x14ac:dyDescent="0.3">
      <c r="A1187">
        <v>507</v>
      </c>
      <c r="B1187" t="s">
        <v>2173</v>
      </c>
      <c r="C1187" t="s">
        <v>1</v>
      </c>
      <c r="D1187">
        <v>0.01</v>
      </c>
      <c r="E1187">
        <v>55.98</v>
      </c>
      <c r="F1187">
        <v>4.8600000000000003</v>
      </c>
      <c r="G1187" t="s">
        <v>63</v>
      </c>
      <c r="H1187" t="s">
        <v>70</v>
      </c>
      <c r="I1187" t="s">
        <v>24</v>
      </c>
      <c r="J1187" t="s">
        <v>64</v>
      </c>
      <c r="K1187" t="s">
        <v>49</v>
      </c>
      <c r="L1187" t="s">
        <v>1691</v>
      </c>
      <c r="M1187">
        <v>0.36</v>
      </c>
      <c r="N1187" t="s">
        <v>8</v>
      </c>
      <c r="O1187" t="s">
        <v>9</v>
      </c>
      <c r="P1187" t="s">
        <v>364</v>
      </c>
      <c r="Q1187" t="s">
        <v>2174</v>
      </c>
      <c r="R1187">
        <v>42104</v>
      </c>
      <c r="S1187" s="1">
        <v>42112</v>
      </c>
      <c r="T1187" s="1">
        <v>42114</v>
      </c>
      <c r="U1187">
        <v>32.940899999999999</v>
      </c>
      <c r="V1187">
        <v>11</v>
      </c>
      <c r="W1187">
        <v>646.97</v>
      </c>
      <c r="X1187">
        <v>87357</v>
      </c>
      <c r="Y1187">
        <f>cleaneddata[[#This Row],[Unit Price]]-cleaneddata[[#This Row],[Discount]]</f>
        <v>55.97</v>
      </c>
      <c r="Z118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88" spans="1:26" x14ac:dyDescent="0.3">
      <c r="A1188">
        <v>507</v>
      </c>
      <c r="B1188" t="s">
        <v>2173</v>
      </c>
      <c r="C1188" t="s">
        <v>1</v>
      </c>
      <c r="D1188">
        <v>0.04</v>
      </c>
      <c r="E1188">
        <v>65.989999999999995</v>
      </c>
      <c r="F1188">
        <v>8.99</v>
      </c>
      <c r="G1188" t="s">
        <v>14</v>
      </c>
      <c r="H1188" t="s">
        <v>70</v>
      </c>
      <c r="I1188" t="s">
        <v>16</v>
      </c>
      <c r="J1188" t="s">
        <v>111</v>
      </c>
      <c r="K1188" t="s">
        <v>49</v>
      </c>
      <c r="L1188" t="s">
        <v>1840</v>
      </c>
      <c r="M1188">
        <v>0.56000000000000005</v>
      </c>
      <c r="N1188" t="s">
        <v>8</v>
      </c>
      <c r="O1188" t="s">
        <v>9</v>
      </c>
      <c r="P1188" t="s">
        <v>364</v>
      </c>
      <c r="Q1188" t="s">
        <v>2174</v>
      </c>
      <c r="R1188">
        <v>42104</v>
      </c>
      <c r="S1188" s="1">
        <v>42112</v>
      </c>
      <c r="T1188" s="1">
        <v>42113</v>
      </c>
      <c r="U1188">
        <v>131.334</v>
      </c>
      <c r="V1188">
        <v>17</v>
      </c>
      <c r="W1188">
        <v>946.29</v>
      </c>
      <c r="X1188">
        <v>87357</v>
      </c>
      <c r="Y1188">
        <f>cleaneddata[[#This Row],[Unit Price]]-cleaneddata[[#This Row],[Discount]]</f>
        <v>65.949999999999989</v>
      </c>
      <c r="Z11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89" spans="1:26" x14ac:dyDescent="0.3">
      <c r="A1189">
        <v>665</v>
      </c>
      <c r="B1189" t="s">
        <v>527</v>
      </c>
      <c r="C1189" t="s">
        <v>1</v>
      </c>
      <c r="D1189">
        <v>0.02</v>
      </c>
      <c r="E1189">
        <v>130.97999999999999</v>
      </c>
      <c r="F1189">
        <v>30</v>
      </c>
      <c r="G1189" t="s">
        <v>2</v>
      </c>
      <c r="H1189" t="s">
        <v>70</v>
      </c>
      <c r="I1189" t="s">
        <v>4</v>
      </c>
      <c r="J1189" t="s">
        <v>85</v>
      </c>
      <c r="K1189" t="s">
        <v>33</v>
      </c>
      <c r="L1189" t="s">
        <v>2175</v>
      </c>
      <c r="M1189">
        <v>0.78</v>
      </c>
      <c r="N1189" t="s">
        <v>8</v>
      </c>
      <c r="O1189" t="s">
        <v>9</v>
      </c>
      <c r="P1189" t="s">
        <v>376</v>
      </c>
      <c r="Q1189" t="s">
        <v>528</v>
      </c>
      <c r="R1189">
        <v>37130</v>
      </c>
      <c r="S1189" s="1">
        <v>42112</v>
      </c>
      <c r="T1189" s="1">
        <v>42113</v>
      </c>
      <c r="U1189">
        <v>90.762</v>
      </c>
      <c r="V1189">
        <v>6</v>
      </c>
      <c r="W1189">
        <v>793.39</v>
      </c>
      <c r="X1189">
        <v>88678</v>
      </c>
      <c r="Y1189">
        <f>cleaneddata[[#This Row],[Unit Price]]-cleaneddata[[#This Row],[Discount]]</f>
        <v>130.95999999999998</v>
      </c>
      <c r="Z11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90" spans="1:26" x14ac:dyDescent="0.3">
      <c r="A1190">
        <v>1959</v>
      </c>
      <c r="B1190" t="s">
        <v>685</v>
      </c>
      <c r="C1190" t="s">
        <v>23</v>
      </c>
      <c r="D1190">
        <v>0.02</v>
      </c>
      <c r="E1190">
        <v>9.99</v>
      </c>
      <c r="F1190">
        <v>11.59</v>
      </c>
      <c r="G1190" t="s">
        <v>14</v>
      </c>
      <c r="H1190" t="s">
        <v>47</v>
      </c>
      <c r="I1190" t="s">
        <v>24</v>
      </c>
      <c r="J1190" t="s">
        <v>64</v>
      </c>
      <c r="K1190" t="s">
        <v>49</v>
      </c>
      <c r="L1190" t="s">
        <v>2176</v>
      </c>
      <c r="M1190">
        <v>0.4</v>
      </c>
      <c r="N1190" t="s">
        <v>8</v>
      </c>
      <c r="O1190" t="s">
        <v>9</v>
      </c>
      <c r="P1190" t="s">
        <v>99</v>
      </c>
      <c r="Q1190" t="s">
        <v>104</v>
      </c>
      <c r="R1190">
        <v>33916</v>
      </c>
      <c r="S1190" s="1">
        <v>42112</v>
      </c>
      <c r="T1190" s="1">
        <v>42121</v>
      </c>
      <c r="U1190">
        <v>-171.15770000000001</v>
      </c>
      <c r="V1190">
        <v>43</v>
      </c>
      <c r="W1190">
        <v>475.42</v>
      </c>
      <c r="X1190">
        <v>26342</v>
      </c>
      <c r="Y1190">
        <f>cleaneddata[[#This Row],[Unit Price]]-cleaneddata[[#This Row],[Discount]]</f>
        <v>9.9700000000000006</v>
      </c>
      <c r="Z119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91" spans="1:26" x14ac:dyDescent="0.3">
      <c r="A1191">
        <v>1959</v>
      </c>
      <c r="B1191" t="s">
        <v>685</v>
      </c>
      <c r="C1191" t="s">
        <v>23</v>
      </c>
      <c r="D1191">
        <v>0.02</v>
      </c>
      <c r="E1191">
        <v>48.04</v>
      </c>
      <c r="F1191">
        <v>5.79</v>
      </c>
      <c r="G1191" t="s">
        <v>14</v>
      </c>
      <c r="H1191" t="s">
        <v>47</v>
      </c>
      <c r="I1191" t="s">
        <v>24</v>
      </c>
      <c r="J1191" t="s">
        <v>64</v>
      </c>
      <c r="K1191" t="s">
        <v>49</v>
      </c>
      <c r="L1191" t="s">
        <v>2177</v>
      </c>
      <c r="M1191">
        <v>0.37</v>
      </c>
      <c r="N1191" t="s">
        <v>8</v>
      </c>
      <c r="O1191" t="s">
        <v>9</v>
      </c>
      <c r="P1191" t="s">
        <v>99</v>
      </c>
      <c r="Q1191" t="s">
        <v>104</v>
      </c>
      <c r="R1191">
        <v>33916</v>
      </c>
      <c r="S1191" s="1">
        <v>42112</v>
      </c>
      <c r="T1191" s="1">
        <v>42117</v>
      </c>
      <c r="U1191">
        <v>624.23900000000003</v>
      </c>
      <c r="V1191">
        <v>74</v>
      </c>
      <c r="W1191">
        <v>3598.82</v>
      </c>
      <c r="X1191">
        <v>26342</v>
      </c>
      <c r="Y1191">
        <f>cleaneddata[[#This Row],[Unit Price]]-cleaneddata[[#This Row],[Discount]]</f>
        <v>48.019999999999996</v>
      </c>
      <c r="Z119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92" spans="1:26" x14ac:dyDescent="0.3">
      <c r="A1192">
        <v>1959</v>
      </c>
      <c r="B1192" t="s">
        <v>685</v>
      </c>
      <c r="C1192" t="s">
        <v>23</v>
      </c>
      <c r="D1192">
        <v>0.04</v>
      </c>
      <c r="E1192">
        <v>6.68</v>
      </c>
      <c r="F1192">
        <v>4.91</v>
      </c>
      <c r="G1192" t="s">
        <v>14</v>
      </c>
      <c r="H1192" t="s">
        <v>47</v>
      </c>
      <c r="I1192" t="s">
        <v>24</v>
      </c>
      <c r="J1192" t="s">
        <v>64</v>
      </c>
      <c r="K1192" t="s">
        <v>49</v>
      </c>
      <c r="L1192" t="s">
        <v>252</v>
      </c>
      <c r="M1192">
        <v>0.37</v>
      </c>
      <c r="N1192" t="s">
        <v>8</v>
      </c>
      <c r="O1192" t="s">
        <v>9</v>
      </c>
      <c r="P1192" t="s">
        <v>99</v>
      </c>
      <c r="Q1192" t="s">
        <v>104</v>
      </c>
      <c r="R1192">
        <v>33916</v>
      </c>
      <c r="S1192" s="1">
        <v>42112</v>
      </c>
      <c r="T1192" s="1">
        <v>42119</v>
      </c>
      <c r="U1192">
        <v>-14.3241</v>
      </c>
      <c r="V1192">
        <v>5</v>
      </c>
      <c r="W1192">
        <v>41.22</v>
      </c>
      <c r="X1192">
        <v>26342</v>
      </c>
      <c r="Y1192">
        <f>cleaneddata[[#This Row],[Unit Price]]-cleaneddata[[#This Row],[Discount]]</f>
        <v>6.64</v>
      </c>
      <c r="Z119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93" spans="1:26" x14ac:dyDescent="0.3">
      <c r="A1193">
        <v>1962</v>
      </c>
      <c r="B1193" t="s">
        <v>2178</v>
      </c>
      <c r="C1193" t="s">
        <v>23</v>
      </c>
      <c r="D1193">
        <v>0.02</v>
      </c>
      <c r="E1193">
        <v>48.04</v>
      </c>
      <c r="F1193">
        <v>5.79</v>
      </c>
      <c r="G1193" t="s">
        <v>14</v>
      </c>
      <c r="H1193" t="s">
        <v>47</v>
      </c>
      <c r="I1193" t="s">
        <v>24</v>
      </c>
      <c r="J1193" t="s">
        <v>64</v>
      </c>
      <c r="K1193" t="s">
        <v>49</v>
      </c>
      <c r="L1193" t="s">
        <v>2177</v>
      </c>
      <c r="M1193">
        <v>0.37</v>
      </c>
      <c r="N1193" t="s">
        <v>8</v>
      </c>
      <c r="O1193" t="s">
        <v>28</v>
      </c>
      <c r="P1193" t="s">
        <v>265</v>
      </c>
      <c r="Q1193" t="s">
        <v>2179</v>
      </c>
      <c r="R1193">
        <v>48601</v>
      </c>
      <c r="S1193" s="1">
        <v>42112</v>
      </c>
      <c r="T1193" s="1">
        <v>42117</v>
      </c>
      <c r="U1193">
        <v>604.01909999999998</v>
      </c>
      <c r="V1193">
        <v>18</v>
      </c>
      <c r="W1193">
        <v>875.39</v>
      </c>
      <c r="X1193">
        <v>88857</v>
      </c>
      <c r="Y1193">
        <f>cleaneddata[[#This Row],[Unit Price]]-cleaneddata[[#This Row],[Discount]]</f>
        <v>48.019999999999996</v>
      </c>
      <c r="Z11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94" spans="1:26" x14ac:dyDescent="0.3">
      <c r="A1194">
        <v>1962</v>
      </c>
      <c r="B1194" t="s">
        <v>2178</v>
      </c>
      <c r="C1194" t="s">
        <v>23</v>
      </c>
      <c r="D1194">
        <v>0.04</v>
      </c>
      <c r="E1194">
        <v>6.68</v>
      </c>
      <c r="F1194">
        <v>4.91</v>
      </c>
      <c r="G1194" t="s">
        <v>14</v>
      </c>
      <c r="H1194" t="s">
        <v>47</v>
      </c>
      <c r="I1194" t="s">
        <v>24</v>
      </c>
      <c r="J1194" t="s">
        <v>64</v>
      </c>
      <c r="K1194" t="s">
        <v>49</v>
      </c>
      <c r="L1194" t="s">
        <v>252</v>
      </c>
      <c r="M1194">
        <v>0.37</v>
      </c>
      <c r="N1194" t="s">
        <v>8</v>
      </c>
      <c r="O1194" t="s">
        <v>28</v>
      </c>
      <c r="P1194" t="s">
        <v>265</v>
      </c>
      <c r="Q1194" t="s">
        <v>2179</v>
      </c>
      <c r="R1194">
        <v>48601</v>
      </c>
      <c r="S1194" s="1">
        <v>42112</v>
      </c>
      <c r="T1194" s="1">
        <v>42119</v>
      </c>
      <c r="U1194">
        <v>-11.631600000000001</v>
      </c>
      <c r="V1194">
        <v>1</v>
      </c>
      <c r="W1194">
        <v>8.24</v>
      </c>
      <c r="X1194">
        <v>88857</v>
      </c>
      <c r="Y1194">
        <f>cleaneddata[[#This Row],[Unit Price]]-cleaneddata[[#This Row],[Discount]]</f>
        <v>6.64</v>
      </c>
      <c r="Z11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95" spans="1:26" x14ac:dyDescent="0.3">
      <c r="A1195">
        <v>1826</v>
      </c>
      <c r="B1195" t="s">
        <v>2180</v>
      </c>
      <c r="C1195" t="s">
        <v>92</v>
      </c>
      <c r="D1195">
        <v>0.1</v>
      </c>
      <c r="E1195">
        <v>52.99</v>
      </c>
      <c r="F1195">
        <v>19.989999999999998</v>
      </c>
      <c r="G1195" t="s">
        <v>63</v>
      </c>
      <c r="H1195" t="s">
        <v>70</v>
      </c>
      <c r="I1195" t="s">
        <v>24</v>
      </c>
      <c r="J1195" t="s">
        <v>54</v>
      </c>
      <c r="K1195" t="s">
        <v>49</v>
      </c>
      <c r="L1195" t="s">
        <v>2181</v>
      </c>
      <c r="M1195">
        <v>0.81</v>
      </c>
      <c r="N1195" t="s">
        <v>8</v>
      </c>
      <c r="O1195" t="s">
        <v>28</v>
      </c>
      <c r="P1195" t="s">
        <v>189</v>
      </c>
      <c r="Q1195" t="s">
        <v>2182</v>
      </c>
      <c r="R1195">
        <v>52722</v>
      </c>
      <c r="S1195" s="1">
        <v>42112</v>
      </c>
      <c r="T1195" s="1">
        <v>42113</v>
      </c>
      <c r="U1195">
        <v>-517.16999999999996</v>
      </c>
      <c r="V1195">
        <v>7</v>
      </c>
      <c r="W1195">
        <v>337.59</v>
      </c>
      <c r="X1195">
        <v>86958</v>
      </c>
      <c r="Y1195">
        <f>cleaneddata[[#This Row],[Unit Price]]-cleaneddata[[#This Row],[Discount]]</f>
        <v>52.89</v>
      </c>
      <c r="Z11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96" spans="1:26" x14ac:dyDescent="0.3">
      <c r="A1196">
        <v>1827</v>
      </c>
      <c r="B1196" t="s">
        <v>1242</v>
      </c>
      <c r="C1196" t="s">
        <v>92</v>
      </c>
      <c r="D1196">
        <v>7.0000000000000007E-2</v>
      </c>
      <c r="E1196">
        <v>100.98</v>
      </c>
      <c r="F1196">
        <v>57.38</v>
      </c>
      <c r="G1196" t="s">
        <v>2</v>
      </c>
      <c r="H1196" t="s">
        <v>70</v>
      </c>
      <c r="I1196" t="s">
        <v>4</v>
      </c>
      <c r="J1196" t="s">
        <v>93</v>
      </c>
      <c r="K1196" t="s">
        <v>6</v>
      </c>
      <c r="L1196" t="s">
        <v>2183</v>
      </c>
      <c r="M1196">
        <v>0.78</v>
      </c>
      <c r="N1196" t="s">
        <v>8</v>
      </c>
      <c r="O1196" t="s">
        <v>28</v>
      </c>
      <c r="P1196" t="s">
        <v>189</v>
      </c>
      <c r="Q1196" t="s">
        <v>904</v>
      </c>
      <c r="R1196">
        <v>52601</v>
      </c>
      <c r="S1196" s="1">
        <v>42112</v>
      </c>
      <c r="T1196" s="1">
        <v>42115</v>
      </c>
      <c r="U1196">
        <v>-429.86</v>
      </c>
      <c r="V1196">
        <v>2</v>
      </c>
      <c r="W1196">
        <v>215.32</v>
      </c>
      <c r="X1196">
        <v>86958</v>
      </c>
      <c r="Y1196">
        <f>cleaneddata[[#This Row],[Unit Price]]-cleaneddata[[#This Row],[Discount]]</f>
        <v>100.91000000000001</v>
      </c>
      <c r="Z119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97" spans="1:26" x14ac:dyDescent="0.3">
      <c r="A1197">
        <v>1827</v>
      </c>
      <c r="B1197" t="s">
        <v>1242</v>
      </c>
      <c r="C1197" t="s">
        <v>92</v>
      </c>
      <c r="D1197">
        <v>0.03</v>
      </c>
      <c r="E1197">
        <v>85.99</v>
      </c>
      <c r="F1197">
        <v>0.99</v>
      </c>
      <c r="G1197" t="s">
        <v>14</v>
      </c>
      <c r="H1197" t="s">
        <v>70</v>
      </c>
      <c r="I1197" t="s">
        <v>16</v>
      </c>
      <c r="J1197" t="s">
        <v>111</v>
      </c>
      <c r="K1197" t="s">
        <v>26</v>
      </c>
      <c r="L1197" t="s">
        <v>1152</v>
      </c>
      <c r="M1197">
        <v>0.55000000000000004</v>
      </c>
      <c r="N1197" t="s">
        <v>8</v>
      </c>
      <c r="O1197" t="s">
        <v>28</v>
      </c>
      <c r="P1197" t="s">
        <v>189</v>
      </c>
      <c r="Q1197" t="s">
        <v>904</v>
      </c>
      <c r="R1197">
        <v>52601</v>
      </c>
      <c r="S1197" s="1">
        <v>42112</v>
      </c>
      <c r="T1197" s="1">
        <v>42114</v>
      </c>
      <c r="U1197">
        <v>264.16649999999998</v>
      </c>
      <c r="V1197">
        <v>5</v>
      </c>
      <c r="W1197">
        <v>382.85</v>
      </c>
      <c r="X1197">
        <v>86958</v>
      </c>
      <c r="Y1197">
        <f>cleaneddata[[#This Row],[Unit Price]]-cleaneddata[[#This Row],[Discount]]</f>
        <v>85.96</v>
      </c>
      <c r="Z119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198" spans="1:26" x14ac:dyDescent="0.3">
      <c r="A1198">
        <v>2097</v>
      </c>
      <c r="B1198" t="s">
        <v>2184</v>
      </c>
      <c r="C1198" t="s">
        <v>92</v>
      </c>
      <c r="D1198">
        <v>0.1</v>
      </c>
      <c r="E1198">
        <v>300.97000000000003</v>
      </c>
      <c r="F1198">
        <v>7.18</v>
      </c>
      <c r="G1198" t="s">
        <v>14</v>
      </c>
      <c r="H1198" t="s">
        <v>47</v>
      </c>
      <c r="I1198" t="s">
        <v>16</v>
      </c>
      <c r="J1198" t="s">
        <v>17</v>
      </c>
      <c r="K1198" t="s">
        <v>49</v>
      </c>
      <c r="L1198" t="s">
        <v>2185</v>
      </c>
      <c r="M1198">
        <v>0.48</v>
      </c>
      <c r="N1198" t="s">
        <v>8</v>
      </c>
      <c r="O1198" t="s">
        <v>9</v>
      </c>
      <c r="P1198" t="s">
        <v>247</v>
      </c>
      <c r="Q1198" t="s">
        <v>248</v>
      </c>
      <c r="R1198">
        <v>29915</v>
      </c>
      <c r="S1198" s="1">
        <v>42112</v>
      </c>
      <c r="T1198" s="1">
        <v>42113</v>
      </c>
      <c r="U1198">
        <v>138.018</v>
      </c>
      <c r="V1198">
        <v>4</v>
      </c>
      <c r="W1198">
        <v>1094.33</v>
      </c>
      <c r="X1198">
        <v>87889</v>
      </c>
      <c r="Y1198">
        <f>cleaneddata[[#This Row],[Unit Price]]-cleaneddata[[#This Row],[Discount]]</f>
        <v>300.87</v>
      </c>
      <c r="Z11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199" spans="1:26" x14ac:dyDescent="0.3">
      <c r="A1199">
        <v>2098</v>
      </c>
      <c r="B1199" t="s">
        <v>2186</v>
      </c>
      <c r="C1199" t="s">
        <v>92</v>
      </c>
      <c r="D1199">
        <v>0.06</v>
      </c>
      <c r="E1199">
        <v>39.89</v>
      </c>
      <c r="F1199">
        <v>3.04</v>
      </c>
      <c r="G1199" t="s">
        <v>14</v>
      </c>
      <c r="H1199" t="s">
        <v>47</v>
      </c>
      <c r="I1199" t="s">
        <v>4</v>
      </c>
      <c r="J1199" t="s">
        <v>102</v>
      </c>
      <c r="K1199" t="s">
        <v>26</v>
      </c>
      <c r="L1199" t="s">
        <v>2187</v>
      </c>
      <c r="M1199">
        <v>0.53</v>
      </c>
      <c r="N1199" t="s">
        <v>8</v>
      </c>
      <c r="O1199" t="s">
        <v>9</v>
      </c>
      <c r="P1199" t="s">
        <v>247</v>
      </c>
      <c r="Q1199" t="s">
        <v>2188</v>
      </c>
      <c r="R1199">
        <v>29464</v>
      </c>
      <c r="S1199" s="1">
        <v>42112</v>
      </c>
      <c r="T1199" s="1">
        <v>42114</v>
      </c>
      <c r="U1199">
        <v>38.874000000000002</v>
      </c>
      <c r="V1199">
        <v>10</v>
      </c>
      <c r="W1199">
        <v>389.97</v>
      </c>
      <c r="X1199">
        <v>87889</v>
      </c>
      <c r="Y1199">
        <f>cleaneddata[[#This Row],[Unit Price]]-cleaneddata[[#This Row],[Discount]]</f>
        <v>39.83</v>
      </c>
      <c r="Z119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00" spans="1:26" x14ac:dyDescent="0.3">
      <c r="A1200">
        <v>2655</v>
      </c>
      <c r="B1200" t="s">
        <v>2052</v>
      </c>
      <c r="C1200" t="s">
        <v>92</v>
      </c>
      <c r="D1200">
        <v>0.09</v>
      </c>
      <c r="E1200">
        <v>89.99</v>
      </c>
      <c r="F1200">
        <v>42</v>
      </c>
      <c r="G1200" t="s">
        <v>2</v>
      </c>
      <c r="H1200" t="s">
        <v>15</v>
      </c>
      <c r="I1200" t="s">
        <v>4</v>
      </c>
      <c r="J1200" t="s">
        <v>85</v>
      </c>
      <c r="K1200" t="s">
        <v>33</v>
      </c>
      <c r="L1200" t="s">
        <v>1187</v>
      </c>
      <c r="M1200">
        <v>0.66</v>
      </c>
      <c r="N1200" t="s">
        <v>8</v>
      </c>
      <c r="O1200" t="s">
        <v>9</v>
      </c>
      <c r="P1200" t="s">
        <v>51</v>
      </c>
      <c r="Q1200" t="s">
        <v>337</v>
      </c>
      <c r="R1200">
        <v>30318</v>
      </c>
      <c r="S1200" s="1">
        <v>42112</v>
      </c>
      <c r="T1200" s="1">
        <v>42112</v>
      </c>
      <c r="U1200">
        <v>223.416</v>
      </c>
      <c r="V1200">
        <v>6</v>
      </c>
      <c r="W1200">
        <v>511.25</v>
      </c>
      <c r="X1200">
        <v>86063</v>
      </c>
      <c r="Y1200">
        <f>cleaneddata[[#This Row],[Unit Price]]-cleaneddata[[#This Row],[Discount]]</f>
        <v>89.899999999999991</v>
      </c>
      <c r="Z120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01" spans="1:26" x14ac:dyDescent="0.3">
      <c r="A1201">
        <v>3155</v>
      </c>
      <c r="B1201" t="s">
        <v>618</v>
      </c>
      <c r="C1201" t="s">
        <v>1</v>
      </c>
      <c r="D1201">
        <v>0.05</v>
      </c>
      <c r="E1201">
        <v>159.99</v>
      </c>
      <c r="F1201">
        <v>5.5</v>
      </c>
      <c r="G1201" t="s">
        <v>14</v>
      </c>
      <c r="H1201" t="s">
        <v>15</v>
      </c>
      <c r="I1201" t="s">
        <v>16</v>
      </c>
      <c r="J1201" t="s">
        <v>17</v>
      </c>
      <c r="K1201" t="s">
        <v>49</v>
      </c>
      <c r="L1201" t="s">
        <v>2189</v>
      </c>
      <c r="M1201">
        <v>0.49</v>
      </c>
      <c r="N1201" t="s">
        <v>8</v>
      </c>
      <c r="O1201" t="s">
        <v>9</v>
      </c>
      <c r="P1201" t="s">
        <v>99</v>
      </c>
      <c r="Q1201" t="s">
        <v>308</v>
      </c>
      <c r="R1201">
        <v>32771</v>
      </c>
      <c r="S1201" s="1">
        <v>42113</v>
      </c>
      <c r="T1201" s="1">
        <v>42115</v>
      </c>
      <c r="U1201">
        <v>12.263999999999999</v>
      </c>
      <c r="V1201">
        <v>23</v>
      </c>
      <c r="W1201">
        <v>3600.65</v>
      </c>
      <c r="X1201">
        <v>86902</v>
      </c>
      <c r="Y1201">
        <f>cleaneddata[[#This Row],[Unit Price]]-cleaneddata[[#This Row],[Discount]]</f>
        <v>159.94</v>
      </c>
      <c r="Z120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02" spans="1:26" x14ac:dyDescent="0.3">
      <c r="A1202">
        <v>1836</v>
      </c>
      <c r="B1202" t="s">
        <v>2190</v>
      </c>
      <c r="C1202" t="s">
        <v>13</v>
      </c>
      <c r="D1202">
        <v>0.01</v>
      </c>
      <c r="E1202">
        <v>155.99</v>
      </c>
      <c r="F1202">
        <v>8.99</v>
      </c>
      <c r="G1202" t="s">
        <v>63</v>
      </c>
      <c r="H1202" t="s">
        <v>70</v>
      </c>
      <c r="I1202" t="s">
        <v>16</v>
      </c>
      <c r="J1202" t="s">
        <v>111</v>
      </c>
      <c r="K1202" t="s">
        <v>49</v>
      </c>
      <c r="L1202" t="s">
        <v>1273</v>
      </c>
      <c r="M1202">
        <v>0.57999999999999996</v>
      </c>
      <c r="N1202" t="s">
        <v>8</v>
      </c>
      <c r="O1202" t="s">
        <v>35</v>
      </c>
      <c r="P1202" t="s">
        <v>66</v>
      </c>
      <c r="Q1202" t="s">
        <v>917</v>
      </c>
      <c r="R1202">
        <v>94110</v>
      </c>
      <c r="S1202" s="1">
        <v>42113</v>
      </c>
      <c r="T1202" s="1">
        <v>42114</v>
      </c>
      <c r="U1202">
        <v>-219.07908</v>
      </c>
      <c r="V1202">
        <v>5</v>
      </c>
      <c r="W1202">
        <v>675.83</v>
      </c>
      <c r="X1202">
        <v>86600</v>
      </c>
      <c r="Y1202">
        <f>cleaneddata[[#This Row],[Unit Price]]-cleaneddata[[#This Row],[Discount]]</f>
        <v>155.98000000000002</v>
      </c>
      <c r="Z120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03" spans="1:26" x14ac:dyDescent="0.3">
      <c r="A1203">
        <v>1837</v>
      </c>
      <c r="B1203" t="s">
        <v>2191</v>
      </c>
      <c r="C1203" t="s">
        <v>13</v>
      </c>
      <c r="D1203">
        <v>0.01</v>
      </c>
      <c r="E1203">
        <v>5.98</v>
      </c>
      <c r="F1203">
        <v>5.46</v>
      </c>
      <c r="G1203" t="s">
        <v>14</v>
      </c>
      <c r="H1203" t="s">
        <v>70</v>
      </c>
      <c r="I1203" t="s">
        <v>24</v>
      </c>
      <c r="J1203" t="s">
        <v>64</v>
      </c>
      <c r="K1203" t="s">
        <v>49</v>
      </c>
      <c r="L1203" t="s">
        <v>1132</v>
      </c>
      <c r="M1203">
        <v>0.36</v>
      </c>
      <c r="N1203" t="s">
        <v>8</v>
      </c>
      <c r="O1203" t="s">
        <v>35</v>
      </c>
      <c r="P1203" t="s">
        <v>66</v>
      </c>
      <c r="Q1203" t="s">
        <v>2192</v>
      </c>
      <c r="R1203">
        <v>91776</v>
      </c>
      <c r="S1203" s="1">
        <v>42113</v>
      </c>
      <c r="T1203" s="1">
        <v>42115</v>
      </c>
      <c r="U1203">
        <v>-18.878399999999999</v>
      </c>
      <c r="V1203">
        <v>4</v>
      </c>
      <c r="W1203">
        <v>28</v>
      </c>
      <c r="X1203">
        <v>86600</v>
      </c>
      <c r="Y1203">
        <f>cleaneddata[[#This Row],[Unit Price]]-cleaneddata[[#This Row],[Discount]]</f>
        <v>5.9700000000000006</v>
      </c>
      <c r="Z120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04" spans="1:26" x14ac:dyDescent="0.3">
      <c r="A1204">
        <v>2212</v>
      </c>
      <c r="B1204" t="s">
        <v>2193</v>
      </c>
      <c r="C1204" t="s">
        <v>13</v>
      </c>
      <c r="D1204">
        <v>0.09</v>
      </c>
      <c r="E1204">
        <v>199.99</v>
      </c>
      <c r="F1204">
        <v>24.49</v>
      </c>
      <c r="G1204" t="s">
        <v>63</v>
      </c>
      <c r="H1204" t="s">
        <v>47</v>
      </c>
      <c r="I1204" t="s">
        <v>16</v>
      </c>
      <c r="J1204" t="s">
        <v>39</v>
      </c>
      <c r="K1204" t="s">
        <v>40</v>
      </c>
      <c r="L1204" t="s">
        <v>723</v>
      </c>
      <c r="M1204">
        <v>0.46</v>
      </c>
      <c r="N1204" t="s">
        <v>8</v>
      </c>
      <c r="O1204" t="s">
        <v>87</v>
      </c>
      <c r="P1204" t="s">
        <v>394</v>
      </c>
      <c r="Q1204" t="s">
        <v>2194</v>
      </c>
      <c r="R1204">
        <v>21228</v>
      </c>
      <c r="S1204" s="1">
        <v>42113</v>
      </c>
      <c r="T1204" s="1">
        <v>42115</v>
      </c>
      <c r="U1204">
        <v>631.33000000000004</v>
      </c>
      <c r="V1204">
        <v>5</v>
      </c>
      <c r="W1204">
        <v>990.25</v>
      </c>
      <c r="X1204">
        <v>88029</v>
      </c>
      <c r="Y1204">
        <f>cleaneddata[[#This Row],[Unit Price]]-cleaneddata[[#This Row],[Discount]]</f>
        <v>199.9</v>
      </c>
      <c r="Z120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05" spans="1:26" x14ac:dyDescent="0.3">
      <c r="A1205">
        <v>152</v>
      </c>
      <c r="B1205" t="s">
        <v>481</v>
      </c>
      <c r="C1205" t="s">
        <v>23</v>
      </c>
      <c r="D1205">
        <v>0.01</v>
      </c>
      <c r="E1205">
        <v>79.52</v>
      </c>
      <c r="F1205">
        <v>48.2</v>
      </c>
      <c r="G1205" t="s">
        <v>14</v>
      </c>
      <c r="H1205" t="s">
        <v>47</v>
      </c>
      <c r="I1205" t="s">
        <v>4</v>
      </c>
      <c r="J1205" t="s">
        <v>102</v>
      </c>
      <c r="K1205" t="s">
        <v>120</v>
      </c>
      <c r="L1205" t="s">
        <v>2195</v>
      </c>
      <c r="M1205">
        <v>0.74</v>
      </c>
      <c r="N1205" t="s">
        <v>8</v>
      </c>
      <c r="O1205" t="s">
        <v>9</v>
      </c>
      <c r="P1205" t="s">
        <v>376</v>
      </c>
      <c r="Q1205" t="s">
        <v>483</v>
      </c>
      <c r="R1205">
        <v>37918</v>
      </c>
      <c r="S1205" s="1">
        <v>42113</v>
      </c>
      <c r="T1205" s="1">
        <v>42120</v>
      </c>
      <c r="U1205">
        <v>-40.683999999999997</v>
      </c>
      <c r="V1205">
        <v>8</v>
      </c>
      <c r="W1205">
        <v>667.84</v>
      </c>
      <c r="X1205">
        <v>89522</v>
      </c>
      <c r="Y1205">
        <f>cleaneddata[[#This Row],[Unit Price]]-cleaneddata[[#This Row],[Discount]]</f>
        <v>79.509999999999991</v>
      </c>
      <c r="Z120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06" spans="1:26" x14ac:dyDescent="0.3">
      <c r="A1206">
        <v>1933</v>
      </c>
      <c r="B1206" t="s">
        <v>2196</v>
      </c>
      <c r="C1206" t="s">
        <v>23</v>
      </c>
      <c r="D1206">
        <v>0.06</v>
      </c>
      <c r="E1206">
        <v>3.58</v>
      </c>
      <c r="F1206">
        <v>1.63</v>
      </c>
      <c r="G1206" t="s">
        <v>14</v>
      </c>
      <c r="H1206" t="s">
        <v>70</v>
      </c>
      <c r="I1206" t="s">
        <v>24</v>
      </c>
      <c r="J1206" t="s">
        <v>152</v>
      </c>
      <c r="K1206" t="s">
        <v>26</v>
      </c>
      <c r="L1206" t="s">
        <v>2197</v>
      </c>
      <c r="M1206">
        <v>0.36</v>
      </c>
      <c r="N1206" t="s">
        <v>8</v>
      </c>
      <c r="O1206" t="s">
        <v>28</v>
      </c>
      <c r="P1206" t="s">
        <v>163</v>
      </c>
      <c r="Q1206" t="s">
        <v>2198</v>
      </c>
      <c r="R1206">
        <v>75043</v>
      </c>
      <c r="S1206" s="1">
        <v>42113</v>
      </c>
      <c r="T1206" s="1">
        <v>42117</v>
      </c>
      <c r="U1206">
        <v>14</v>
      </c>
      <c r="V1206">
        <v>10</v>
      </c>
      <c r="W1206">
        <v>34.76</v>
      </c>
      <c r="X1206">
        <v>86687</v>
      </c>
      <c r="Y1206">
        <f>cleaneddata[[#This Row],[Unit Price]]-cleaneddata[[#This Row],[Discount]]</f>
        <v>3.52</v>
      </c>
      <c r="Z12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07" spans="1:26" x14ac:dyDescent="0.3">
      <c r="A1207">
        <v>1940</v>
      </c>
      <c r="B1207" t="s">
        <v>1771</v>
      </c>
      <c r="C1207" t="s">
        <v>23</v>
      </c>
      <c r="D1207">
        <v>0</v>
      </c>
      <c r="E1207">
        <v>78.650000000000006</v>
      </c>
      <c r="F1207">
        <v>13.99</v>
      </c>
      <c r="G1207" t="s">
        <v>14</v>
      </c>
      <c r="H1207" t="s">
        <v>70</v>
      </c>
      <c r="I1207" t="s">
        <v>24</v>
      </c>
      <c r="J1207" t="s">
        <v>71</v>
      </c>
      <c r="K1207" t="s">
        <v>120</v>
      </c>
      <c r="L1207" t="s">
        <v>1690</v>
      </c>
      <c r="M1207">
        <v>0.52</v>
      </c>
      <c r="N1207" t="s">
        <v>8</v>
      </c>
      <c r="O1207" t="s">
        <v>35</v>
      </c>
      <c r="P1207" t="s">
        <v>122</v>
      </c>
      <c r="Q1207" t="s">
        <v>123</v>
      </c>
      <c r="R1207">
        <v>84020</v>
      </c>
      <c r="S1207" s="1">
        <v>42113</v>
      </c>
      <c r="T1207" s="1">
        <v>42120</v>
      </c>
      <c r="U1207">
        <v>386.00670000000002</v>
      </c>
      <c r="V1207">
        <v>7</v>
      </c>
      <c r="W1207">
        <v>559.42999999999995</v>
      </c>
      <c r="X1207">
        <v>88871</v>
      </c>
      <c r="Y1207">
        <f>cleaneddata[[#This Row],[Unit Price]]-cleaneddata[[#This Row],[Discount]]</f>
        <v>78.650000000000006</v>
      </c>
      <c r="Z120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08" spans="1:26" x14ac:dyDescent="0.3">
      <c r="A1208">
        <v>1940</v>
      </c>
      <c r="B1208" t="s">
        <v>1771</v>
      </c>
      <c r="C1208" t="s">
        <v>23</v>
      </c>
      <c r="D1208">
        <v>0.08</v>
      </c>
      <c r="E1208">
        <v>122.99</v>
      </c>
      <c r="F1208">
        <v>70.2</v>
      </c>
      <c r="G1208" t="s">
        <v>2</v>
      </c>
      <c r="H1208" t="s">
        <v>70</v>
      </c>
      <c r="I1208" t="s">
        <v>4</v>
      </c>
      <c r="J1208" t="s">
        <v>85</v>
      </c>
      <c r="K1208" t="s">
        <v>33</v>
      </c>
      <c r="L1208" t="s">
        <v>780</v>
      </c>
      <c r="M1208">
        <v>0.74</v>
      </c>
      <c r="N1208" t="s">
        <v>8</v>
      </c>
      <c r="O1208" t="s">
        <v>35</v>
      </c>
      <c r="P1208" t="s">
        <v>122</v>
      </c>
      <c r="Q1208" t="s">
        <v>123</v>
      </c>
      <c r="R1208">
        <v>84020</v>
      </c>
      <c r="S1208" s="1">
        <v>42113</v>
      </c>
      <c r="T1208" s="1">
        <v>42118</v>
      </c>
      <c r="U1208">
        <v>-1867.97</v>
      </c>
      <c r="V1208">
        <v>10</v>
      </c>
      <c r="W1208">
        <v>1216.52</v>
      </c>
      <c r="X1208">
        <v>88871</v>
      </c>
      <c r="Y1208">
        <f>cleaneddata[[#This Row],[Unit Price]]-cleaneddata[[#This Row],[Discount]]</f>
        <v>122.91</v>
      </c>
      <c r="Z120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09" spans="1:26" x14ac:dyDescent="0.3">
      <c r="A1209">
        <v>2066</v>
      </c>
      <c r="B1209" t="s">
        <v>1848</v>
      </c>
      <c r="C1209" t="s">
        <v>23</v>
      </c>
      <c r="D1209">
        <v>0.1</v>
      </c>
      <c r="E1209">
        <v>4.24</v>
      </c>
      <c r="F1209">
        <v>5.41</v>
      </c>
      <c r="G1209" t="s">
        <v>14</v>
      </c>
      <c r="H1209" t="s">
        <v>70</v>
      </c>
      <c r="I1209" t="s">
        <v>24</v>
      </c>
      <c r="J1209" t="s">
        <v>48</v>
      </c>
      <c r="K1209" t="s">
        <v>49</v>
      </c>
      <c r="L1209" t="s">
        <v>1647</v>
      </c>
      <c r="M1209">
        <v>0.35</v>
      </c>
      <c r="N1209" t="s">
        <v>8</v>
      </c>
      <c r="O1209" t="s">
        <v>9</v>
      </c>
      <c r="P1209" t="s">
        <v>73</v>
      </c>
      <c r="Q1209" t="s">
        <v>1850</v>
      </c>
      <c r="R1209">
        <v>28079</v>
      </c>
      <c r="S1209" s="1">
        <v>42113</v>
      </c>
      <c r="T1209" s="1">
        <v>42117</v>
      </c>
      <c r="U1209">
        <v>-61.6</v>
      </c>
      <c r="V1209">
        <v>8</v>
      </c>
      <c r="W1209">
        <v>34.159999999999997</v>
      </c>
      <c r="X1209">
        <v>85835</v>
      </c>
      <c r="Y1209">
        <f>cleaneddata[[#This Row],[Unit Price]]-cleaneddata[[#This Row],[Discount]]</f>
        <v>4.1400000000000006</v>
      </c>
      <c r="Z120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10" spans="1:26" x14ac:dyDescent="0.3">
      <c r="A1210">
        <v>2547</v>
      </c>
      <c r="B1210" t="s">
        <v>2199</v>
      </c>
      <c r="C1210" t="s">
        <v>23</v>
      </c>
      <c r="D1210">
        <v>7.0000000000000007E-2</v>
      </c>
      <c r="E1210">
        <v>6.48</v>
      </c>
      <c r="F1210">
        <v>9.5399999999999991</v>
      </c>
      <c r="G1210" t="s">
        <v>14</v>
      </c>
      <c r="H1210" t="s">
        <v>3</v>
      </c>
      <c r="I1210" t="s">
        <v>24</v>
      </c>
      <c r="J1210" t="s">
        <v>64</v>
      </c>
      <c r="K1210" t="s">
        <v>49</v>
      </c>
      <c r="L1210" t="s">
        <v>2200</v>
      </c>
      <c r="M1210">
        <v>0.37</v>
      </c>
      <c r="N1210" t="s">
        <v>8</v>
      </c>
      <c r="O1210" t="s">
        <v>9</v>
      </c>
      <c r="P1210" t="s">
        <v>218</v>
      </c>
      <c r="Q1210" t="s">
        <v>2201</v>
      </c>
      <c r="R1210">
        <v>23464</v>
      </c>
      <c r="S1210" s="1">
        <v>42113</v>
      </c>
      <c r="T1210" s="1">
        <v>42113</v>
      </c>
      <c r="U1210">
        <v>2.2320000000000002</v>
      </c>
      <c r="V1210">
        <v>1</v>
      </c>
      <c r="W1210">
        <v>10.86</v>
      </c>
      <c r="X1210">
        <v>87916</v>
      </c>
      <c r="Y1210">
        <f>cleaneddata[[#This Row],[Unit Price]]-cleaneddata[[#This Row],[Discount]]</f>
        <v>6.41</v>
      </c>
      <c r="Z121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11" spans="1:26" x14ac:dyDescent="0.3">
      <c r="A1211">
        <v>3380</v>
      </c>
      <c r="B1211" t="s">
        <v>2202</v>
      </c>
      <c r="C1211" t="s">
        <v>1</v>
      </c>
      <c r="D1211">
        <v>0.03</v>
      </c>
      <c r="E1211">
        <v>315.98</v>
      </c>
      <c r="F1211">
        <v>19.989999999999998</v>
      </c>
      <c r="G1211" t="s">
        <v>14</v>
      </c>
      <c r="H1211" t="s">
        <v>47</v>
      </c>
      <c r="I1211" t="s">
        <v>24</v>
      </c>
      <c r="J1211" t="s">
        <v>48</v>
      </c>
      <c r="K1211" t="s">
        <v>49</v>
      </c>
      <c r="L1211" t="s">
        <v>2203</v>
      </c>
      <c r="M1211">
        <v>0.38</v>
      </c>
      <c r="N1211" t="s">
        <v>8</v>
      </c>
      <c r="O1211" t="s">
        <v>9</v>
      </c>
      <c r="P1211" t="s">
        <v>51</v>
      </c>
      <c r="Q1211" t="s">
        <v>2204</v>
      </c>
      <c r="R1211">
        <v>30240</v>
      </c>
      <c r="S1211" s="1">
        <v>42114</v>
      </c>
      <c r="T1211" s="1">
        <v>42116</v>
      </c>
      <c r="U1211">
        <v>-4.4800000000000004</v>
      </c>
      <c r="V1211">
        <v>18</v>
      </c>
      <c r="W1211">
        <v>5572.18</v>
      </c>
      <c r="X1211">
        <v>88838</v>
      </c>
      <c r="Y1211">
        <f>cleaneddata[[#This Row],[Unit Price]]-cleaneddata[[#This Row],[Discount]]</f>
        <v>315.95000000000005</v>
      </c>
      <c r="Z121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12" spans="1:26" x14ac:dyDescent="0.3">
      <c r="A1212">
        <v>3380</v>
      </c>
      <c r="B1212" t="s">
        <v>2202</v>
      </c>
      <c r="C1212" t="s">
        <v>1</v>
      </c>
      <c r="D1212">
        <v>0.03</v>
      </c>
      <c r="E1212">
        <v>63.94</v>
      </c>
      <c r="F1212">
        <v>14.48</v>
      </c>
      <c r="G1212" t="s">
        <v>14</v>
      </c>
      <c r="H1212" t="s">
        <v>47</v>
      </c>
      <c r="I1212" t="s">
        <v>4</v>
      </c>
      <c r="J1212" t="s">
        <v>102</v>
      </c>
      <c r="K1212" t="s">
        <v>49</v>
      </c>
      <c r="L1212" t="s">
        <v>1970</v>
      </c>
      <c r="M1212">
        <v>0.46</v>
      </c>
      <c r="N1212" t="s">
        <v>8</v>
      </c>
      <c r="O1212" t="s">
        <v>9</v>
      </c>
      <c r="P1212" t="s">
        <v>51</v>
      </c>
      <c r="Q1212" t="s">
        <v>2204</v>
      </c>
      <c r="R1212">
        <v>30240</v>
      </c>
      <c r="S1212" s="1">
        <v>42114</v>
      </c>
      <c r="T1212" s="1">
        <v>42115</v>
      </c>
      <c r="U1212">
        <v>43.691699999999997</v>
      </c>
      <c r="V1212">
        <v>8</v>
      </c>
      <c r="W1212">
        <v>522.46</v>
      </c>
      <c r="X1212">
        <v>88838</v>
      </c>
      <c r="Y1212">
        <f>cleaneddata[[#This Row],[Unit Price]]-cleaneddata[[#This Row],[Discount]]</f>
        <v>63.91</v>
      </c>
      <c r="Z121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13" spans="1:26" x14ac:dyDescent="0.3">
      <c r="A1213">
        <v>151</v>
      </c>
      <c r="B1213" t="s">
        <v>679</v>
      </c>
      <c r="C1213" t="s">
        <v>13</v>
      </c>
      <c r="D1213">
        <v>0.09</v>
      </c>
      <c r="E1213">
        <v>5.98</v>
      </c>
      <c r="F1213">
        <v>2.5</v>
      </c>
      <c r="G1213" t="s">
        <v>14</v>
      </c>
      <c r="H1213" t="s">
        <v>47</v>
      </c>
      <c r="I1213" t="s">
        <v>24</v>
      </c>
      <c r="J1213" t="s">
        <v>321</v>
      </c>
      <c r="K1213" t="s">
        <v>49</v>
      </c>
      <c r="L1213" t="s">
        <v>1246</v>
      </c>
      <c r="M1213">
        <v>0.36</v>
      </c>
      <c r="N1213" t="s">
        <v>8</v>
      </c>
      <c r="O1213" t="s">
        <v>9</v>
      </c>
      <c r="P1213" t="s">
        <v>376</v>
      </c>
      <c r="Q1213" t="s">
        <v>681</v>
      </c>
      <c r="R1213">
        <v>37664</v>
      </c>
      <c r="S1213" s="1">
        <v>42114</v>
      </c>
      <c r="T1213" s="1">
        <v>42116</v>
      </c>
      <c r="U1213">
        <v>13.896000000000001</v>
      </c>
      <c r="V1213">
        <v>5</v>
      </c>
      <c r="W1213">
        <v>28.11</v>
      </c>
      <c r="X1213">
        <v>89523</v>
      </c>
      <c r="Y1213">
        <f>cleaneddata[[#This Row],[Unit Price]]-cleaneddata[[#This Row],[Discount]]</f>
        <v>5.8900000000000006</v>
      </c>
      <c r="Z12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14" spans="1:26" x14ac:dyDescent="0.3">
      <c r="A1214">
        <v>1259</v>
      </c>
      <c r="B1214" t="s">
        <v>2205</v>
      </c>
      <c r="C1214" t="s">
        <v>13</v>
      </c>
      <c r="D1214">
        <v>0.03</v>
      </c>
      <c r="E1214">
        <v>3.69</v>
      </c>
      <c r="F1214">
        <v>2.5</v>
      </c>
      <c r="G1214" t="s">
        <v>63</v>
      </c>
      <c r="H1214" t="s">
        <v>47</v>
      </c>
      <c r="I1214" t="s">
        <v>24</v>
      </c>
      <c r="J1214" t="s">
        <v>321</v>
      </c>
      <c r="K1214" t="s">
        <v>49</v>
      </c>
      <c r="L1214" t="s">
        <v>2206</v>
      </c>
      <c r="M1214">
        <v>0.39</v>
      </c>
      <c r="N1214" t="s">
        <v>8</v>
      </c>
      <c r="O1214" t="s">
        <v>9</v>
      </c>
      <c r="P1214" t="s">
        <v>364</v>
      </c>
      <c r="Q1214" t="s">
        <v>1562</v>
      </c>
      <c r="R1214">
        <v>40422</v>
      </c>
      <c r="S1214" s="1">
        <v>42114</v>
      </c>
      <c r="T1214" s="1">
        <v>42114</v>
      </c>
      <c r="U1214">
        <v>-2196.6840000000002</v>
      </c>
      <c r="V1214">
        <v>9</v>
      </c>
      <c r="W1214">
        <v>38.65</v>
      </c>
      <c r="X1214">
        <v>86534</v>
      </c>
      <c r="Y1214">
        <f>cleaneddata[[#This Row],[Unit Price]]-cleaneddata[[#This Row],[Discount]]</f>
        <v>3.66</v>
      </c>
      <c r="Z121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15" spans="1:26" x14ac:dyDescent="0.3">
      <c r="A1215">
        <v>2117</v>
      </c>
      <c r="B1215" t="s">
        <v>2207</v>
      </c>
      <c r="C1215" t="s">
        <v>13</v>
      </c>
      <c r="D1215">
        <v>0.03</v>
      </c>
      <c r="E1215">
        <v>320.98</v>
      </c>
      <c r="F1215">
        <v>24.49</v>
      </c>
      <c r="G1215" t="s">
        <v>14</v>
      </c>
      <c r="H1215" t="s">
        <v>47</v>
      </c>
      <c r="I1215" t="s">
        <v>4</v>
      </c>
      <c r="J1215" t="s">
        <v>85</v>
      </c>
      <c r="K1215" t="s">
        <v>40</v>
      </c>
      <c r="L1215" t="s">
        <v>2208</v>
      </c>
      <c r="M1215">
        <v>0.55000000000000004</v>
      </c>
      <c r="N1215" t="s">
        <v>8</v>
      </c>
      <c r="O1215" t="s">
        <v>28</v>
      </c>
      <c r="P1215" t="s">
        <v>163</v>
      </c>
      <c r="Q1215" t="s">
        <v>1003</v>
      </c>
      <c r="R1215">
        <v>75401</v>
      </c>
      <c r="S1215" s="1">
        <v>42114</v>
      </c>
      <c r="T1215" s="1">
        <v>42116</v>
      </c>
      <c r="U1215">
        <v>4554.4346999999998</v>
      </c>
      <c r="V1215">
        <v>20</v>
      </c>
      <c r="W1215">
        <v>6600.63</v>
      </c>
      <c r="X1215">
        <v>90891</v>
      </c>
      <c r="Y1215">
        <f>cleaneddata[[#This Row],[Unit Price]]-cleaneddata[[#This Row],[Discount]]</f>
        <v>320.95000000000005</v>
      </c>
      <c r="Z12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16" spans="1:26" x14ac:dyDescent="0.3">
      <c r="A1216">
        <v>2117</v>
      </c>
      <c r="B1216" t="s">
        <v>2207</v>
      </c>
      <c r="C1216" t="s">
        <v>13</v>
      </c>
      <c r="D1216">
        <v>0.06</v>
      </c>
      <c r="E1216">
        <v>125.99</v>
      </c>
      <c r="F1216">
        <v>8.8000000000000007</v>
      </c>
      <c r="G1216" t="s">
        <v>14</v>
      </c>
      <c r="H1216" t="s">
        <v>47</v>
      </c>
      <c r="I1216" t="s">
        <v>16</v>
      </c>
      <c r="J1216" t="s">
        <v>111</v>
      </c>
      <c r="K1216" t="s">
        <v>49</v>
      </c>
      <c r="L1216" t="s">
        <v>2209</v>
      </c>
      <c r="M1216">
        <v>0.59</v>
      </c>
      <c r="N1216" t="s">
        <v>8</v>
      </c>
      <c r="O1216" t="s">
        <v>28</v>
      </c>
      <c r="P1216" t="s">
        <v>163</v>
      </c>
      <c r="Q1216" t="s">
        <v>1003</v>
      </c>
      <c r="R1216">
        <v>75401</v>
      </c>
      <c r="S1216" s="1">
        <v>42114</v>
      </c>
      <c r="T1216" s="1">
        <v>42115</v>
      </c>
      <c r="U1216">
        <v>618.19308000000001</v>
      </c>
      <c r="V1216">
        <v>18</v>
      </c>
      <c r="W1216">
        <v>1811.99</v>
      </c>
      <c r="X1216">
        <v>90891</v>
      </c>
      <c r="Y1216">
        <f>cleaneddata[[#This Row],[Unit Price]]-cleaneddata[[#This Row],[Discount]]</f>
        <v>125.92999999999999</v>
      </c>
      <c r="Z121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17" spans="1:26" x14ac:dyDescent="0.3">
      <c r="A1217">
        <v>3084</v>
      </c>
      <c r="B1217" t="s">
        <v>2210</v>
      </c>
      <c r="C1217" t="s">
        <v>13</v>
      </c>
      <c r="D1217">
        <v>0</v>
      </c>
      <c r="E1217">
        <v>65.989999999999995</v>
      </c>
      <c r="F1217">
        <v>5.99</v>
      </c>
      <c r="G1217" t="s">
        <v>63</v>
      </c>
      <c r="H1217" t="s">
        <v>3</v>
      </c>
      <c r="I1217" t="s">
        <v>16</v>
      </c>
      <c r="J1217" t="s">
        <v>111</v>
      </c>
      <c r="K1217" t="s">
        <v>49</v>
      </c>
      <c r="L1217" t="s">
        <v>274</v>
      </c>
      <c r="M1217">
        <v>0.57999999999999996</v>
      </c>
      <c r="N1217" t="s">
        <v>8</v>
      </c>
      <c r="O1217" t="s">
        <v>35</v>
      </c>
      <c r="P1217" t="s">
        <v>42</v>
      </c>
      <c r="Q1217" t="s">
        <v>463</v>
      </c>
      <c r="R1217">
        <v>98503</v>
      </c>
      <c r="S1217" s="1">
        <v>42114</v>
      </c>
      <c r="T1217" s="1">
        <v>42116</v>
      </c>
      <c r="U1217">
        <v>313.81200000000001</v>
      </c>
      <c r="V1217">
        <v>14</v>
      </c>
      <c r="W1217">
        <v>798.89</v>
      </c>
      <c r="X1217">
        <v>89879</v>
      </c>
      <c r="Y1217">
        <f>cleaneddata[[#This Row],[Unit Price]]-cleaneddata[[#This Row],[Discount]]</f>
        <v>65.989999999999995</v>
      </c>
      <c r="Z12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18" spans="1:26" x14ac:dyDescent="0.3">
      <c r="A1218">
        <v>56</v>
      </c>
      <c r="B1218" t="s">
        <v>2211</v>
      </c>
      <c r="C1218" t="s">
        <v>92</v>
      </c>
      <c r="D1218">
        <v>0.06</v>
      </c>
      <c r="E1218">
        <v>3.8</v>
      </c>
      <c r="F1218">
        <v>1.49</v>
      </c>
      <c r="G1218" t="s">
        <v>14</v>
      </c>
      <c r="H1218" t="s">
        <v>15</v>
      </c>
      <c r="I1218" t="s">
        <v>24</v>
      </c>
      <c r="J1218" t="s">
        <v>48</v>
      </c>
      <c r="K1218" t="s">
        <v>49</v>
      </c>
      <c r="L1218" t="s">
        <v>1168</v>
      </c>
      <c r="M1218">
        <v>0.38</v>
      </c>
      <c r="N1218" t="s">
        <v>8</v>
      </c>
      <c r="O1218" t="s">
        <v>87</v>
      </c>
      <c r="P1218" t="s">
        <v>88</v>
      </c>
      <c r="Q1218" t="s">
        <v>2212</v>
      </c>
      <c r="R1218">
        <v>14150</v>
      </c>
      <c r="S1218" s="1">
        <v>42114</v>
      </c>
      <c r="T1218" s="1">
        <v>42115</v>
      </c>
      <c r="U1218">
        <v>19.6282</v>
      </c>
      <c r="V1218">
        <v>20</v>
      </c>
      <c r="W1218">
        <v>73.55</v>
      </c>
      <c r="X1218">
        <v>88075</v>
      </c>
      <c r="Y1218">
        <f>cleaneddata[[#This Row],[Unit Price]]-cleaneddata[[#This Row],[Discount]]</f>
        <v>3.7399999999999998</v>
      </c>
      <c r="Z12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19" spans="1:26" x14ac:dyDescent="0.3">
      <c r="A1219">
        <v>56</v>
      </c>
      <c r="B1219" t="s">
        <v>2211</v>
      </c>
      <c r="C1219" t="s">
        <v>92</v>
      </c>
      <c r="D1219">
        <v>0.06</v>
      </c>
      <c r="E1219">
        <v>1.76</v>
      </c>
      <c r="F1219">
        <v>0.7</v>
      </c>
      <c r="G1219" t="s">
        <v>14</v>
      </c>
      <c r="H1219" t="s">
        <v>15</v>
      </c>
      <c r="I1219" t="s">
        <v>24</v>
      </c>
      <c r="J1219" t="s">
        <v>25</v>
      </c>
      <c r="K1219" t="s">
        <v>26</v>
      </c>
      <c r="L1219" t="s">
        <v>1639</v>
      </c>
      <c r="M1219">
        <v>0.56000000000000005</v>
      </c>
      <c r="N1219" t="s">
        <v>8</v>
      </c>
      <c r="O1219" t="s">
        <v>87</v>
      </c>
      <c r="P1219" t="s">
        <v>88</v>
      </c>
      <c r="Q1219" t="s">
        <v>2212</v>
      </c>
      <c r="R1219">
        <v>14150</v>
      </c>
      <c r="S1219" s="1">
        <v>42114</v>
      </c>
      <c r="T1219" s="1">
        <v>42115</v>
      </c>
      <c r="U1219">
        <v>-1.6524000000000001</v>
      </c>
      <c r="V1219">
        <v>17</v>
      </c>
      <c r="W1219">
        <v>29.57</v>
      </c>
      <c r="X1219">
        <v>88075</v>
      </c>
      <c r="Y1219">
        <f>cleaneddata[[#This Row],[Unit Price]]-cleaneddata[[#This Row],[Discount]]</f>
        <v>1.7</v>
      </c>
      <c r="Z12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20" spans="1:26" x14ac:dyDescent="0.3">
      <c r="A1220">
        <v>240</v>
      </c>
      <c r="B1220" t="s">
        <v>2213</v>
      </c>
      <c r="C1220" t="s">
        <v>92</v>
      </c>
      <c r="D1220">
        <v>0.1</v>
      </c>
      <c r="E1220">
        <v>19.98</v>
      </c>
      <c r="F1220">
        <v>5.77</v>
      </c>
      <c r="G1220" t="s">
        <v>63</v>
      </c>
      <c r="H1220" t="s">
        <v>3</v>
      </c>
      <c r="I1220" t="s">
        <v>24</v>
      </c>
      <c r="J1220" t="s">
        <v>64</v>
      </c>
      <c r="K1220" t="s">
        <v>49</v>
      </c>
      <c r="L1220" t="s">
        <v>2214</v>
      </c>
      <c r="M1220">
        <v>0.38</v>
      </c>
      <c r="N1220" t="s">
        <v>8</v>
      </c>
      <c r="O1220" t="s">
        <v>35</v>
      </c>
      <c r="P1220" t="s">
        <v>36</v>
      </c>
      <c r="Q1220" t="s">
        <v>2215</v>
      </c>
      <c r="R1220">
        <v>80817</v>
      </c>
      <c r="S1220" s="1">
        <v>42114</v>
      </c>
      <c r="T1220" s="1">
        <v>42114</v>
      </c>
      <c r="U1220">
        <v>35.090000000000003</v>
      </c>
      <c r="V1220">
        <v>3</v>
      </c>
      <c r="W1220">
        <v>57.41</v>
      </c>
      <c r="X1220">
        <v>90479</v>
      </c>
      <c r="Y1220">
        <f>cleaneddata[[#This Row],[Unit Price]]-cleaneddata[[#This Row],[Discount]]</f>
        <v>19.88</v>
      </c>
      <c r="Z122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21" spans="1:26" x14ac:dyDescent="0.3">
      <c r="A1221">
        <v>241</v>
      </c>
      <c r="B1221" t="s">
        <v>2216</v>
      </c>
      <c r="C1221" t="s">
        <v>92</v>
      </c>
      <c r="D1221">
        <v>0.06</v>
      </c>
      <c r="E1221">
        <v>259.70999999999998</v>
      </c>
      <c r="F1221">
        <v>66.67</v>
      </c>
      <c r="G1221" t="s">
        <v>2</v>
      </c>
      <c r="H1221" t="s">
        <v>3</v>
      </c>
      <c r="I1221" t="s">
        <v>4</v>
      </c>
      <c r="J1221" t="s">
        <v>5</v>
      </c>
      <c r="K1221" t="s">
        <v>6</v>
      </c>
      <c r="L1221" t="s">
        <v>1002</v>
      </c>
      <c r="M1221">
        <v>0.61</v>
      </c>
      <c r="N1221" t="s">
        <v>8</v>
      </c>
      <c r="O1221" t="s">
        <v>35</v>
      </c>
      <c r="P1221" t="s">
        <v>36</v>
      </c>
      <c r="Q1221" t="s">
        <v>2217</v>
      </c>
      <c r="R1221">
        <v>81503</v>
      </c>
      <c r="S1221" s="1">
        <v>42114</v>
      </c>
      <c r="T1221" s="1">
        <v>42115</v>
      </c>
      <c r="U1221">
        <v>785.63</v>
      </c>
      <c r="V1221">
        <v>11</v>
      </c>
      <c r="W1221">
        <v>2809.87</v>
      </c>
      <c r="X1221">
        <v>90479</v>
      </c>
      <c r="Y1221">
        <f>cleaneddata[[#This Row],[Unit Price]]-cleaneddata[[#This Row],[Discount]]</f>
        <v>259.64999999999998</v>
      </c>
      <c r="Z122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22" spans="1:26" x14ac:dyDescent="0.3">
      <c r="A1222">
        <v>970</v>
      </c>
      <c r="B1222" t="s">
        <v>2218</v>
      </c>
      <c r="C1222" t="s">
        <v>92</v>
      </c>
      <c r="D1222">
        <v>0</v>
      </c>
      <c r="E1222">
        <v>170.98</v>
      </c>
      <c r="F1222">
        <v>35.89</v>
      </c>
      <c r="G1222" t="s">
        <v>2</v>
      </c>
      <c r="H1222" t="s">
        <v>15</v>
      </c>
      <c r="I1222" t="s">
        <v>4</v>
      </c>
      <c r="J1222" t="s">
        <v>93</v>
      </c>
      <c r="K1222" t="s">
        <v>6</v>
      </c>
      <c r="L1222" t="s">
        <v>1445</v>
      </c>
      <c r="M1222">
        <v>0.66</v>
      </c>
      <c r="N1222" t="s">
        <v>8</v>
      </c>
      <c r="O1222" t="s">
        <v>9</v>
      </c>
      <c r="P1222" t="s">
        <v>218</v>
      </c>
      <c r="Q1222" t="s">
        <v>2219</v>
      </c>
      <c r="R1222">
        <v>24281</v>
      </c>
      <c r="S1222" s="1">
        <v>42114</v>
      </c>
      <c r="T1222" s="1">
        <v>42115</v>
      </c>
      <c r="U1222">
        <v>-102.66200000000001</v>
      </c>
      <c r="V1222">
        <v>8</v>
      </c>
      <c r="W1222">
        <v>1452.18</v>
      </c>
      <c r="X1222">
        <v>86173</v>
      </c>
      <c r="Y1222">
        <f>cleaneddata[[#This Row],[Unit Price]]-cleaneddata[[#This Row],[Discount]]</f>
        <v>170.98</v>
      </c>
      <c r="Z122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23" spans="1:26" x14ac:dyDescent="0.3">
      <c r="A1223">
        <v>3283</v>
      </c>
      <c r="B1223" t="s">
        <v>2220</v>
      </c>
      <c r="C1223" t="s">
        <v>1</v>
      </c>
      <c r="D1223">
        <v>0.05</v>
      </c>
      <c r="E1223">
        <v>363.25</v>
      </c>
      <c r="F1223">
        <v>19.989999999999998</v>
      </c>
      <c r="G1223" t="s">
        <v>63</v>
      </c>
      <c r="H1223" t="s">
        <v>70</v>
      </c>
      <c r="I1223" t="s">
        <v>24</v>
      </c>
      <c r="J1223" t="s">
        <v>71</v>
      </c>
      <c r="K1223" t="s">
        <v>49</v>
      </c>
      <c r="L1223" t="s">
        <v>175</v>
      </c>
      <c r="M1223">
        <v>0.56999999999999995</v>
      </c>
      <c r="N1223" t="s">
        <v>8</v>
      </c>
      <c r="O1223" t="s">
        <v>9</v>
      </c>
      <c r="P1223" t="s">
        <v>99</v>
      </c>
      <c r="Q1223" t="s">
        <v>2221</v>
      </c>
      <c r="R1223">
        <v>33156</v>
      </c>
      <c r="S1223" s="1">
        <v>42115</v>
      </c>
      <c r="T1223" s="1">
        <v>42115</v>
      </c>
      <c r="U1223">
        <v>-269.75549999999998</v>
      </c>
      <c r="V1223">
        <v>5</v>
      </c>
      <c r="W1223">
        <v>1867.04</v>
      </c>
      <c r="X1223">
        <v>90752</v>
      </c>
      <c r="Y1223">
        <f>cleaneddata[[#This Row],[Unit Price]]-cleaneddata[[#This Row],[Discount]]</f>
        <v>363.2</v>
      </c>
      <c r="Z12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24" spans="1:26" x14ac:dyDescent="0.3">
      <c r="A1224">
        <v>2038</v>
      </c>
      <c r="B1224" t="s">
        <v>2222</v>
      </c>
      <c r="C1224" t="s">
        <v>13</v>
      </c>
      <c r="D1224">
        <v>0.06</v>
      </c>
      <c r="E1224">
        <v>40.99</v>
      </c>
      <c r="F1224">
        <v>17.48</v>
      </c>
      <c r="G1224" t="s">
        <v>14</v>
      </c>
      <c r="H1224" t="s">
        <v>3</v>
      </c>
      <c r="I1224" t="s">
        <v>24</v>
      </c>
      <c r="J1224" t="s">
        <v>64</v>
      </c>
      <c r="K1224" t="s">
        <v>49</v>
      </c>
      <c r="L1224" t="s">
        <v>1374</v>
      </c>
      <c r="M1224">
        <v>0.36</v>
      </c>
      <c r="N1224" t="s">
        <v>8</v>
      </c>
      <c r="O1224" t="s">
        <v>87</v>
      </c>
      <c r="P1224" t="s">
        <v>88</v>
      </c>
      <c r="Q1224" t="s">
        <v>43</v>
      </c>
      <c r="R1224">
        <v>10550</v>
      </c>
      <c r="S1224" s="1">
        <v>42115</v>
      </c>
      <c r="T1224" s="1">
        <v>42115</v>
      </c>
      <c r="U1224">
        <v>109.16</v>
      </c>
      <c r="V1224">
        <v>7</v>
      </c>
      <c r="W1224">
        <v>277.12</v>
      </c>
      <c r="X1224">
        <v>89334</v>
      </c>
      <c r="Y1224">
        <f>cleaneddata[[#This Row],[Unit Price]]-cleaneddata[[#This Row],[Discount]]</f>
        <v>40.93</v>
      </c>
      <c r="Z122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25" spans="1:26" x14ac:dyDescent="0.3">
      <c r="A1225">
        <v>2260</v>
      </c>
      <c r="B1225" t="s">
        <v>1172</v>
      </c>
      <c r="C1225" t="s">
        <v>13</v>
      </c>
      <c r="D1225">
        <v>0.08</v>
      </c>
      <c r="E1225">
        <v>4.9800000000000004</v>
      </c>
      <c r="F1225">
        <v>0.49</v>
      </c>
      <c r="G1225" t="s">
        <v>14</v>
      </c>
      <c r="H1225" t="s">
        <v>70</v>
      </c>
      <c r="I1225" t="s">
        <v>24</v>
      </c>
      <c r="J1225" t="s">
        <v>128</v>
      </c>
      <c r="K1225" t="s">
        <v>49</v>
      </c>
      <c r="L1225" t="s">
        <v>1079</v>
      </c>
      <c r="M1225">
        <v>0.39</v>
      </c>
      <c r="N1225" t="s">
        <v>8</v>
      </c>
      <c r="O1225" t="s">
        <v>9</v>
      </c>
      <c r="P1225" t="s">
        <v>51</v>
      </c>
      <c r="Q1225" t="s">
        <v>1173</v>
      </c>
      <c r="R1225">
        <v>30161</v>
      </c>
      <c r="S1225" s="1">
        <v>42115</v>
      </c>
      <c r="T1225" s="1">
        <v>42116</v>
      </c>
      <c r="U1225">
        <v>4949.9160000000002</v>
      </c>
      <c r="V1225">
        <v>1</v>
      </c>
      <c r="W1225">
        <v>4.95</v>
      </c>
      <c r="X1225">
        <v>89602</v>
      </c>
      <c r="Y1225">
        <f>cleaneddata[[#This Row],[Unit Price]]-cleaneddata[[#This Row],[Discount]]</f>
        <v>4.9000000000000004</v>
      </c>
      <c r="Z122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26" spans="1:26" x14ac:dyDescent="0.3">
      <c r="A1226">
        <v>2260</v>
      </c>
      <c r="B1226" t="s">
        <v>1172</v>
      </c>
      <c r="C1226" t="s">
        <v>13</v>
      </c>
      <c r="D1226">
        <v>0.09</v>
      </c>
      <c r="E1226">
        <v>119.99</v>
      </c>
      <c r="F1226">
        <v>14</v>
      </c>
      <c r="G1226" t="s">
        <v>2</v>
      </c>
      <c r="H1226" t="s">
        <v>70</v>
      </c>
      <c r="I1226" t="s">
        <v>16</v>
      </c>
      <c r="J1226" t="s">
        <v>32</v>
      </c>
      <c r="K1226" t="s">
        <v>33</v>
      </c>
      <c r="L1226" t="s">
        <v>2127</v>
      </c>
      <c r="M1226">
        <v>0.36</v>
      </c>
      <c r="N1226" t="s">
        <v>8</v>
      </c>
      <c r="O1226" t="s">
        <v>9</v>
      </c>
      <c r="P1226" t="s">
        <v>51</v>
      </c>
      <c r="Q1226" t="s">
        <v>1173</v>
      </c>
      <c r="R1226">
        <v>30161</v>
      </c>
      <c r="S1226" s="1">
        <v>42115</v>
      </c>
      <c r="T1226" s="1">
        <v>42117</v>
      </c>
      <c r="U1226">
        <v>1055.604</v>
      </c>
      <c r="V1226">
        <v>4</v>
      </c>
      <c r="W1226">
        <v>461.24</v>
      </c>
      <c r="X1226">
        <v>89602</v>
      </c>
      <c r="Y1226">
        <f>cleaneddata[[#This Row],[Unit Price]]-cleaneddata[[#This Row],[Discount]]</f>
        <v>119.89999999999999</v>
      </c>
      <c r="Z122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27" spans="1:26" x14ac:dyDescent="0.3">
      <c r="A1227">
        <v>2964</v>
      </c>
      <c r="B1227" t="s">
        <v>2223</v>
      </c>
      <c r="C1227" t="s">
        <v>13</v>
      </c>
      <c r="D1227">
        <v>0.06</v>
      </c>
      <c r="E1227">
        <v>42.98</v>
      </c>
      <c r="F1227">
        <v>4.62</v>
      </c>
      <c r="G1227" t="s">
        <v>14</v>
      </c>
      <c r="H1227" t="s">
        <v>15</v>
      </c>
      <c r="I1227" t="s">
        <v>24</v>
      </c>
      <c r="J1227" t="s">
        <v>71</v>
      </c>
      <c r="K1227" t="s">
        <v>49</v>
      </c>
      <c r="L1227" t="s">
        <v>256</v>
      </c>
      <c r="M1227">
        <v>0.56000000000000005</v>
      </c>
      <c r="N1227" t="s">
        <v>8</v>
      </c>
      <c r="O1227" t="s">
        <v>87</v>
      </c>
      <c r="P1227" t="s">
        <v>293</v>
      </c>
      <c r="Q1227" t="s">
        <v>43</v>
      </c>
      <c r="R1227">
        <v>43050</v>
      </c>
      <c r="S1227" s="1">
        <v>42115</v>
      </c>
      <c r="T1227" s="1">
        <v>42117</v>
      </c>
      <c r="U1227">
        <v>-24.63</v>
      </c>
      <c r="V1227">
        <v>1</v>
      </c>
      <c r="W1227">
        <v>47.04</v>
      </c>
      <c r="X1227">
        <v>88610</v>
      </c>
      <c r="Y1227">
        <f>cleaneddata[[#This Row],[Unit Price]]-cleaneddata[[#This Row],[Discount]]</f>
        <v>42.919999999999995</v>
      </c>
      <c r="Z122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28" spans="1:26" x14ac:dyDescent="0.3">
      <c r="A1228">
        <v>535</v>
      </c>
      <c r="B1228" t="s">
        <v>2224</v>
      </c>
      <c r="C1228" t="s">
        <v>23</v>
      </c>
      <c r="D1228">
        <v>0</v>
      </c>
      <c r="E1228">
        <v>15.99</v>
      </c>
      <c r="F1228">
        <v>13.18</v>
      </c>
      <c r="G1228" t="s">
        <v>14</v>
      </c>
      <c r="H1228" t="s">
        <v>70</v>
      </c>
      <c r="I1228" t="s">
        <v>24</v>
      </c>
      <c r="J1228" t="s">
        <v>48</v>
      </c>
      <c r="K1228" t="s">
        <v>49</v>
      </c>
      <c r="L1228" t="s">
        <v>271</v>
      </c>
      <c r="M1228">
        <v>0.37</v>
      </c>
      <c r="N1228" t="s">
        <v>8</v>
      </c>
      <c r="O1228" t="s">
        <v>9</v>
      </c>
      <c r="P1228" t="s">
        <v>218</v>
      </c>
      <c r="Q1228" t="s">
        <v>1477</v>
      </c>
      <c r="R1228">
        <v>22025</v>
      </c>
      <c r="S1228" s="1">
        <v>42115</v>
      </c>
      <c r="T1228" s="1">
        <v>42119</v>
      </c>
      <c r="U1228">
        <v>46.488</v>
      </c>
      <c r="V1228">
        <v>23</v>
      </c>
      <c r="W1228">
        <v>403.25</v>
      </c>
      <c r="X1228">
        <v>88511</v>
      </c>
      <c r="Y1228">
        <f>cleaneddata[[#This Row],[Unit Price]]-cleaneddata[[#This Row],[Discount]]</f>
        <v>15.99</v>
      </c>
      <c r="Z122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29" spans="1:26" x14ac:dyDescent="0.3">
      <c r="A1229">
        <v>2548</v>
      </c>
      <c r="B1229" t="s">
        <v>1960</v>
      </c>
      <c r="C1229" t="s">
        <v>23</v>
      </c>
      <c r="D1229">
        <v>0.05</v>
      </c>
      <c r="E1229">
        <v>30.98</v>
      </c>
      <c r="F1229">
        <v>9.18</v>
      </c>
      <c r="G1229" t="s">
        <v>63</v>
      </c>
      <c r="H1229" t="s">
        <v>3</v>
      </c>
      <c r="I1229" t="s">
        <v>24</v>
      </c>
      <c r="J1229" t="s">
        <v>64</v>
      </c>
      <c r="K1229" t="s">
        <v>49</v>
      </c>
      <c r="L1229" t="s">
        <v>2225</v>
      </c>
      <c r="M1229">
        <v>0.4</v>
      </c>
      <c r="N1229" t="s">
        <v>8</v>
      </c>
      <c r="O1229" t="s">
        <v>35</v>
      </c>
      <c r="P1229" t="s">
        <v>66</v>
      </c>
      <c r="Q1229" t="s">
        <v>76</v>
      </c>
      <c r="R1229">
        <v>90068</v>
      </c>
      <c r="S1229" s="1">
        <v>42115</v>
      </c>
      <c r="T1229" s="1">
        <v>42115</v>
      </c>
      <c r="U1229">
        <v>61.47</v>
      </c>
      <c r="V1229">
        <v>12</v>
      </c>
      <c r="W1229">
        <v>382.29</v>
      </c>
      <c r="X1229">
        <v>40997</v>
      </c>
      <c r="Y1229">
        <f>cleaneddata[[#This Row],[Unit Price]]-cleaneddata[[#This Row],[Discount]]</f>
        <v>30.93</v>
      </c>
      <c r="Z12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30" spans="1:26" x14ac:dyDescent="0.3">
      <c r="A1230">
        <v>2548</v>
      </c>
      <c r="B1230" t="s">
        <v>1960</v>
      </c>
      <c r="C1230" t="s">
        <v>23</v>
      </c>
      <c r="D1230">
        <v>0.05</v>
      </c>
      <c r="E1230">
        <v>22.99</v>
      </c>
      <c r="F1230">
        <v>8.99</v>
      </c>
      <c r="G1230" t="s">
        <v>14</v>
      </c>
      <c r="H1230" t="s">
        <v>3</v>
      </c>
      <c r="I1230" t="s">
        <v>24</v>
      </c>
      <c r="J1230" t="s">
        <v>25</v>
      </c>
      <c r="K1230" t="s">
        <v>18</v>
      </c>
      <c r="L1230" t="s">
        <v>2226</v>
      </c>
      <c r="M1230">
        <v>0.56999999999999995</v>
      </c>
      <c r="N1230" t="s">
        <v>8</v>
      </c>
      <c r="O1230" t="s">
        <v>35</v>
      </c>
      <c r="P1230" t="s">
        <v>66</v>
      </c>
      <c r="Q1230" t="s">
        <v>76</v>
      </c>
      <c r="R1230">
        <v>90068</v>
      </c>
      <c r="S1230" s="1">
        <v>42115</v>
      </c>
      <c r="T1230" s="1">
        <v>42122</v>
      </c>
      <c r="U1230">
        <v>18.27</v>
      </c>
      <c r="V1230">
        <v>37</v>
      </c>
      <c r="W1230">
        <v>881.74</v>
      </c>
      <c r="X1230">
        <v>40997</v>
      </c>
      <c r="Y1230">
        <f>cleaneddata[[#This Row],[Unit Price]]-cleaneddata[[#This Row],[Discount]]</f>
        <v>22.939999999999998</v>
      </c>
      <c r="Z123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31" spans="1:26" x14ac:dyDescent="0.3">
      <c r="A1231">
        <v>2548</v>
      </c>
      <c r="B1231" t="s">
        <v>1960</v>
      </c>
      <c r="C1231" t="s">
        <v>23</v>
      </c>
      <c r="D1231">
        <v>0.04</v>
      </c>
      <c r="E1231">
        <v>212.6</v>
      </c>
      <c r="F1231">
        <v>110.2</v>
      </c>
      <c r="G1231" t="s">
        <v>2</v>
      </c>
      <c r="H1231" t="s">
        <v>3</v>
      </c>
      <c r="I1231" t="s">
        <v>4</v>
      </c>
      <c r="J1231" t="s">
        <v>5</v>
      </c>
      <c r="K1231" t="s">
        <v>6</v>
      </c>
      <c r="L1231" t="s">
        <v>139</v>
      </c>
      <c r="M1231">
        <v>0.73</v>
      </c>
      <c r="N1231" t="s">
        <v>8</v>
      </c>
      <c r="O1231" t="s">
        <v>35</v>
      </c>
      <c r="P1231" t="s">
        <v>66</v>
      </c>
      <c r="Q1231" t="s">
        <v>76</v>
      </c>
      <c r="R1231">
        <v>90068</v>
      </c>
      <c r="S1231" s="1">
        <v>42115</v>
      </c>
      <c r="T1231" s="1">
        <v>42119</v>
      </c>
      <c r="U1231">
        <v>-513.79042000000004</v>
      </c>
      <c r="V1231">
        <v>33</v>
      </c>
      <c r="W1231">
        <v>7384.18</v>
      </c>
      <c r="X1231">
        <v>40997</v>
      </c>
      <c r="Y1231">
        <f>cleaneddata[[#This Row],[Unit Price]]-cleaneddata[[#This Row],[Discount]]</f>
        <v>212.56</v>
      </c>
      <c r="Z123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32" spans="1:26" x14ac:dyDescent="0.3">
      <c r="A1232">
        <v>2549</v>
      </c>
      <c r="B1232" t="s">
        <v>2227</v>
      </c>
      <c r="C1232" t="s">
        <v>23</v>
      </c>
      <c r="D1232">
        <v>0.05</v>
      </c>
      <c r="E1232">
        <v>30.98</v>
      </c>
      <c r="F1232">
        <v>9.18</v>
      </c>
      <c r="G1232" t="s">
        <v>63</v>
      </c>
      <c r="H1232" t="s">
        <v>3</v>
      </c>
      <c r="I1232" t="s">
        <v>24</v>
      </c>
      <c r="J1232" t="s">
        <v>64</v>
      </c>
      <c r="K1232" t="s">
        <v>49</v>
      </c>
      <c r="L1232" t="s">
        <v>2225</v>
      </c>
      <c r="M1232">
        <v>0.4</v>
      </c>
      <c r="N1232" t="s">
        <v>8</v>
      </c>
      <c r="O1232" t="s">
        <v>87</v>
      </c>
      <c r="P1232" t="s">
        <v>293</v>
      </c>
      <c r="Q1232" t="s">
        <v>2228</v>
      </c>
      <c r="R1232">
        <v>43213</v>
      </c>
      <c r="S1232" s="1">
        <v>42115</v>
      </c>
      <c r="T1232" s="1">
        <v>42115</v>
      </c>
      <c r="U1232">
        <v>61.47</v>
      </c>
      <c r="V1232">
        <v>3</v>
      </c>
      <c r="W1232">
        <v>95.57</v>
      </c>
      <c r="X1232">
        <v>88657</v>
      </c>
      <c r="Y1232">
        <f>cleaneddata[[#This Row],[Unit Price]]-cleaneddata[[#This Row],[Discount]]</f>
        <v>30.93</v>
      </c>
      <c r="Z12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3" spans="1:26" x14ac:dyDescent="0.3">
      <c r="A1233">
        <v>2549</v>
      </c>
      <c r="B1233" t="s">
        <v>2227</v>
      </c>
      <c r="C1233" t="s">
        <v>23</v>
      </c>
      <c r="D1233">
        <v>0.05</v>
      </c>
      <c r="E1233">
        <v>22.99</v>
      </c>
      <c r="F1233">
        <v>8.99</v>
      </c>
      <c r="G1233" t="s">
        <v>14</v>
      </c>
      <c r="H1233" t="s">
        <v>3</v>
      </c>
      <c r="I1233" t="s">
        <v>24</v>
      </c>
      <c r="J1233" t="s">
        <v>25</v>
      </c>
      <c r="K1233" t="s">
        <v>18</v>
      </c>
      <c r="L1233" t="s">
        <v>2226</v>
      </c>
      <c r="M1233">
        <v>0.56999999999999995</v>
      </c>
      <c r="N1233" t="s">
        <v>8</v>
      </c>
      <c r="O1233" t="s">
        <v>87</v>
      </c>
      <c r="P1233" t="s">
        <v>293</v>
      </c>
      <c r="Q1233" t="s">
        <v>2228</v>
      </c>
      <c r="R1233">
        <v>43213</v>
      </c>
      <c r="S1233" s="1">
        <v>42115</v>
      </c>
      <c r="T1233" s="1">
        <v>42122</v>
      </c>
      <c r="U1233">
        <v>18.27</v>
      </c>
      <c r="V1233">
        <v>9</v>
      </c>
      <c r="W1233">
        <v>214.48</v>
      </c>
      <c r="X1233">
        <v>88657</v>
      </c>
      <c r="Y1233">
        <f>cleaneddata[[#This Row],[Unit Price]]-cleaneddata[[#This Row],[Discount]]</f>
        <v>22.939999999999998</v>
      </c>
      <c r="Z123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4" spans="1:26" x14ac:dyDescent="0.3">
      <c r="A1234">
        <v>2549</v>
      </c>
      <c r="B1234" t="s">
        <v>2227</v>
      </c>
      <c r="C1234" t="s">
        <v>23</v>
      </c>
      <c r="D1234">
        <v>0.04</v>
      </c>
      <c r="E1234">
        <v>212.6</v>
      </c>
      <c r="F1234">
        <v>110.2</v>
      </c>
      <c r="G1234" t="s">
        <v>2</v>
      </c>
      <c r="H1234" t="s">
        <v>3</v>
      </c>
      <c r="I1234" t="s">
        <v>4</v>
      </c>
      <c r="J1234" t="s">
        <v>5</v>
      </c>
      <c r="K1234" t="s">
        <v>6</v>
      </c>
      <c r="L1234" t="s">
        <v>139</v>
      </c>
      <c r="M1234">
        <v>0.73</v>
      </c>
      <c r="N1234" t="s">
        <v>8</v>
      </c>
      <c r="O1234" t="s">
        <v>87</v>
      </c>
      <c r="P1234" t="s">
        <v>293</v>
      </c>
      <c r="Q1234" t="s">
        <v>2228</v>
      </c>
      <c r="R1234">
        <v>43213</v>
      </c>
      <c r="S1234" s="1">
        <v>42115</v>
      </c>
      <c r="T1234" s="1">
        <v>42119</v>
      </c>
      <c r="U1234">
        <v>-513.79042000000004</v>
      </c>
      <c r="V1234">
        <v>8</v>
      </c>
      <c r="W1234">
        <v>1790.1</v>
      </c>
      <c r="X1234">
        <v>88657</v>
      </c>
      <c r="Y1234">
        <f>cleaneddata[[#This Row],[Unit Price]]-cleaneddata[[#This Row],[Discount]]</f>
        <v>212.56</v>
      </c>
      <c r="Z12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5" spans="1:26" x14ac:dyDescent="0.3">
      <c r="A1235">
        <v>627</v>
      </c>
      <c r="B1235" t="s">
        <v>2229</v>
      </c>
      <c r="C1235" t="s">
        <v>92</v>
      </c>
      <c r="D1235">
        <v>0.02</v>
      </c>
      <c r="E1235">
        <v>419.19</v>
      </c>
      <c r="F1235">
        <v>19.989999999999998</v>
      </c>
      <c r="G1235" t="s">
        <v>14</v>
      </c>
      <c r="H1235" t="s">
        <v>70</v>
      </c>
      <c r="I1235" t="s">
        <v>24</v>
      </c>
      <c r="J1235" t="s">
        <v>54</v>
      </c>
      <c r="K1235" t="s">
        <v>49</v>
      </c>
      <c r="L1235" t="s">
        <v>2168</v>
      </c>
      <c r="M1235">
        <v>0.57999999999999996</v>
      </c>
      <c r="N1235" t="s">
        <v>8</v>
      </c>
      <c r="O1235" t="s">
        <v>87</v>
      </c>
      <c r="P1235" t="s">
        <v>293</v>
      </c>
      <c r="Q1235" t="s">
        <v>2230</v>
      </c>
      <c r="R1235">
        <v>43952</v>
      </c>
      <c r="S1235" s="1">
        <v>42115</v>
      </c>
      <c r="T1235" s="1">
        <v>42116</v>
      </c>
      <c r="U1235">
        <v>6610.2</v>
      </c>
      <c r="V1235">
        <v>22</v>
      </c>
      <c r="W1235">
        <v>9580</v>
      </c>
      <c r="X1235">
        <v>90469</v>
      </c>
      <c r="Y1235">
        <f>cleaneddata[[#This Row],[Unit Price]]-cleaneddata[[#This Row],[Discount]]</f>
        <v>419.17</v>
      </c>
      <c r="Z12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6" spans="1:26" x14ac:dyDescent="0.3">
      <c r="A1236">
        <v>2668</v>
      </c>
      <c r="B1236" t="s">
        <v>1872</v>
      </c>
      <c r="C1236" t="s">
        <v>46</v>
      </c>
      <c r="D1236">
        <v>0.06</v>
      </c>
      <c r="E1236">
        <v>3.93</v>
      </c>
      <c r="F1236">
        <v>0.99</v>
      </c>
      <c r="G1236" t="s">
        <v>14</v>
      </c>
      <c r="H1236" t="s">
        <v>47</v>
      </c>
      <c r="I1236" t="s">
        <v>24</v>
      </c>
      <c r="J1236" t="s">
        <v>152</v>
      </c>
      <c r="K1236" t="s">
        <v>26</v>
      </c>
      <c r="L1236" t="s">
        <v>2231</v>
      </c>
      <c r="M1236">
        <v>0.39</v>
      </c>
      <c r="N1236" t="s">
        <v>8</v>
      </c>
      <c r="O1236" t="s">
        <v>28</v>
      </c>
      <c r="P1236" t="s">
        <v>1047</v>
      </c>
      <c r="Q1236" t="s">
        <v>1874</v>
      </c>
      <c r="R1236">
        <v>57701</v>
      </c>
      <c r="S1236" s="1">
        <v>42115</v>
      </c>
      <c r="T1236" s="1">
        <v>42117</v>
      </c>
      <c r="U1236">
        <v>10.782400000000001</v>
      </c>
      <c r="V1236">
        <v>6</v>
      </c>
      <c r="W1236">
        <v>24.18</v>
      </c>
      <c r="X1236">
        <v>87832</v>
      </c>
      <c r="Y1236">
        <f>cleaneddata[[#This Row],[Unit Price]]-cleaneddata[[#This Row],[Discount]]</f>
        <v>3.87</v>
      </c>
      <c r="Z123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37" spans="1:26" x14ac:dyDescent="0.3">
      <c r="A1237">
        <v>2932</v>
      </c>
      <c r="B1237" t="s">
        <v>2232</v>
      </c>
      <c r="C1237" t="s">
        <v>13</v>
      </c>
      <c r="D1237">
        <v>0.01</v>
      </c>
      <c r="E1237">
        <v>35.44</v>
      </c>
      <c r="F1237">
        <v>19.989999999999998</v>
      </c>
      <c r="G1237" t="s">
        <v>14</v>
      </c>
      <c r="H1237" t="s">
        <v>3</v>
      </c>
      <c r="I1237" t="s">
        <v>24</v>
      </c>
      <c r="J1237" t="s">
        <v>64</v>
      </c>
      <c r="K1237" t="s">
        <v>49</v>
      </c>
      <c r="L1237" t="s">
        <v>2233</v>
      </c>
      <c r="M1237">
        <v>0.38</v>
      </c>
      <c r="N1237" t="s">
        <v>8</v>
      </c>
      <c r="O1237" t="s">
        <v>87</v>
      </c>
      <c r="P1237" t="s">
        <v>224</v>
      </c>
      <c r="Q1237" t="s">
        <v>1631</v>
      </c>
      <c r="R1237">
        <v>6614</v>
      </c>
      <c r="S1237" s="1">
        <v>42116</v>
      </c>
      <c r="T1237" s="1">
        <v>42117</v>
      </c>
      <c r="U1237">
        <v>-52.822800000000001</v>
      </c>
      <c r="V1237">
        <v>1</v>
      </c>
      <c r="W1237">
        <v>55.43</v>
      </c>
      <c r="X1237">
        <v>87620</v>
      </c>
      <c r="Y1237">
        <f>cleaneddata[[#This Row],[Unit Price]]-cleaneddata[[#This Row],[Discount]]</f>
        <v>35.43</v>
      </c>
      <c r="Z12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8" spans="1:26" x14ac:dyDescent="0.3">
      <c r="A1238">
        <v>2938</v>
      </c>
      <c r="B1238" t="s">
        <v>2234</v>
      </c>
      <c r="C1238" t="s">
        <v>13</v>
      </c>
      <c r="D1238">
        <v>0.03</v>
      </c>
      <c r="E1238">
        <v>47.9</v>
      </c>
      <c r="F1238">
        <v>5.86</v>
      </c>
      <c r="G1238" t="s">
        <v>14</v>
      </c>
      <c r="H1238" t="s">
        <v>3</v>
      </c>
      <c r="I1238" t="s">
        <v>24</v>
      </c>
      <c r="J1238" t="s">
        <v>64</v>
      </c>
      <c r="K1238" t="s">
        <v>49</v>
      </c>
      <c r="L1238" t="s">
        <v>1285</v>
      </c>
      <c r="M1238">
        <v>0.37</v>
      </c>
      <c r="N1238" t="s">
        <v>8</v>
      </c>
      <c r="O1238" t="s">
        <v>87</v>
      </c>
      <c r="P1238" t="s">
        <v>379</v>
      </c>
      <c r="Q1238" t="s">
        <v>2235</v>
      </c>
      <c r="R1238">
        <v>2180</v>
      </c>
      <c r="S1238" s="1">
        <v>42116</v>
      </c>
      <c r="T1238" s="1">
        <v>42119</v>
      </c>
      <c r="U1238">
        <v>642.99030000000005</v>
      </c>
      <c r="V1238">
        <v>20</v>
      </c>
      <c r="W1238">
        <v>931.87</v>
      </c>
      <c r="X1238">
        <v>87620</v>
      </c>
      <c r="Y1238">
        <f>cleaneddata[[#This Row],[Unit Price]]-cleaneddata[[#This Row],[Discount]]</f>
        <v>47.87</v>
      </c>
      <c r="Z123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39" spans="1:26" x14ac:dyDescent="0.3">
      <c r="A1239">
        <v>666</v>
      </c>
      <c r="B1239" t="s">
        <v>2236</v>
      </c>
      <c r="C1239" t="s">
        <v>23</v>
      </c>
      <c r="D1239">
        <v>0.02</v>
      </c>
      <c r="E1239">
        <v>4.57</v>
      </c>
      <c r="F1239">
        <v>5.42</v>
      </c>
      <c r="G1239" t="s">
        <v>14</v>
      </c>
      <c r="H1239" t="s">
        <v>70</v>
      </c>
      <c r="I1239" t="s">
        <v>24</v>
      </c>
      <c r="J1239" t="s">
        <v>48</v>
      </c>
      <c r="K1239" t="s">
        <v>49</v>
      </c>
      <c r="L1239" t="s">
        <v>2237</v>
      </c>
      <c r="M1239">
        <v>0.37</v>
      </c>
      <c r="N1239" t="s">
        <v>8</v>
      </c>
      <c r="O1239" t="s">
        <v>9</v>
      </c>
      <c r="P1239" t="s">
        <v>376</v>
      </c>
      <c r="Q1239" t="s">
        <v>2238</v>
      </c>
      <c r="R1239">
        <v>37211</v>
      </c>
      <c r="S1239" s="1">
        <v>42116</v>
      </c>
      <c r="T1239" s="1">
        <v>42120</v>
      </c>
      <c r="U1239">
        <v>-352.81400000000002</v>
      </c>
      <c r="V1239">
        <v>11</v>
      </c>
      <c r="W1239">
        <v>54.04</v>
      </c>
      <c r="X1239">
        <v>88679</v>
      </c>
      <c r="Y1239">
        <f>cleaneddata[[#This Row],[Unit Price]]-cleaneddata[[#This Row],[Discount]]</f>
        <v>4.5500000000000007</v>
      </c>
      <c r="Z12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40" spans="1:26" x14ac:dyDescent="0.3">
      <c r="A1240">
        <v>667</v>
      </c>
      <c r="B1240" t="s">
        <v>529</v>
      </c>
      <c r="C1240" t="s">
        <v>23</v>
      </c>
      <c r="D1240">
        <v>0.02</v>
      </c>
      <c r="E1240">
        <v>4.57</v>
      </c>
      <c r="F1240">
        <v>5.42</v>
      </c>
      <c r="G1240" t="s">
        <v>14</v>
      </c>
      <c r="H1240" t="s">
        <v>70</v>
      </c>
      <c r="I1240" t="s">
        <v>24</v>
      </c>
      <c r="J1240" t="s">
        <v>48</v>
      </c>
      <c r="K1240" t="s">
        <v>49</v>
      </c>
      <c r="L1240" t="s">
        <v>2237</v>
      </c>
      <c r="M1240">
        <v>0.37</v>
      </c>
      <c r="N1240" t="s">
        <v>8</v>
      </c>
      <c r="O1240" t="s">
        <v>28</v>
      </c>
      <c r="P1240" t="s">
        <v>163</v>
      </c>
      <c r="Q1240" t="s">
        <v>530</v>
      </c>
      <c r="R1240">
        <v>75203</v>
      </c>
      <c r="S1240" s="1">
        <v>42116</v>
      </c>
      <c r="T1240" s="1">
        <v>42120</v>
      </c>
      <c r="U1240">
        <v>-124.2805</v>
      </c>
      <c r="V1240">
        <v>45</v>
      </c>
      <c r="W1240">
        <v>221.06</v>
      </c>
      <c r="X1240">
        <v>48257</v>
      </c>
      <c r="Y1240">
        <f>cleaneddata[[#This Row],[Unit Price]]-cleaneddata[[#This Row],[Discount]]</f>
        <v>4.5500000000000007</v>
      </c>
      <c r="Z124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41" spans="1:26" x14ac:dyDescent="0.3">
      <c r="A1241">
        <v>1777</v>
      </c>
      <c r="B1241" t="s">
        <v>148</v>
      </c>
      <c r="C1241" t="s">
        <v>23</v>
      </c>
      <c r="D1241">
        <v>7.0000000000000007E-2</v>
      </c>
      <c r="E1241">
        <v>5.43</v>
      </c>
      <c r="F1241">
        <v>0.95</v>
      </c>
      <c r="G1241" t="s">
        <v>14</v>
      </c>
      <c r="H1241" t="s">
        <v>15</v>
      </c>
      <c r="I1241" t="s">
        <v>24</v>
      </c>
      <c r="J1241" t="s">
        <v>64</v>
      </c>
      <c r="K1241" t="s">
        <v>26</v>
      </c>
      <c r="L1241" t="s">
        <v>2239</v>
      </c>
      <c r="M1241">
        <v>0.36</v>
      </c>
      <c r="N1241" t="s">
        <v>8</v>
      </c>
      <c r="O1241" t="s">
        <v>28</v>
      </c>
      <c r="P1241" t="s">
        <v>29</v>
      </c>
      <c r="Q1241" t="s">
        <v>150</v>
      </c>
      <c r="R1241">
        <v>46383</v>
      </c>
      <c r="S1241" s="1">
        <v>42116</v>
      </c>
      <c r="T1241" s="1">
        <v>42120</v>
      </c>
      <c r="U1241">
        <v>26.5029</v>
      </c>
      <c r="V1241">
        <v>7</v>
      </c>
      <c r="W1241">
        <v>38.409999999999997</v>
      </c>
      <c r="X1241">
        <v>89939</v>
      </c>
      <c r="Y1241">
        <f>cleaneddata[[#This Row],[Unit Price]]-cleaneddata[[#This Row],[Discount]]</f>
        <v>5.3599999999999994</v>
      </c>
      <c r="Z12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42" spans="1:26" x14ac:dyDescent="0.3">
      <c r="A1242">
        <v>678</v>
      </c>
      <c r="B1242" t="s">
        <v>2240</v>
      </c>
      <c r="C1242" t="s">
        <v>92</v>
      </c>
      <c r="D1242">
        <v>0.04</v>
      </c>
      <c r="E1242">
        <v>15.42</v>
      </c>
      <c r="F1242">
        <v>10.68</v>
      </c>
      <c r="G1242" t="s">
        <v>63</v>
      </c>
      <c r="H1242" t="s">
        <v>70</v>
      </c>
      <c r="I1242" t="s">
        <v>24</v>
      </c>
      <c r="J1242" t="s">
        <v>54</v>
      </c>
      <c r="K1242" t="s">
        <v>49</v>
      </c>
      <c r="L1242" t="s">
        <v>2241</v>
      </c>
      <c r="M1242">
        <v>0.57999999999999996</v>
      </c>
      <c r="N1242" t="s">
        <v>8</v>
      </c>
      <c r="O1242" t="s">
        <v>9</v>
      </c>
      <c r="P1242" t="s">
        <v>218</v>
      </c>
      <c r="Q1242" t="s">
        <v>2219</v>
      </c>
      <c r="R1242">
        <v>24281</v>
      </c>
      <c r="S1242" s="1">
        <v>42116</v>
      </c>
      <c r="T1242" s="1">
        <v>42117</v>
      </c>
      <c r="U1242">
        <v>-109.70399999999999</v>
      </c>
      <c r="V1242">
        <v>5</v>
      </c>
      <c r="W1242">
        <v>81.14</v>
      </c>
      <c r="X1242">
        <v>88889</v>
      </c>
      <c r="Y1242">
        <f>cleaneddata[[#This Row],[Unit Price]]-cleaneddata[[#This Row],[Discount]]</f>
        <v>15.38</v>
      </c>
      <c r="Z12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43" spans="1:26" x14ac:dyDescent="0.3">
      <c r="A1243">
        <v>2760</v>
      </c>
      <c r="B1243" t="s">
        <v>2242</v>
      </c>
      <c r="C1243" t="s">
        <v>92</v>
      </c>
      <c r="D1243">
        <v>0.08</v>
      </c>
      <c r="E1243">
        <v>22.01</v>
      </c>
      <c r="F1243">
        <v>5.53</v>
      </c>
      <c r="G1243" t="s">
        <v>14</v>
      </c>
      <c r="H1243" t="s">
        <v>70</v>
      </c>
      <c r="I1243" t="s">
        <v>24</v>
      </c>
      <c r="J1243" t="s">
        <v>25</v>
      </c>
      <c r="K1243" t="s">
        <v>18</v>
      </c>
      <c r="L1243" t="s">
        <v>472</v>
      </c>
      <c r="M1243">
        <v>0.59</v>
      </c>
      <c r="N1243" t="s">
        <v>8</v>
      </c>
      <c r="O1243" t="s">
        <v>87</v>
      </c>
      <c r="P1243" t="s">
        <v>224</v>
      </c>
      <c r="Q1243" t="s">
        <v>2243</v>
      </c>
      <c r="R1243">
        <v>6708</v>
      </c>
      <c r="S1243" s="1">
        <v>42116</v>
      </c>
      <c r="T1243" s="1">
        <v>42118</v>
      </c>
      <c r="U1243">
        <v>105.7</v>
      </c>
      <c r="V1243">
        <v>11</v>
      </c>
      <c r="W1243">
        <v>241.97</v>
      </c>
      <c r="X1243">
        <v>90724</v>
      </c>
      <c r="Y1243">
        <f>cleaneddata[[#This Row],[Unit Price]]-cleaneddata[[#This Row],[Discount]]</f>
        <v>21.930000000000003</v>
      </c>
      <c r="Z124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44" spans="1:26" x14ac:dyDescent="0.3">
      <c r="A1244">
        <v>2764</v>
      </c>
      <c r="B1244" t="s">
        <v>2244</v>
      </c>
      <c r="C1244" t="s">
        <v>92</v>
      </c>
      <c r="D1244">
        <v>0.02</v>
      </c>
      <c r="E1244">
        <v>29.74</v>
      </c>
      <c r="F1244">
        <v>6.64</v>
      </c>
      <c r="G1244" t="s">
        <v>14</v>
      </c>
      <c r="H1244" t="s">
        <v>70</v>
      </c>
      <c r="I1244" t="s">
        <v>24</v>
      </c>
      <c r="J1244" t="s">
        <v>54</v>
      </c>
      <c r="K1244" t="s">
        <v>49</v>
      </c>
      <c r="L1244" t="s">
        <v>2245</v>
      </c>
      <c r="M1244">
        <v>0.7</v>
      </c>
      <c r="N1244" t="s">
        <v>8</v>
      </c>
      <c r="O1244" t="s">
        <v>87</v>
      </c>
      <c r="P1244" t="s">
        <v>373</v>
      </c>
      <c r="Q1244" t="s">
        <v>1981</v>
      </c>
      <c r="R1244">
        <v>7601</v>
      </c>
      <c r="S1244" s="1">
        <v>42116</v>
      </c>
      <c r="T1244" s="1">
        <v>42116</v>
      </c>
      <c r="U1244">
        <v>-21.06</v>
      </c>
      <c r="V1244">
        <v>4</v>
      </c>
      <c r="W1244">
        <v>120.81</v>
      </c>
      <c r="X1244">
        <v>90724</v>
      </c>
      <c r="Y1244">
        <f>cleaneddata[[#This Row],[Unit Price]]-cleaneddata[[#This Row],[Discount]]</f>
        <v>29.72</v>
      </c>
      <c r="Z124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45" spans="1:26" x14ac:dyDescent="0.3">
      <c r="A1245">
        <v>2737</v>
      </c>
      <c r="B1245" t="s">
        <v>2246</v>
      </c>
      <c r="C1245" t="s">
        <v>46</v>
      </c>
      <c r="D1245">
        <v>0.05</v>
      </c>
      <c r="E1245">
        <v>100.98</v>
      </c>
      <c r="F1245">
        <v>7.18</v>
      </c>
      <c r="G1245" t="s">
        <v>14</v>
      </c>
      <c r="H1245" t="s">
        <v>3</v>
      </c>
      <c r="I1245" t="s">
        <v>16</v>
      </c>
      <c r="J1245" t="s">
        <v>17</v>
      </c>
      <c r="K1245" t="s">
        <v>49</v>
      </c>
      <c r="L1245" t="s">
        <v>645</v>
      </c>
      <c r="M1245">
        <v>0.4</v>
      </c>
      <c r="N1245" t="s">
        <v>8</v>
      </c>
      <c r="O1245" t="s">
        <v>87</v>
      </c>
      <c r="P1245" t="s">
        <v>609</v>
      </c>
      <c r="Q1245" t="s">
        <v>1922</v>
      </c>
      <c r="R1245">
        <v>5701</v>
      </c>
      <c r="S1245" s="1">
        <v>42116</v>
      </c>
      <c r="T1245" s="1">
        <v>42118</v>
      </c>
      <c r="U1245">
        <v>566.60730000000001</v>
      </c>
      <c r="V1245">
        <v>8</v>
      </c>
      <c r="W1245">
        <v>821.17</v>
      </c>
      <c r="X1245">
        <v>89018</v>
      </c>
      <c r="Y1245">
        <f>cleaneddata[[#This Row],[Unit Price]]-cleaneddata[[#This Row],[Discount]]</f>
        <v>100.93</v>
      </c>
      <c r="Z124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46" spans="1:26" x14ac:dyDescent="0.3">
      <c r="A1246">
        <v>2114</v>
      </c>
      <c r="B1246" t="s">
        <v>1351</v>
      </c>
      <c r="C1246" t="s">
        <v>1</v>
      </c>
      <c r="D1246">
        <v>0.08</v>
      </c>
      <c r="E1246">
        <v>2.89</v>
      </c>
      <c r="F1246">
        <v>0.49</v>
      </c>
      <c r="G1246" t="s">
        <v>14</v>
      </c>
      <c r="H1246" t="s">
        <v>70</v>
      </c>
      <c r="I1246" t="s">
        <v>24</v>
      </c>
      <c r="J1246" t="s">
        <v>128</v>
      </c>
      <c r="K1246" t="s">
        <v>49</v>
      </c>
      <c r="L1246" t="s">
        <v>2247</v>
      </c>
      <c r="M1246">
        <v>0.38</v>
      </c>
      <c r="N1246" t="s">
        <v>8</v>
      </c>
      <c r="O1246" t="s">
        <v>9</v>
      </c>
      <c r="P1246" t="s">
        <v>218</v>
      </c>
      <c r="Q1246" t="s">
        <v>1353</v>
      </c>
      <c r="R1246">
        <v>23518</v>
      </c>
      <c r="S1246" s="1">
        <v>42117</v>
      </c>
      <c r="T1246" s="1">
        <v>42117</v>
      </c>
      <c r="U1246">
        <v>38.405999999999999</v>
      </c>
      <c r="V1246">
        <v>1</v>
      </c>
      <c r="W1246">
        <v>3.07</v>
      </c>
      <c r="X1246">
        <v>88404</v>
      </c>
      <c r="Y1246">
        <f>cleaneddata[[#This Row],[Unit Price]]-cleaneddata[[#This Row],[Discount]]</f>
        <v>2.81</v>
      </c>
      <c r="Z124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47" spans="1:26" x14ac:dyDescent="0.3">
      <c r="A1247">
        <v>1253</v>
      </c>
      <c r="B1247" t="s">
        <v>2248</v>
      </c>
      <c r="C1247" t="s">
        <v>23</v>
      </c>
      <c r="D1247">
        <v>0.02</v>
      </c>
      <c r="E1247">
        <v>46.89</v>
      </c>
      <c r="F1247">
        <v>5.0999999999999996</v>
      </c>
      <c r="G1247" t="s">
        <v>14</v>
      </c>
      <c r="H1247" t="s">
        <v>47</v>
      </c>
      <c r="I1247" t="s">
        <v>24</v>
      </c>
      <c r="J1247" t="s">
        <v>71</v>
      </c>
      <c r="K1247" t="s">
        <v>120</v>
      </c>
      <c r="L1247" t="s">
        <v>1819</v>
      </c>
      <c r="M1247">
        <v>0.46</v>
      </c>
      <c r="N1247" t="s">
        <v>8</v>
      </c>
      <c r="O1247" t="s">
        <v>28</v>
      </c>
      <c r="P1247" t="s">
        <v>163</v>
      </c>
      <c r="Q1247" t="s">
        <v>2249</v>
      </c>
      <c r="R1247">
        <v>78613</v>
      </c>
      <c r="S1247" s="1">
        <v>42117</v>
      </c>
      <c r="T1247" s="1">
        <v>42117</v>
      </c>
      <c r="U1247">
        <v>421.3485</v>
      </c>
      <c r="V1247">
        <v>13</v>
      </c>
      <c r="W1247">
        <v>610.65</v>
      </c>
      <c r="X1247">
        <v>89981</v>
      </c>
      <c r="Y1247">
        <f>cleaneddata[[#This Row],[Unit Price]]-cleaneddata[[#This Row],[Discount]]</f>
        <v>46.87</v>
      </c>
      <c r="Z124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48" spans="1:26" x14ac:dyDescent="0.3">
      <c r="A1248">
        <v>1253</v>
      </c>
      <c r="B1248" t="s">
        <v>2248</v>
      </c>
      <c r="C1248" t="s">
        <v>23</v>
      </c>
      <c r="D1248">
        <v>0.05</v>
      </c>
      <c r="E1248">
        <v>140.97999999999999</v>
      </c>
      <c r="F1248">
        <v>36.090000000000003</v>
      </c>
      <c r="G1248" t="s">
        <v>2</v>
      </c>
      <c r="H1248" t="s">
        <v>47</v>
      </c>
      <c r="I1248" t="s">
        <v>4</v>
      </c>
      <c r="J1248" t="s">
        <v>93</v>
      </c>
      <c r="K1248" t="s">
        <v>6</v>
      </c>
      <c r="L1248" t="s">
        <v>1838</v>
      </c>
      <c r="M1248">
        <v>0.77</v>
      </c>
      <c r="N1248" t="s">
        <v>8</v>
      </c>
      <c r="O1248" t="s">
        <v>28</v>
      </c>
      <c r="P1248" t="s">
        <v>163</v>
      </c>
      <c r="Q1248" t="s">
        <v>2249</v>
      </c>
      <c r="R1248">
        <v>78613</v>
      </c>
      <c r="S1248" s="1">
        <v>42117</v>
      </c>
      <c r="T1248" s="1">
        <v>42119</v>
      </c>
      <c r="U1248">
        <v>-373.09</v>
      </c>
      <c r="V1248">
        <v>5</v>
      </c>
      <c r="W1248">
        <v>699.24</v>
      </c>
      <c r="X1248">
        <v>89981</v>
      </c>
      <c r="Y1248">
        <f>cleaneddata[[#This Row],[Unit Price]]-cleaneddata[[#This Row],[Discount]]</f>
        <v>140.92999999999998</v>
      </c>
      <c r="Z124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49" spans="1:26" x14ac:dyDescent="0.3">
      <c r="A1249">
        <v>1253</v>
      </c>
      <c r="B1249" t="s">
        <v>2248</v>
      </c>
      <c r="C1249" t="s">
        <v>23</v>
      </c>
      <c r="D1249">
        <v>0.1</v>
      </c>
      <c r="E1249">
        <v>212.6</v>
      </c>
      <c r="F1249">
        <v>110.2</v>
      </c>
      <c r="G1249" t="s">
        <v>2</v>
      </c>
      <c r="H1249" t="s">
        <v>47</v>
      </c>
      <c r="I1249" t="s">
        <v>4</v>
      </c>
      <c r="J1249" t="s">
        <v>5</v>
      </c>
      <c r="K1249" t="s">
        <v>6</v>
      </c>
      <c r="L1249" t="s">
        <v>139</v>
      </c>
      <c r="M1249">
        <v>0.73</v>
      </c>
      <c r="N1249" t="s">
        <v>8</v>
      </c>
      <c r="O1249" t="s">
        <v>28</v>
      </c>
      <c r="P1249" t="s">
        <v>163</v>
      </c>
      <c r="Q1249" t="s">
        <v>2249</v>
      </c>
      <c r="R1249">
        <v>78613</v>
      </c>
      <c r="S1249" s="1">
        <v>42117</v>
      </c>
      <c r="T1249" s="1">
        <v>42119</v>
      </c>
      <c r="U1249">
        <v>-3465.0720000000001</v>
      </c>
      <c r="V1249">
        <v>12</v>
      </c>
      <c r="W1249">
        <v>2346.0300000000002</v>
      </c>
      <c r="X1249">
        <v>89981</v>
      </c>
      <c r="Y1249">
        <f>cleaneddata[[#This Row],[Unit Price]]-cleaneddata[[#This Row],[Discount]]</f>
        <v>212.5</v>
      </c>
      <c r="Z12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50" spans="1:26" x14ac:dyDescent="0.3">
      <c r="A1250">
        <v>146</v>
      </c>
      <c r="B1250" t="s">
        <v>1576</v>
      </c>
      <c r="C1250" t="s">
        <v>92</v>
      </c>
      <c r="D1250">
        <v>0.06</v>
      </c>
      <c r="E1250">
        <v>180.98</v>
      </c>
      <c r="F1250">
        <v>26.2</v>
      </c>
      <c r="G1250" t="s">
        <v>2</v>
      </c>
      <c r="H1250" t="s">
        <v>70</v>
      </c>
      <c r="I1250" t="s">
        <v>4</v>
      </c>
      <c r="J1250" t="s">
        <v>85</v>
      </c>
      <c r="K1250" t="s">
        <v>33</v>
      </c>
      <c r="L1250" t="s">
        <v>2250</v>
      </c>
      <c r="M1250">
        <v>0.59</v>
      </c>
      <c r="N1250" t="s">
        <v>8</v>
      </c>
      <c r="O1250" t="s">
        <v>28</v>
      </c>
      <c r="P1250" t="s">
        <v>163</v>
      </c>
      <c r="Q1250" t="s">
        <v>1578</v>
      </c>
      <c r="R1250">
        <v>76148</v>
      </c>
      <c r="S1250" s="1">
        <v>42117</v>
      </c>
      <c r="T1250" s="1">
        <v>42118</v>
      </c>
      <c r="U1250">
        <v>251.4084</v>
      </c>
      <c r="V1250">
        <v>5</v>
      </c>
      <c r="W1250">
        <v>929.57</v>
      </c>
      <c r="X1250">
        <v>91090</v>
      </c>
      <c r="Y1250">
        <f>cleaneddata[[#This Row],[Unit Price]]-cleaneddata[[#This Row],[Discount]]</f>
        <v>180.92</v>
      </c>
      <c r="Z12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51" spans="1:26" x14ac:dyDescent="0.3">
      <c r="A1251">
        <v>699</v>
      </c>
      <c r="B1251" t="s">
        <v>837</v>
      </c>
      <c r="C1251" t="s">
        <v>92</v>
      </c>
      <c r="D1251">
        <v>0.03</v>
      </c>
      <c r="E1251">
        <v>5.28</v>
      </c>
      <c r="F1251">
        <v>5.61</v>
      </c>
      <c r="G1251" t="s">
        <v>14</v>
      </c>
      <c r="H1251" t="s">
        <v>15</v>
      </c>
      <c r="I1251" t="s">
        <v>24</v>
      </c>
      <c r="J1251" t="s">
        <v>64</v>
      </c>
      <c r="K1251" t="s">
        <v>49</v>
      </c>
      <c r="L1251" t="s">
        <v>2251</v>
      </c>
      <c r="M1251">
        <v>0.4</v>
      </c>
      <c r="N1251" t="s">
        <v>8</v>
      </c>
      <c r="O1251" t="s">
        <v>35</v>
      </c>
      <c r="P1251" t="s">
        <v>66</v>
      </c>
      <c r="Q1251" t="s">
        <v>76</v>
      </c>
      <c r="R1251">
        <v>90041</v>
      </c>
      <c r="S1251" s="1">
        <v>42117</v>
      </c>
      <c r="T1251" s="1">
        <v>42118</v>
      </c>
      <c r="U1251">
        <v>-16.670000000000002</v>
      </c>
      <c r="V1251">
        <v>5</v>
      </c>
      <c r="W1251">
        <v>32.5</v>
      </c>
      <c r="X1251">
        <v>44517</v>
      </c>
      <c r="Y1251">
        <f>cleaneddata[[#This Row],[Unit Price]]-cleaneddata[[#This Row],[Discount]]</f>
        <v>5.25</v>
      </c>
      <c r="Z125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52" spans="1:26" x14ac:dyDescent="0.3">
      <c r="A1252">
        <v>702</v>
      </c>
      <c r="B1252" t="s">
        <v>2252</v>
      </c>
      <c r="C1252" t="s">
        <v>92</v>
      </c>
      <c r="D1252">
        <v>0.03</v>
      </c>
      <c r="E1252">
        <v>5.28</v>
      </c>
      <c r="F1252">
        <v>5.61</v>
      </c>
      <c r="G1252" t="s">
        <v>14</v>
      </c>
      <c r="H1252" t="s">
        <v>15</v>
      </c>
      <c r="I1252" t="s">
        <v>24</v>
      </c>
      <c r="J1252" t="s">
        <v>64</v>
      </c>
      <c r="K1252" t="s">
        <v>49</v>
      </c>
      <c r="L1252" t="s">
        <v>2251</v>
      </c>
      <c r="M1252">
        <v>0.4</v>
      </c>
      <c r="N1252" t="s">
        <v>8</v>
      </c>
      <c r="O1252" t="s">
        <v>35</v>
      </c>
      <c r="P1252" t="s">
        <v>66</v>
      </c>
      <c r="Q1252" t="s">
        <v>2253</v>
      </c>
      <c r="R1252">
        <v>95404</v>
      </c>
      <c r="S1252" s="1">
        <v>42117</v>
      </c>
      <c r="T1252" s="1">
        <v>42118</v>
      </c>
      <c r="U1252">
        <v>-16.670000000000002</v>
      </c>
      <c r="V1252">
        <v>1</v>
      </c>
      <c r="W1252">
        <v>6.5</v>
      </c>
      <c r="X1252">
        <v>87977</v>
      </c>
      <c r="Y1252">
        <f>cleaneddata[[#This Row],[Unit Price]]-cleaneddata[[#This Row],[Discount]]</f>
        <v>5.25</v>
      </c>
      <c r="Z125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53" spans="1:26" x14ac:dyDescent="0.3">
      <c r="A1253">
        <v>1304</v>
      </c>
      <c r="B1253" t="s">
        <v>2254</v>
      </c>
      <c r="C1253" t="s">
        <v>92</v>
      </c>
      <c r="D1253">
        <v>0.08</v>
      </c>
      <c r="E1253">
        <v>2.88</v>
      </c>
      <c r="F1253">
        <v>0.5</v>
      </c>
      <c r="G1253" t="s">
        <v>14</v>
      </c>
      <c r="H1253" t="s">
        <v>15</v>
      </c>
      <c r="I1253" t="s">
        <v>24</v>
      </c>
      <c r="J1253" t="s">
        <v>128</v>
      </c>
      <c r="K1253" t="s">
        <v>49</v>
      </c>
      <c r="L1253" t="s">
        <v>2255</v>
      </c>
      <c r="M1253">
        <v>0.39</v>
      </c>
      <c r="N1253" t="s">
        <v>8</v>
      </c>
      <c r="O1253" t="s">
        <v>35</v>
      </c>
      <c r="P1253" t="s">
        <v>122</v>
      </c>
      <c r="Q1253" t="s">
        <v>2256</v>
      </c>
      <c r="R1253">
        <v>84084</v>
      </c>
      <c r="S1253" s="1">
        <v>42117</v>
      </c>
      <c r="T1253" s="1">
        <v>42118</v>
      </c>
      <c r="U1253">
        <v>6.0305999999999997</v>
      </c>
      <c r="V1253">
        <v>3</v>
      </c>
      <c r="W1253">
        <v>8.74</v>
      </c>
      <c r="X1253">
        <v>87004</v>
      </c>
      <c r="Y1253">
        <f>cleaneddata[[#This Row],[Unit Price]]-cleaneddata[[#This Row],[Discount]]</f>
        <v>2.8</v>
      </c>
      <c r="Z125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54" spans="1:26" x14ac:dyDescent="0.3">
      <c r="A1254">
        <v>483</v>
      </c>
      <c r="B1254" t="s">
        <v>791</v>
      </c>
      <c r="C1254" t="s">
        <v>46</v>
      </c>
      <c r="D1254">
        <v>0.06</v>
      </c>
      <c r="E1254">
        <v>3.36</v>
      </c>
      <c r="F1254">
        <v>6.27</v>
      </c>
      <c r="G1254" t="s">
        <v>14</v>
      </c>
      <c r="H1254" t="s">
        <v>70</v>
      </c>
      <c r="I1254" t="s">
        <v>24</v>
      </c>
      <c r="J1254" t="s">
        <v>48</v>
      </c>
      <c r="K1254" t="s">
        <v>49</v>
      </c>
      <c r="L1254" t="s">
        <v>162</v>
      </c>
      <c r="M1254">
        <v>0.4</v>
      </c>
      <c r="N1254" t="s">
        <v>8</v>
      </c>
      <c r="O1254" t="s">
        <v>28</v>
      </c>
      <c r="P1254" t="s">
        <v>79</v>
      </c>
      <c r="Q1254" t="s">
        <v>793</v>
      </c>
      <c r="R1254">
        <v>60543</v>
      </c>
      <c r="S1254" s="1">
        <v>42117</v>
      </c>
      <c r="T1254" s="1">
        <v>42118</v>
      </c>
      <c r="U1254">
        <v>-24.057539999999999</v>
      </c>
      <c r="V1254">
        <v>2</v>
      </c>
      <c r="W1254">
        <v>8.82</v>
      </c>
      <c r="X1254">
        <v>90354</v>
      </c>
      <c r="Y1254">
        <f>cleaneddata[[#This Row],[Unit Price]]-cleaneddata[[#This Row],[Discount]]</f>
        <v>3.3</v>
      </c>
      <c r="Z12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55" spans="1:26" x14ac:dyDescent="0.3">
      <c r="A1255">
        <v>483</v>
      </c>
      <c r="B1255" t="s">
        <v>791</v>
      </c>
      <c r="C1255" t="s">
        <v>46</v>
      </c>
      <c r="D1255">
        <v>7.0000000000000007E-2</v>
      </c>
      <c r="E1255">
        <v>699.99</v>
      </c>
      <c r="F1255">
        <v>24.49</v>
      </c>
      <c r="G1255" t="s">
        <v>14</v>
      </c>
      <c r="H1255" t="s">
        <v>70</v>
      </c>
      <c r="I1255" t="s">
        <v>16</v>
      </c>
      <c r="J1255" t="s">
        <v>39</v>
      </c>
      <c r="K1255" t="s">
        <v>40</v>
      </c>
      <c r="L1255" t="s">
        <v>289</v>
      </c>
      <c r="M1255">
        <v>0.41</v>
      </c>
      <c r="N1255" t="s">
        <v>8</v>
      </c>
      <c r="O1255" t="s">
        <v>28</v>
      </c>
      <c r="P1255" t="s">
        <v>79</v>
      </c>
      <c r="Q1255" t="s">
        <v>793</v>
      </c>
      <c r="R1255">
        <v>60543</v>
      </c>
      <c r="S1255" s="1">
        <v>42117</v>
      </c>
      <c r="T1255" s="1">
        <v>42119</v>
      </c>
      <c r="U1255">
        <v>2583.5614799999998</v>
      </c>
      <c r="V1255">
        <v>9</v>
      </c>
      <c r="W1255">
        <v>5976.09</v>
      </c>
      <c r="X1255">
        <v>90354</v>
      </c>
      <c r="Y1255">
        <f>cleaneddata[[#This Row],[Unit Price]]-cleaneddata[[#This Row],[Discount]]</f>
        <v>699.92</v>
      </c>
      <c r="Z12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56" spans="1:26" x14ac:dyDescent="0.3">
      <c r="A1256">
        <v>1257</v>
      </c>
      <c r="B1256" t="s">
        <v>2257</v>
      </c>
      <c r="C1256" t="s">
        <v>1</v>
      </c>
      <c r="D1256">
        <v>0.04</v>
      </c>
      <c r="E1256">
        <v>2.52</v>
      </c>
      <c r="F1256">
        <v>1.92</v>
      </c>
      <c r="G1256" t="s">
        <v>14</v>
      </c>
      <c r="H1256" t="s">
        <v>47</v>
      </c>
      <c r="I1256" t="s">
        <v>24</v>
      </c>
      <c r="J1256" t="s">
        <v>544</v>
      </c>
      <c r="K1256" t="s">
        <v>26</v>
      </c>
      <c r="L1256" t="s">
        <v>2258</v>
      </c>
      <c r="M1256">
        <v>0.82</v>
      </c>
      <c r="N1256" t="s">
        <v>8</v>
      </c>
      <c r="O1256" t="s">
        <v>35</v>
      </c>
      <c r="P1256" t="s">
        <v>36</v>
      </c>
      <c r="Q1256" t="s">
        <v>1099</v>
      </c>
      <c r="R1256">
        <v>80013</v>
      </c>
      <c r="S1256" s="1">
        <v>42118</v>
      </c>
      <c r="T1256" s="1">
        <v>42118</v>
      </c>
      <c r="U1256">
        <v>-8.2080000000000002</v>
      </c>
      <c r="V1256">
        <v>1</v>
      </c>
      <c r="W1256">
        <v>3.13</v>
      </c>
      <c r="X1256">
        <v>86536</v>
      </c>
      <c r="Y1256">
        <f>cleaneddata[[#This Row],[Unit Price]]-cleaneddata[[#This Row],[Discount]]</f>
        <v>2.48</v>
      </c>
      <c r="Z125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57" spans="1:26" x14ac:dyDescent="0.3">
      <c r="A1257">
        <v>3325</v>
      </c>
      <c r="B1257" t="s">
        <v>2259</v>
      </c>
      <c r="C1257" t="s">
        <v>1</v>
      </c>
      <c r="D1257">
        <v>7.0000000000000007E-2</v>
      </c>
      <c r="E1257">
        <v>5.58</v>
      </c>
      <c r="F1257">
        <v>1.99</v>
      </c>
      <c r="G1257" t="s">
        <v>14</v>
      </c>
      <c r="H1257" t="s">
        <v>15</v>
      </c>
      <c r="I1257" t="s">
        <v>24</v>
      </c>
      <c r="J1257" t="s">
        <v>25</v>
      </c>
      <c r="K1257" t="s">
        <v>26</v>
      </c>
      <c r="L1257" t="s">
        <v>2260</v>
      </c>
      <c r="M1257">
        <v>0.46</v>
      </c>
      <c r="N1257" t="s">
        <v>8</v>
      </c>
      <c r="O1257" t="s">
        <v>35</v>
      </c>
      <c r="P1257" t="s">
        <v>115</v>
      </c>
      <c r="Q1257" t="s">
        <v>2261</v>
      </c>
      <c r="R1257">
        <v>97420</v>
      </c>
      <c r="S1257" s="1">
        <v>42118</v>
      </c>
      <c r="T1257" s="1">
        <v>42120</v>
      </c>
      <c r="U1257">
        <v>23.045999999999999</v>
      </c>
      <c r="V1257">
        <v>23</v>
      </c>
      <c r="W1257">
        <v>121.46</v>
      </c>
      <c r="X1257">
        <v>90987</v>
      </c>
      <c r="Y1257">
        <f>cleaneddata[[#This Row],[Unit Price]]-cleaneddata[[#This Row],[Discount]]</f>
        <v>5.51</v>
      </c>
      <c r="Z125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58" spans="1:26" x14ac:dyDescent="0.3">
      <c r="A1258">
        <v>1085</v>
      </c>
      <c r="B1258" t="s">
        <v>207</v>
      </c>
      <c r="C1258" t="s">
        <v>13</v>
      </c>
      <c r="D1258">
        <v>0.04</v>
      </c>
      <c r="E1258">
        <v>9.06</v>
      </c>
      <c r="F1258">
        <v>9.86</v>
      </c>
      <c r="G1258" t="s">
        <v>14</v>
      </c>
      <c r="H1258" t="s">
        <v>47</v>
      </c>
      <c r="I1258" t="s">
        <v>24</v>
      </c>
      <c r="J1258" t="s">
        <v>64</v>
      </c>
      <c r="K1258" t="s">
        <v>49</v>
      </c>
      <c r="L1258" t="s">
        <v>2262</v>
      </c>
      <c r="M1258">
        <v>0.4</v>
      </c>
      <c r="N1258" t="s">
        <v>8</v>
      </c>
      <c r="O1258" t="s">
        <v>87</v>
      </c>
      <c r="P1258" t="s">
        <v>88</v>
      </c>
      <c r="Q1258" t="s">
        <v>209</v>
      </c>
      <c r="R1258">
        <v>11729</v>
      </c>
      <c r="S1258" s="1">
        <v>42118</v>
      </c>
      <c r="T1258" s="1">
        <v>42119</v>
      </c>
      <c r="U1258">
        <v>-53.25</v>
      </c>
      <c r="V1258">
        <v>3</v>
      </c>
      <c r="W1258">
        <v>30.87</v>
      </c>
      <c r="X1258">
        <v>86123</v>
      </c>
      <c r="Y1258">
        <f>cleaneddata[[#This Row],[Unit Price]]-cleaneddata[[#This Row],[Discount]]</f>
        <v>9.0200000000000014</v>
      </c>
      <c r="Z125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59" spans="1:26" x14ac:dyDescent="0.3">
      <c r="A1259">
        <v>1086</v>
      </c>
      <c r="B1259" t="s">
        <v>2263</v>
      </c>
      <c r="C1259" t="s">
        <v>13</v>
      </c>
      <c r="D1259">
        <v>0.04</v>
      </c>
      <c r="E1259">
        <v>14.27</v>
      </c>
      <c r="F1259">
        <v>7.27</v>
      </c>
      <c r="G1259" t="s">
        <v>14</v>
      </c>
      <c r="H1259" t="s">
        <v>47</v>
      </c>
      <c r="I1259" t="s">
        <v>24</v>
      </c>
      <c r="J1259" t="s">
        <v>48</v>
      </c>
      <c r="K1259" t="s">
        <v>49</v>
      </c>
      <c r="L1259" t="s">
        <v>2264</v>
      </c>
      <c r="M1259">
        <v>0.38</v>
      </c>
      <c r="N1259" t="s">
        <v>8</v>
      </c>
      <c r="O1259" t="s">
        <v>87</v>
      </c>
      <c r="P1259" t="s">
        <v>88</v>
      </c>
      <c r="Q1259" t="s">
        <v>2265</v>
      </c>
      <c r="R1259">
        <v>11746</v>
      </c>
      <c r="S1259" s="1">
        <v>42118</v>
      </c>
      <c r="T1259" s="1">
        <v>42119</v>
      </c>
      <c r="U1259">
        <v>2.125</v>
      </c>
      <c r="V1259">
        <v>3</v>
      </c>
      <c r="W1259">
        <v>45.24</v>
      </c>
      <c r="X1259">
        <v>86123</v>
      </c>
      <c r="Y1259">
        <f>cleaneddata[[#This Row],[Unit Price]]-cleaneddata[[#This Row],[Discount]]</f>
        <v>14.23</v>
      </c>
      <c r="Z125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60" spans="1:26" x14ac:dyDescent="0.3">
      <c r="A1260">
        <v>1670</v>
      </c>
      <c r="B1260" t="s">
        <v>2266</v>
      </c>
      <c r="C1260" t="s">
        <v>23</v>
      </c>
      <c r="D1260">
        <v>0.03</v>
      </c>
      <c r="E1260">
        <v>35.409999999999997</v>
      </c>
      <c r="F1260">
        <v>1.99</v>
      </c>
      <c r="G1260" t="s">
        <v>14</v>
      </c>
      <c r="H1260" t="s">
        <v>3</v>
      </c>
      <c r="I1260" t="s">
        <v>16</v>
      </c>
      <c r="J1260" t="s">
        <v>17</v>
      </c>
      <c r="K1260" t="s">
        <v>18</v>
      </c>
      <c r="L1260" t="s">
        <v>2267</v>
      </c>
      <c r="M1260">
        <v>0.43</v>
      </c>
      <c r="N1260" t="s">
        <v>8</v>
      </c>
      <c r="O1260" t="s">
        <v>9</v>
      </c>
      <c r="P1260" t="s">
        <v>218</v>
      </c>
      <c r="Q1260" t="s">
        <v>2149</v>
      </c>
      <c r="R1260">
        <v>24060</v>
      </c>
      <c r="S1260" s="1">
        <v>42118</v>
      </c>
      <c r="T1260" s="1">
        <v>42120</v>
      </c>
      <c r="U1260">
        <v>1912.422</v>
      </c>
      <c r="V1260">
        <v>10</v>
      </c>
      <c r="W1260">
        <v>367.52</v>
      </c>
      <c r="X1260">
        <v>86722</v>
      </c>
      <c r="Y1260">
        <f>cleaneddata[[#This Row],[Unit Price]]-cleaneddata[[#This Row],[Discount]]</f>
        <v>35.379999999999995</v>
      </c>
      <c r="Z126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61" spans="1:26" x14ac:dyDescent="0.3">
      <c r="A1261">
        <v>1670</v>
      </c>
      <c r="B1261" t="s">
        <v>2266</v>
      </c>
      <c r="C1261" t="s">
        <v>23</v>
      </c>
      <c r="D1261">
        <v>0</v>
      </c>
      <c r="E1261">
        <v>142.86000000000001</v>
      </c>
      <c r="F1261">
        <v>19.989999999999998</v>
      </c>
      <c r="G1261" t="s">
        <v>14</v>
      </c>
      <c r="H1261" t="s">
        <v>3</v>
      </c>
      <c r="I1261" t="s">
        <v>24</v>
      </c>
      <c r="J1261" t="s">
        <v>54</v>
      </c>
      <c r="K1261" t="s">
        <v>49</v>
      </c>
      <c r="L1261" t="s">
        <v>1932</v>
      </c>
      <c r="M1261">
        <v>0.56000000000000005</v>
      </c>
      <c r="N1261" t="s">
        <v>8</v>
      </c>
      <c r="O1261" t="s">
        <v>9</v>
      </c>
      <c r="P1261" t="s">
        <v>218</v>
      </c>
      <c r="Q1261" t="s">
        <v>2149</v>
      </c>
      <c r="R1261">
        <v>24060</v>
      </c>
      <c r="S1261" s="1">
        <v>42118</v>
      </c>
      <c r="T1261" s="1">
        <v>42127</v>
      </c>
      <c r="U1261">
        <v>-739.32600000000002</v>
      </c>
      <c r="V1261">
        <v>11</v>
      </c>
      <c r="W1261">
        <v>1576.35</v>
      </c>
      <c r="X1261">
        <v>86722</v>
      </c>
      <c r="Y1261">
        <f>cleaneddata[[#This Row],[Unit Price]]-cleaneddata[[#This Row],[Discount]]</f>
        <v>142.86000000000001</v>
      </c>
      <c r="Z126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62" spans="1:26" x14ac:dyDescent="0.3">
      <c r="A1262">
        <v>1391</v>
      </c>
      <c r="B1262" t="s">
        <v>2268</v>
      </c>
      <c r="C1262" t="s">
        <v>46</v>
      </c>
      <c r="D1262">
        <v>0</v>
      </c>
      <c r="E1262">
        <v>2.88</v>
      </c>
      <c r="F1262">
        <v>0.7</v>
      </c>
      <c r="G1262" t="s">
        <v>63</v>
      </c>
      <c r="H1262" t="s">
        <v>15</v>
      </c>
      <c r="I1262" t="s">
        <v>24</v>
      </c>
      <c r="J1262" t="s">
        <v>25</v>
      </c>
      <c r="K1262" t="s">
        <v>26</v>
      </c>
      <c r="L1262" t="s">
        <v>615</v>
      </c>
      <c r="M1262">
        <v>0.56000000000000005</v>
      </c>
      <c r="N1262" t="s">
        <v>8</v>
      </c>
      <c r="O1262" t="s">
        <v>35</v>
      </c>
      <c r="P1262" t="s">
        <v>66</v>
      </c>
      <c r="Q1262" t="s">
        <v>2269</v>
      </c>
      <c r="R1262">
        <v>94086</v>
      </c>
      <c r="S1262" s="1">
        <v>42118</v>
      </c>
      <c r="T1262" s="1">
        <v>42118</v>
      </c>
      <c r="U1262">
        <v>-0.11</v>
      </c>
      <c r="V1262">
        <v>1</v>
      </c>
      <c r="W1262">
        <v>7.96</v>
      </c>
      <c r="X1262">
        <v>88727</v>
      </c>
      <c r="Y1262">
        <f>cleaneddata[[#This Row],[Unit Price]]-cleaneddata[[#This Row],[Discount]]</f>
        <v>2.88</v>
      </c>
      <c r="Z12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63" spans="1:26" x14ac:dyDescent="0.3">
      <c r="A1263">
        <v>2570</v>
      </c>
      <c r="B1263" t="s">
        <v>2270</v>
      </c>
      <c r="C1263" t="s">
        <v>1</v>
      </c>
      <c r="D1263">
        <v>0</v>
      </c>
      <c r="E1263">
        <v>4.37</v>
      </c>
      <c r="F1263">
        <v>5.15</v>
      </c>
      <c r="G1263" t="s">
        <v>14</v>
      </c>
      <c r="H1263" t="s">
        <v>15</v>
      </c>
      <c r="I1263" t="s">
        <v>24</v>
      </c>
      <c r="J1263" t="s">
        <v>71</v>
      </c>
      <c r="K1263" t="s">
        <v>49</v>
      </c>
      <c r="L1263" t="s">
        <v>1271</v>
      </c>
      <c r="M1263">
        <v>0.59</v>
      </c>
      <c r="N1263" t="s">
        <v>8</v>
      </c>
      <c r="O1263" t="s">
        <v>35</v>
      </c>
      <c r="P1263" t="s">
        <v>66</v>
      </c>
      <c r="Q1263" t="s">
        <v>2271</v>
      </c>
      <c r="R1263">
        <v>95616</v>
      </c>
      <c r="S1263" s="1">
        <v>42119</v>
      </c>
      <c r="T1263" s="1">
        <v>42121</v>
      </c>
      <c r="U1263">
        <v>-150.2604</v>
      </c>
      <c r="V1263">
        <v>19</v>
      </c>
      <c r="W1263">
        <v>87.85</v>
      </c>
      <c r="X1263">
        <v>90327</v>
      </c>
      <c r="Y1263">
        <f>cleaneddata[[#This Row],[Unit Price]]-cleaneddata[[#This Row],[Discount]]</f>
        <v>4.37</v>
      </c>
      <c r="Z12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64" spans="1:26" x14ac:dyDescent="0.3">
      <c r="A1264">
        <v>2570</v>
      </c>
      <c r="B1264" t="s">
        <v>2270</v>
      </c>
      <c r="C1264" t="s">
        <v>1</v>
      </c>
      <c r="D1264">
        <v>0.01</v>
      </c>
      <c r="E1264">
        <v>500.98</v>
      </c>
      <c r="F1264">
        <v>56</v>
      </c>
      <c r="G1264" t="s">
        <v>2</v>
      </c>
      <c r="H1264" t="s">
        <v>15</v>
      </c>
      <c r="I1264" t="s">
        <v>4</v>
      </c>
      <c r="J1264" t="s">
        <v>85</v>
      </c>
      <c r="K1264" t="s">
        <v>33</v>
      </c>
      <c r="L1264" t="s">
        <v>2272</v>
      </c>
      <c r="M1264">
        <v>0.6</v>
      </c>
      <c r="N1264" t="s">
        <v>8</v>
      </c>
      <c r="O1264" t="s">
        <v>35</v>
      </c>
      <c r="P1264" t="s">
        <v>66</v>
      </c>
      <c r="Q1264" t="s">
        <v>2271</v>
      </c>
      <c r="R1264">
        <v>95616</v>
      </c>
      <c r="S1264" s="1">
        <v>42119</v>
      </c>
      <c r="T1264" s="1">
        <v>42120</v>
      </c>
      <c r="U1264">
        <v>4899.1288000000004</v>
      </c>
      <c r="V1264">
        <v>14</v>
      </c>
      <c r="W1264">
        <v>7429.63</v>
      </c>
      <c r="X1264">
        <v>90327</v>
      </c>
      <c r="Y1264">
        <f>cleaneddata[[#This Row],[Unit Price]]-cleaneddata[[#This Row],[Discount]]</f>
        <v>500.97</v>
      </c>
      <c r="Z126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65" spans="1:26" x14ac:dyDescent="0.3">
      <c r="A1265">
        <v>2570</v>
      </c>
      <c r="B1265" t="s">
        <v>2270</v>
      </c>
      <c r="C1265" t="s">
        <v>1</v>
      </c>
      <c r="D1265">
        <v>0.02</v>
      </c>
      <c r="E1265">
        <v>12.58</v>
      </c>
      <c r="F1265">
        <v>5.16</v>
      </c>
      <c r="G1265" t="s">
        <v>14</v>
      </c>
      <c r="H1265" t="s">
        <v>15</v>
      </c>
      <c r="I1265" t="s">
        <v>4</v>
      </c>
      <c r="J1265" t="s">
        <v>102</v>
      </c>
      <c r="K1265" t="s">
        <v>49</v>
      </c>
      <c r="L1265" t="s">
        <v>2273</v>
      </c>
      <c r="M1265">
        <v>0.43</v>
      </c>
      <c r="N1265" t="s">
        <v>8</v>
      </c>
      <c r="O1265" t="s">
        <v>35</v>
      </c>
      <c r="P1265" t="s">
        <v>66</v>
      </c>
      <c r="Q1265" t="s">
        <v>2271</v>
      </c>
      <c r="R1265">
        <v>95616</v>
      </c>
      <c r="S1265" s="1">
        <v>42119</v>
      </c>
      <c r="T1265" s="1">
        <v>42119</v>
      </c>
      <c r="U1265">
        <v>44.712000000000003</v>
      </c>
      <c r="V1265">
        <v>18</v>
      </c>
      <c r="W1265">
        <v>224.29</v>
      </c>
      <c r="X1265">
        <v>90327</v>
      </c>
      <c r="Y1265">
        <f>cleaneddata[[#This Row],[Unit Price]]-cleaneddata[[#This Row],[Discount]]</f>
        <v>12.56</v>
      </c>
      <c r="Z126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66" spans="1:26" x14ac:dyDescent="0.3">
      <c r="A1266">
        <v>2570</v>
      </c>
      <c r="B1266" t="s">
        <v>2270</v>
      </c>
      <c r="C1266" t="s">
        <v>1</v>
      </c>
      <c r="D1266">
        <v>0.1</v>
      </c>
      <c r="E1266">
        <v>7.7</v>
      </c>
      <c r="F1266">
        <v>3.68</v>
      </c>
      <c r="G1266" t="s">
        <v>14</v>
      </c>
      <c r="H1266" t="s">
        <v>15</v>
      </c>
      <c r="I1266" t="s">
        <v>4</v>
      </c>
      <c r="J1266" t="s">
        <v>102</v>
      </c>
      <c r="K1266" t="s">
        <v>26</v>
      </c>
      <c r="L1266" t="s">
        <v>2274</v>
      </c>
      <c r="M1266">
        <v>0.52</v>
      </c>
      <c r="N1266" t="s">
        <v>8</v>
      </c>
      <c r="O1266" t="s">
        <v>35</v>
      </c>
      <c r="P1266" t="s">
        <v>66</v>
      </c>
      <c r="Q1266" t="s">
        <v>2271</v>
      </c>
      <c r="R1266">
        <v>95616</v>
      </c>
      <c r="S1266" s="1">
        <v>42119</v>
      </c>
      <c r="T1266" s="1">
        <v>42120</v>
      </c>
      <c r="U1266">
        <v>-22.626000000000001</v>
      </c>
      <c r="V1266">
        <v>7</v>
      </c>
      <c r="W1266">
        <v>51.2</v>
      </c>
      <c r="X1266">
        <v>90327</v>
      </c>
      <c r="Y1266">
        <f>cleaneddata[[#This Row],[Unit Price]]-cleaneddata[[#This Row],[Discount]]</f>
        <v>7.6000000000000005</v>
      </c>
      <c r="Z126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67" spans="1:26" x14ac:dyDescent="0.3">
      <c r="A1267">
        <v>2571</v>
      </c>
      <c r="B1267" t="s">
        <v>2275</v>
      </c>
      <c r="C1267" t="s">
        <v>1</v>
      </c>
      <c r="D1267">
        <v>0.01</v>
      </c>
      <c r="E1267">
        <v>500.98</v>
      </c>
      <c r="F1267">
        <v>56</v>
      </c>
      <c r="G1267" t="s">
        <v>2</v>
      </c>
      <c r="H1267" t="s">
        <v>15</v>
      </c>
      <c r="I1267" t="s">
        <v>4</v>
      </c>
      <c r="J1267" t="s">
        <v>85</v>
      </c>
      <c r="K1267" t="s">
        <v>33</v>
      </c>
      <c r="L1267" t="s">
        <v>2272</v>
      </c>
      <c r="M1267">
        <v>0.6</v>
      </c>
      <c r="N1267" t="s">
        <v>8</v>
      </c>
      <c r="O1267" t="s">
        <v>87</v>
      </c>
      <c r="P1267" t="s">
        <v>88</v>
      </c>
      <c r="Q1267" t="s">
        <v>89</v>
      </c>
      <c r="R1267">
        <v>10165</v>
      </c>
      <c r="S1267" s="1">
        <v>42119</v>
      </c>
      <c r="T1267" s="1">
        <v>42120</v>
      </c>
      <c r="U1267">
        <v>4260.1120000000001</v>
      </c>
      <c r="V1267">
        <v>56</v>
      </c>
      <c r="W1267">
        <v>29718.53</v>
      </c>
      <c r="X1267">
        <v>50656</v>
      </c>
      <c r="Y1267">
        <f>cleaneddata[[#This Row],[Unit Price]]-cleaneddata[[#This Row],[Discount]]</f>
        <v>500.97</v>
      </c>
      <c r="Z12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68" spans="1:26" x14ac:dyDescent="0.3">
      <c r="A1268">
        <v>2571</v>
      </c>
      <c r="B1268" t="s">
        <v>2275</v>
      </c>
      <c r="C1268" t="s">
        <v>1</v>
      </c>
      <c r="D1268">
        <v>0.1</v>
      </c>
      <c r="E1268">
        <v>7.7</v>
      </c>
      <c r="F1268">
        <v>3.68</v>
      </c>
      <c r="G1268" t="s">
        <v>14</v>
      </c>
      <c r="H1268" t="s">
        <v>15</v>
      </c>
      <c r="I1268" t="s">
        <v>4</v>
      </c>
      <c r="J1268" t="s">
        <v>102</v>
      </c>
      <c r="K1268" t="s">
        <v>26</v>
      </c>
      <c r="L1268" t="s">
        <v>2274</v>
      </c>
      <c r="M1268">
        <v>0.52</v>
      </c>
      <c r="N1268" t="s">
        <v>8</v>
      </c>
      <c r="O1268" t="s">
        <v>87</v>
      </c>
      <c r="P1268" t="s">
        <v>88</v>
      </c>
      <c r="Q1268" t="s">
        <v>89</v>
      </c>
      <c r="R1268">
        <v>10165</v>
      </c>
      <c r="S1268" s="1">
        <v>42119</v>
      </c>
      <c r="T1268" s="1">
        <v>42120</v>
      </c>
      <c r="U1268">
        <v>-25.14</v>
      </c>
      <c r="V1268">
        <v>27</v>
      </c>
      <c r="W1268">
        <v>197.48</v>
      </c>
      <c r="X1268">
        <v>50656</v>
      </c>
      <c r="Y1268">
        <f>cleaneddata[[#This Row],[Unit Price]]-cleaneddata[[#This Row],[Discount]]</f>
        <v>7.6000000000000005</v>
      </c>
      <c r="Z126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69" spans="1:26" x14ac:dyDescent="0.3">
      <c r="A1269">
        <v>3379</v>
      </c>
      <c r="B1269" t="s">
        <v>1845</v>
      </c>
      <c r="C1269" t="s">
        <v>1</v>
      </c>
      <c r="D1269">
        <v>0.05</v>
      </c>
      <c r="E1269">
        <v>3.14</v>
      </c>
      <c r="F1269">
        <v>1.92</v>
      </c>
      <c r="G1269" t="s">
        <v>63</v>
      </c>
      <c r="H1269" t="s">
        <v>47</v>
      </c>
      <c r="I1269" t="s">
        <v>24</v>
      </c>
      <c r="J1269" t="s">
        <v>544</v>
      </c>
      <c r="K1269" t="s">
        <v>26</v>
      </c>
      <c r="L1269" t="s">
        <v>1416</v>
      </c>
      <c r="M1269">
        <v>0.84</v>
      </c>
      <c r="N1269" t="s">
        <v>8</v>
      </c>
      <c r="O1269" t="s">
        <v>9</v>
      </c>
      <c r="P1269" t="s">
        <v>51</v>
      </c>
      <c r="Q1269" t="s">
        <v>1847</v>
      </c>
      <c r="R1269">
        <v>30144</v>
      </c>
      <c r="S1269" s="1">
        <v>42119</v>
      </c>
      <c r="T1269" s="1">
        <v>42120</v>
      </c>
      <c r="U1269">
        <v>1628.37</v>
      </c>
      <c r="V1269">
        <v>18</v>
      </c>
      <c r="W1269">
        <v>59.22</v>
      </c>
      <c r="X1269">
        <v>88839</v>
      </c>
      <c r="Y1269">
        <f>cleaneddata[[#This Row],[Unit Price]]-cleaneddata[[#This Row],[Discount]]</f>
        <v>3.0900000000000003</v>
      </c>
      <c r="Z126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70" spans="1:26" x14ac:dyDescent="0.3">
      <c r="A1270">
        <v>731</v>
      </c>
      <c r="B1270" t="s">
        <v>2276</v>
      </c>
      <c r="C1270" t="s">
        <v>13</v>
      </c>
      <c r="D1270">
        <v>0.09</v>
      </c>
      <c r="E1270">
        <v>101.41</v>
      </c>
      <c r="F1270">
        <v>35</v>
      </c>
      <c r="G1270" t="s">
        <v>14</v>
      </c>
      <c r="H1270" t="s">
        <v>15</v>
      </c>
      <c r="I1270" t="s">
        <v>24</v>
      </c>
      <c r="J1270" t="s">
        <v>54</v>
      </c>
      <c r="K1270" t="s">
        <v>40</v>
      </c>
      <c r="L1270" t="s">
        <v>742</v>
      </c>
      <c r="M1270">
        <v>0.82</v>
      </c>
      <c r="N1270" t="s">
        <v>8</v>
      </c>
      <c r="O1270" t="s">
        <v>87</v>
      </c>
      <c r="P1270" t="s">
        <v>379</v>
      </c>
      <c r="Q1270" t="s">
        <v>904</v>
      </c>
      <c r="R1270">
        <v>1803</v>
      </c>
      <c r="S1270" s="1">
        <v>42120</v>
      </c>
      <c r="T1270" s="1">
        <v>42121</v>
      </c>
      <c r="U1270">
        <v>-801.15480000000002</v>
      </c>
      <c r="V1270">
        <v>12</v>
      </c>
      <c r="W1270">
        <v>1178.32</v>
      </c>
      <c r="X1270">
        <v>90362</v>
      </c>
      <c r="Y1270">
        <f>cleaneddata[[#This Row],[Unit Price]]-cleaneddata[[#This Row],[Discount]]</f>
        <v>101.32</v>
      </c>
      <c r="Z127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71" spans="1:26" x14ac:dyDescent="0.3">
      <c r="A1271">
        <v>1893</v>
      </c>
      <c r="B1271" t="s">
        <v>2277</v>
      </c>
      <c r="C1271" t="s">
        <v>23</v>
      </c>
      <c r="D1271">
        <v>0.03</v>
      </c>
      <c r="E1271">
        <v>180.98</v>
      </c>
      <c r="F1271">
        <v>26.2</v>
      </c>
      <c r="G1271" t="s">
        <v>2</v>
      </c>
      <c r="H1271" t="s">
        <v>15</v>
      </c>
      <c r="I1271" t="s">
        <v>4</v>
      </c>
      <c r="J1271" t="s">
        <v>85</v>
      </c>
      <c r="K1271" t="s">
        <v>33</v>
      </c>
      <c r="L1271" t="s">
        <v>2250</v>
      </c>
      <c r="M1271">
        <v>0.59</v>
      </c>
      <c r="N1271" t="s">
        <v>8</v>
      </c>
      <c r="O1271" t="s">
        <v>28</v>
      </c>
      <c r="P1271" t="s">
        <v>56</v>
      </c>
      <c r="Q1271" t="s">
        <v>2278</v>
      </c>
      <c r="R1271">
        <v>63119</v>
      </c>
      <c r="S1271" s="1">
        <v>42120</v>
      </c>
      <c r="T1271" s="1">
        <v>42124</v>
      </c>
      <c r="U1271">
        <v>588.54</v>
      </c>
      <c r="V1271">
        <v>5</v>
      </c>
      <c r="W1271">
        <v>928.92</v>
      </c>
      <c r="X1271">
        <v>91262</v>
      </c>
      <c r="Y1271">
        <f>cleaneddata[[#This Row],[Unit Price]]-cleaneddata[[#This Row],[Discount]]</f>
        <v>180.95</v>
      </c>
      <c r="Z127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72" spans="1:26" x14ac:dyDescent="0.3">
      <c r="A1272">
        <v>2491</v>
      </c>
      <c r="B1272" t="s">
        <v>433</v>
      </c>
      <c r="C1272" t="s">
        <v>23</v>
      </c>
      <c r="D1272">
        <v>0.06</v>
      </c>
      <c r="E1272">
        <v>4.28</v>
      </c>
      <c r="F1272">
        <v>0.94</v>
      </c>
      <c r="G1272" t="s">
        <v>14</v>
      </c>
      <c r="H1272" t="s">
        <v>15</v>
      </c>
      <c r="I1272" t="s">
        <v>24</v>
      </c>
      <c r="J1272" t="s">
        <v>25</v>
      </c>
      <c r="K1272" t="s">
        <v>26</v>
      </c>
      <c r="L1272" t="s">
        <v>457</v>
      </c>
      <c r="M1272">
        <v>0.56000000000000005</v>
      </c>
      <c r="N1272" t="s">
        <v>8</v>
      </c>
      <c r="O1272" t="s">
        <v>35</v>
      </c>
      <c r="P1272" t="s">
        <v>66</v>
      </c>
      <c r="Q1272" t="s">
        <v>76</v>
      </c>
      <c r="R1272">
        <v>90045</v>
      </c>
      <c r="S1272" s="1">
        <v>42120</v>
      </c>
      <c r="T1272" s="1">
        <v>42122</v>
      </c>
      <c r="U1272">
        <v>0.37</v>
      </c>
      <c r="V1272">
        <v>9</v>
      </c>
      <c r="W1272">
        <v>38.96</v>
      </c>
      <c r="X1272">
        <v>11712</v>
      </c>
      <c r="Y1272">
        <f>cleaneddata[[#This Row],[Unit Price]]-cleaneddata[[#This Row],[Discount]]</f>
        <v>4.2200000000000006</v>
      </c>
      <c r="Z127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73" spans="1:26" x14ac:dyDescent="0.3">
      <c r="A1273">
        <v>2495</v>
      </c>
      <c r="B1273" t="s">
        <v>2279</v>
      </c>
      <c r="C1273" t="s">
        <v>23</v>
      </c>
      <c r="D1273">
        <v>0.06</v>
      </c>
      <c r="E1273">
        <v>4.28</v>
      </c>
      <c r="F1273">
        <v>0.94</v>
      </c>
      <c r="G1273" t="s">
        <v>14</v>
      </c>
      <c r="H1273" t="s">
        <v>15</v>
      </c>
      <c r="I1273" t="s">
        <v>24</v>
      </c>
      <c r="J1273" t="s">
        <v>25</v>
      </c>
      <c r="K1273" t="s">
        <v>26</v>
      </c>
      <c r="L1273" t="s">
        <v>457</v>
      </c>
      <c r="M1273">
        <v>0.56000000000000005</v>
      </c>
      <c r="N1273" t="s">
        <v>8</v>
      </c>
      <c r="O1273" t="s">
        <v>35</v>
      </c>
      <c r="P1273" t="s">
        <v>1036</v>
      </c>
      <c r="Q1273" t="s">
        <v>1637</v>
      </c>
      <c r="R1273">
        <v>82901</v>
      </c>
      <c r="S1273" s="1">
        <v>42120</v>
      </c>
      <c r="T1273" s="1">
        <v>42122</v>
      </c>
      <c r="U1273">
        <v>0.37</v>
      </c>
      <c r="V1273">
        <v>2</v>
      </c>
      <c r="W1273">
        <v>8.66</v>
      </c>
      <c r="X1273">
        <v>86885</v>
      </c>
      <c r="Y1273">
        <f>cleaneddata[[#This Row],[Unit Price]]-cleaneddata[[#This Row],[Discount]]</f>
        <v>4.2200000000000006</v>
      </c>
      <c r="Z127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74" spans="1:26" x14ac:dyDescent="0.3">
      <c r="A1274">
        <v>2489</v>
      </c>
      <c r="B1274" t="s">
        <v>427</v>
      </c>
      <c r="C1274" t="s">
        <v>92</v>
      </c>
      <c r="D1274">
        <v>0.04</v>
      </c>
      <c r="E1274">
        <v>419.19</v>
      </c>
      <c r="F1274">
        <v>19.989999999999998</v>
      </c>
      <c r="G1274" t="s">
        <v>14</v>
      </c>
      <c r="H1274" t="s">
        <v>47</v>
      </c>
      <c r="I1274" t="s">
        <v>24</v>
      </c>
      <c r="J1274" t="s">
        <v>54</v>
      </c>
      <c r="K1274" t="s">
        <v>49</v>
      </c>
      <c r="L1274" t="s">
        <v>2168</v>
      </c>
      <c r="M1274">
        <v>0.57999999999999996</v>
      </c>
      <c r="N1274" t="s">
        <v>8</v>
      </c>
      <c r="O1274" t="s">
        <v>35</v>
      </c>
      <c r="P1274" t="s">
        <v>66</v>
      </c>
      <c r="Q1274" t="s">
        <v>429</v>
      </c>
      <c r="R1274">
        <v>94521</v>
      </c>
      <c r="S1274" s="1">
        <v>42120</v>
      </c>
      <c r="T1274" s="1">
        <v>42121</v>
      </c>
      <c r="U1274">
        <v>1388.3559</v>
      </c>
      <c r="V1274">
        <v>5</v>
      </c>
      <c r="W1274">
        <v>2012.11</v>
      </c>
      <c r="X1274">
        <v>86885</v>
      </c>
      <c r="Y1274">
        <f>cleaneddata[[#This Row],[Unit Price]]-cleaneddata[[#This Row],[Discount]]</f>
        <v>419.15</v>
      </c>
      <c r="Z12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75" spans="1:26" x14ac:dyDescent="0.3">
      <c r="A1275">
        <v>2491</v>
      </c>
      <c r="B1275" t="s">
        <v>433</v>
      </c>
      <c r="C1275" t="s">
        <v>92</v>
      </c>
      <c r="D1275">
        <v>0.04</v>
      </c>
      <c r="E1275">
        <v>419.19</v>
      </c>
      <c r="F1275">
        <v>19.989999999999998</v>
      </c>
      <c r="G1275" t="s">
        <v>14</v>
      </c>
      <c r="H1275" t="s">
        <v>47</v>
      </c>
      <c r="I1275" t="s">
        <v>24</v>
      </c>
      <c r="J1275" t="s">
        <v>54</v>
      </c>
      <c r="K1275" t="s">
        <v>49</v>
      </c>
      <c r="L1275" t="s">
        <v>2168</v>
      </c>
      <c r="M1275">
        <v>0.57999999999999996</v>
      </c>
      <c r="N1275" t="s">
        <v>8</v>
      </c>
      <c r="O1275" t="s">
        <v>35</v>
      </c>
      <c r="P1275" t="s">
        <v>66</v>
      </c>
      <c r="Q1275" t="s">
        <v>76</v>
      </c>
      <c r="R1275">
        <v>90045</v>
      </c>
      <c r="S1275" s="1">
        <v>42120</v>
      </c>
      <c r="T1275" s="1">
        <v>42121</v>
      </c>
      <c r="U1275">
        <v>1947.67</v>
      </c>
      <c r="V1275">
        <v>20</v>
      </c>
      <c r="W1275">
        <v>8048.45</v>
      </c>
      <c r="X1275">
        <v>23042</v>
      </c>
      <c r="Y1275">
        <f>cleaneddata[[#This Row],[Unit Price]]-cleaneddata[[#This Row],[Discount]]</f>
        <v>419.15</v>
      </c>
      <c r="Z12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76" spans="1:26" x14ac:dyDescent="0.3">
      <c r="A1276">
        <v>2380</v>
      </c>
      <c r="B1276" t="s">
        <v>2280</v>
      </c>
      <c r="C1276" t="s">
        <v>46</v>
      </c>
      <c r="D1276">
        <v>7.0000000000000007E-2</v>
      </c>
      <c r="E1276">
        <v>3.38</v>
      </c>
      <c r="F1276">
        <v>0.85</v>
      </c>
      <c r="G1276" t="s">
        <v>14</v>
      </c>
      <c r="H1276" t="s">
        <v>3</v>
      </c>
      <c r="I1276" t="s">
        <v>24</v>
      </c>
      <c r="J1276" t="s">
        <v>25</v>
      </c>
      <c r="K1276" t="s">
        <v>26</v>
      </c>
      <c r="L1276" t="s">
        <v>912</v>
      </c>
      <c r="M1276">
        <v>0.48</v>
      </c>
      <c r="N1276" t="s">
        <v>8</v>
      </c>
      <c r="O1276" t="s">
        <v>28</v>
      </c>
      <c r="P1276" t="s">
        <v>265</v>
      </c>
      <c r="Q1276" t="s">
        <v>2281</v>
      </c>
      <c r="R1276">
        <v>49505</v>
      </c>
      <c r="S1276" s="1">
        <v>42120</v>
      </c>
      <c r="T1276" s="1">
        <v>42122</v>
      </c>
      <c r="U1276">
        <v>19.04</v>
      </c>
      <c r="V1276">
        <v>9</v>
      </c>
      <c r="W1276">
        <v>29.08</v>
      </c>
      <c r="X1276">
        <v>86654</v>
      </c>
      <c r="Y1276">
        <f>cleaneddata[[#This Row],[Unit Price]]-cleaneddata[[#This Row],[Discount]]</f>
        <v>3.31</v>
      </c>
      <c r="Z127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77" spans="1:26" x14ac:dyDescent="0.3">
      <c r="A1277">
        <v>2382</v>
      </c>
      <c r="B1277" t="s">
        <v>2282</v>
      </c>
      <c r="C1277" t="s">
        <v>46</v>
      </c>
      <c r="D1277">
        <v>7.0000000000000007E-2</v>
      </c>
      <c r="E1277">
        <v>3.38</v>
      </c>
      <c r="F1277">
        <v>0.85</v>
      </c>
      <c r="G1277" t="s">
        <v>14</v>
      </c>
      <c r="H1277" t="s">
        <v>3</v>
      </c>
      <c r="I1277" t="s">
        <v>24</v>
      </c>
      <c r="J1277" t="s">
        <v>25</v>
      </c>
      <c r="K1277" t="s">
        <v>26</v>
      </c>
      <c r="L1277" t="s">
        <v>912</v>
      </c>
      <c r="M1277">
        <v>0.48</v>
      </c>
      <c r="N1277" t="s">
        <v>8</v>
      </c>
      <c r="O1277" t="s">
        <v>87</v>
      </c>
      <c r="P1277" t="s">
        <v>88</v>
      </c>
      <c r="Q1277" t="s">
        <v>89</v>
      </c>
      <c r="R1277">
        <v>10024</v>
      </c>
      <c r="S1277" s="1">
        <v>42120</v>
      </c>
      <c r="T1277" s="1">
        <v>42122</v>
      </c>
      <c r="U1277">
        <v>19.04</v>
      </c>
      <c r="V1277">
        <v>34</v>
      </c>
      <c r="W1277">
        <v>109.86</v>
      </c>
      <c r="X1277">
        <v>13606</v>
      </c>
      <c r="Y1277">
        <f>cleaneddata[[#This Row],[Unit Price]]-cleaneddata[[#This Row],[Discount]]</f>
        <v>3.31</v>
      </c>
      <c r="Z127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78" spans="1:26" x14ac:dyDescent="0.3">
      <c r="A1278">
        <v>2468</v>
      </c>
      <c r="B1278" t="s">
        <v>1587</v>
      </c>
      <c r="C1278" t="s">
        <v>1</v>
      </c>
      <c r="D1278">
        <v>0.09</v>
      </c>
      <c r="E1278">
        <v>58.1</v>
      </c>
      <c r="F1278">
        <v>1.49</v>
      </c>
      <c r="G1278" t="s">
        <v>63</v>
      </c>
      <c r="H1278" t="s">
        <v>47</v>
      </c>
      <c r="I1278" t="s">
        <v>24</v>
      </c>
      <c r="J1278" t="s">
        <v>48</v>
      </c>
      <c r="K1278" t="s">
        <v>49</v>
      </c>
      <c r="L1278" t="s">
        <v>598</v>
      </c>
      <c r="M1278">
        <v>0.38</v>
      </c>
      <c r="N1278" t="s">
        <v>8</v>
      </c>
      <c r="O1278" t="s">
        <v>9</v>
      </c>
      <c r="P1278" t="s">
        <v>73</v>
      </c>
      <c r="Q1278" t="s">
        <v>1589</v>
      </c>
      <c r="R1278">
        <v>28144</v>
      </c>
      <c r="S1278" s="1">
        <v>42121</v>
      </c>
      <c r="T1278" s="1">
        <v>42123</v>
      </c>
      <c r="U1278">
        <v>765.75</v>
      </c>
      <c r="V1278">
        <v>3</v>
      </c>
      <c r="W1278">
        <v>169.46</v>
      </c>
      <c r="X1278">
        <v>88135</v>
      </c>
      <c r="Y1278">
        <f>cleaneddata[[#This Row],[Unit Price]]-cleaneddata[[#This Row],[Discount]]</f>
        <v>58.01</v>
      </c>
      <c r="Z12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79" spans="1:26" x14ac:dyDescent="0.3">
      <c r="A1279">
        <v>983</v>
      </c>
      <c r="B1279" t="s">
        <v>2283</v>
      </c>
      <c r="C1279" t="s">
        <v>23</v>
      </c>
      <c r="D1279">
        <v>0.09</v>
      </c>
      <c r="E1279">
        <v>300.97000000000003</v>
      </c>
      <c r="F1279">
        <v>7.18</v>
      </c>
      <c r="G1279" t="s">
        <v>14</v>
      </c>
      <c r="H1279" t="s">
        <v>70</v>
      </c>
      <c r="I1279" t="s">
        <v>16</v>
      </c>
      <c r="J1279" t="s">
        <v>17</v>
      </c>
      <c r="K1279" t="s">
        <v>49</v>
      </c>
      <c r="L1279" t="s">
        <v>2185</v>
      </c>
      <c r="M1279">
        <v>0.48</v>
      </c>
      <c r="N1279" t="s">
        <v>8</v>
      </c>
      <c r="O1279" t="s">
        <v>9</v>
      </c>
      <c r="P1279" t="s">
        <v>20</v>
      </c>
      <c r="Q1279" t="s">
        <v>2284</v>
      </c>
      <c r="R1279">
        <v>72143</v>
      </c>
      <c r="S1279" s="1">
        <v>42121</v>
      </c>
      <c r="T1279" s="1">
        <v>42121</v>
      </c>
      <c r="U1279">
        <v>17.771999999999998</v>
      </c>
      <c r="V1279">
        <v>10</v>
      </c>
      <c r="W1279">
        <v>2848.38</v>
      </c>
      <c r="X1279">
        <v>90201</v>
      </c>
      <c r="Y1279">
        <f>cleaneddata[[#This Row],[Unit Price]]-cleaneddata[[#This Row],[Discount]]</f>
        <v>300.88000000000005</v>
      </c>
      <c r="Z127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80" spans="1:26" x14ac:dyDescent="0.3">
      <c r="A1280">
        <v>202</v>
      </c>
      <c r="B1280" t="s">
        <v>524</v>
      </c>
      <c r="C1280" t="s">
        <v>46</v>
      </c>
      <c r="D1280">
        <v>0.09</v>
      </c>
      <c r="E1280">
        <v>12.28</v>
      </c>
      <c r="F1280">
        <v>4.8600000000000003</v>
      </c>
      <c r="G1280" t="s">
        <v>14</v>
      </c>
      <c r="H1280" t="s">
        <v>70</v>
      </c>
      <c r="I1280" t="s">
        <v>24</v>
      </c>
      <c r="J1280" t="s">
        <v>64</v>
      </c>
      <c r="K1280" t="s">
        <v>49</v>
      </c>
      <c r="L1280" t="s">
        <v>1836</v>
      </c>
      <c r="M1280">
        <v>0.38</v>
      </c>
      <c r="N1280" t="s">
        <v>8</v>
      </c>
      <c r="O1280" t="s">
        <v>28</v>
      </c>
      <c r="P1280" t="s">
        <v>183</v>
      </c>
      <c r="Q1280" t="s">
        <v>526</v>
      </c>
      <c r="R1280">
        <v>74006</v>
      </c>
      <c r="S1280" s="1">
        <v>42121</v>
      </c>
      <c r="T1280" s="1">
        <v>42122</v>
      </c>
      <c r="U1280">
        <v>1.73</v>
      </c>
      <c r="V1280">
        <v>3</v>
      </c>
      <c r="W1280">
        <v>34.65</v>
      </c>
      <c r="X1280">
        <v>88971</v>
      </c>
      <c r="Y1280">
        <f>cleaneddata[[#This Row],[Unit Price]]-cleaneddata[[#This Row],[Discount]]</f>
        <v>12.19</v>
      </c>
      <c r="Z128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81" spans="1:26" x14ac:dyDescent="0.3">
      <c r="A1281">
        <v>762</v>
      </c>
      <c r="B1281" t="s">
        <v>2285</v>
      </c>
      <c r="C1281" t="s">
        <v>46</v>
      </c>
      <c r="D1281">
        <v>0</v>
      </c>
      <c r="E1281">
        <v>125.99</v>
      </c>
      <c r="F1281">
        <v>8.99</v>
      </c>
      <c r="G1281" t="s">
        <v>14</v>
      </c>
      <c r="H1281" t="s">
        <v>3</v>
      </c>
      <c r="I1281" t="s">
        <v>16</v>
      </c>
      <c r="J1281" t="s">
        <v>111</v>
      </c>
      <c r="K1281" t="s">
        <v>49</v>
      </c>
      <c r="L1281" t="s">
        <v>751</v>
      </c>
      <c r="M1281">
        <v>0.56999999999999995</v>
      </c>
      <c r="N1281" t="s">
        <v>8</v>
      </c>
      <c r="O1281" t="s">
        <v>35</v>
      </c>
      <c r="P1281" t="s">
        <v>42</v>
      </c>
      <c r="Q1281" t="s">
        <v>2286</v>
      </c>
      <c r="R1281">
        <v>98661</v>
      </c>
      <c r="S1281" s="1">
        <v>42121</v>
      </c>
      <c r="T1281" s="1">
        <v>42123</v>
      </c>
      <c r="U1281">
        <v>613.89576</v>
      </c>
      <c r="V1281">
        <v>12</v>
      </c>
      <c r="W1281">
        <v>1362.2</v>
      </c>
      <c r="X1281">
        <v>87525</v>
      </c>
      <c r="Y1281">
        <f>cleaneddata[[#This Row],[Unit Price]]-cleaneddata[[#This Row],[Discount]]</f>
        <v>125.99</v>
      </c>
      <c r="Z12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282" spans="1:26" x14ac:dyDescent="0.3">
      <c r="A1282">
        <v>3320</v>
      </c>
      <c r="B1282" t="s">
        <v>2287</v>
      </c>
      <c r="C1282" t="s">
        <v>46</v>
      </c>
      <c r="D1282">
        <v>0.08</v>
      </c>
      <c r="E1282">
        <v>3.28</v>
      </c>
      <c r="F1282">
        <v>3.97</v>
      </c>
      <c r="G1282" t="s">
        <v>14</v>
      </c>
      <c r="H1282" t="s">
        <v>3</v>
      </c>
      <c r="I1282" t="s">
        <v>24</v>
      </c>
      <c r="J1282" t="s">
        <v>25</v>
      </c>
      <c r="K1282" t="s">
        <v>26</v>
      </c>
      <c r="L1282" t="s">
        <v>221</v>
      </c>
      <c r="M1282">
        <v>0.56000000000000005</v>
      </c>
      <c r="N1282" t="s">
        <v>8</v>
      </c>
      <c r="O1282" t="s">
        <v>9</v>
      </c>
      <c r="P1282" t="s">
        <v>376</v>
      </c>
      <c r="Q1282" t="s">
        <v>2092</v>
      </c>
      <c r="R1282">
        <v>38301</v>
      </c>
      <c r="S1282" s="1">
        <v>42121</v>
      </c>
      <c r="T1282" s="1">
        <v>42122</v>
      </c>
      <c r="U1282">
        <v>0.42659999999999998</v>
      </c>
      <c r="V1282">
        <v>18</v>
      </c>
      <c r="W1282">
        <v>57.24</v>
      </c>
      <c r="X1282">
        <v>90103</v>
      </c>
      <c r="Y1282">
        <f>cleaneddata[[#This Row],[Unit Price]]-cleaneddata[[#This Row],[Discount]]</f>
        <v>3.1999999999999997</v>
      </c>
      <c r="Z128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83" spans="1:26" x14ac:dyDescent="0.3">
      <c r="A1283">
        <v>3320</v>
      </c>
      <c r="B1283" t="s">
        <v>2287</v>
      </c>
      <c r="C1283" t="s">
        <v>46</v>
      </c>
      <c r="D1283">
        <v>0.09</v>
      </c>
      <c r="E1283">
        <v>40.97</v>
      </c>
      <c r="F1283">
        <v>8.99</v>
      </c>
      <c r="G1283" t="s">
        <v>63</v>
      </c>
      <c r="H1283" t="s">
        <v>3</v>
      </c>
      <c r="I1283" t="s">
        <v>24</v>
      </c>
      <c r="J1283" t="s">
        <v>25</v>
      </c>
      <c r="K1283" t="s">
        <v>18</v>
      </c>
      <c r="L1283" t="s">
        <v>1711</v>
      </c>
      <c r="M1283">
        <v>0.59</v>
      </c>
      <c r="N1283" t="s">
        <v>8</v>
      </c>
      <c r="O1283" t="s">
        <v>9</v>
      </c>
      <c r="P1283" t="s">
        <v>376</v>
      </c>
      <c r="Q1283" t="s">
        <v>2092</v>
      </c>
      <c r="R1283">
        <v>38301</v>
      </c>
      <c r="S1283" s="1">
        <v>42121</v>
      </c>
      <c r="T1283" s="1">
        <v>42123</v>
      </c>
      <c r="U1283">
        <v>66.215999999999994</v>
      </c>
      <c r="V1283">
        <v>22</v>
      </c>
      <c r="W1283">
        <v>824.7</v>
      </c>
      <c r="X1283">
        <v>90103</v>
      </c>
      <c r="Y1283">
        <f>cleaneddata[[#This Row],[Unit Price]]-cleaneddata[[#This Row],[Discount]]</f>
        <v>40.879999999999995</v>
      </c>
      <c r="Z12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84" spans="1:26" x14ac:dyDescent="0.3">
      <c r="A1284">
        <v>1439</v>
      </c>
      <c r="B1284" t="s">
        <v>2288</v>
      </c>
      <c r="C1284" t="s">
        <v>1</v>
      </c>
      <c r="D1284">
        <v>0.05</v>
      </c>
      <c r="E1284">
        <v>6.48</v>
      </c>
      <c r="F1284">
        <v>6.22</v>
      </c>
      <c r="G1284" t="s">
        <v>14</v>
      </c>
      <c r="H1284" t="s">
        <v>70</v>
      </c>
      <c r="I1284" t="s">
        <v>24</v>
      </c>
      <c r="J1284" t="s">
        <v>64</v>
      </c>
      <c r="K1284" t="s">
        <v>49</v>
      </c>
      <c r="L1284" t="s">
        <v>1054</v>
      </c>
      <c r="M1284">
        <v>0.37</v>
      </c>
      <c r="N1284" t="s">
        <v>8</v>
      </c>
      <c r="O1284" t="s">
        <v>87</v>
      </c>
      <c r="P1284" t="s">
        <v>293</v>
      </c>
      <c r="Q1284" t="s">
        <v>2289</v>
      </c>
      <c r="R1284">
        <v>44117</v>
      </c>
      <c r="S1284" s="1">
        <v>42122</v>
      </c>
      <c r="T1284" s="1">
        <v>42123</v>
      </c>
      <c r="U1284">
        <v>-29.07</v>
      </c>
      <c r="V1284">
        <v>3</v>
      </c>
      <c r="W1284">
        <v>21.46</v>
      </c>
      <c r="X1284">
        <v>90121</v>
      </c>
      <c r="Y1284">
        <f>cleaneddata[[#This Row],[Unit Price]]-cleaneddata[[#This Row],[Discount]]</f>
        <v>6.4300000000000006</v>
      </c>
      <c r="Z128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85" spans="1:26" x14ac:dyDescent="0.3">
      <c r="A1285">
        <v>3011</v>
      </c>
      <c r="B1285" t="s">
        <v>2290</v>
      </c>
      <c r="C1285" t="s">
        <v>1</v>
      </c>
      <c r="D1285">
        <v>0.03</v>
      </c>
      <c r="E1285">
        <v>300.64999999999998</v>
      </c>
      <c r="F1285">
        <v>24.49</v>
      </c>
      <c r="G1285" t="s">
        <v>14</v>
      </c>
      <c r="H1285" t="s">
        <v>70</v>
      </c>
      <c r="I1285" t="s">
        <v>24</v>
      </c>
      <c r="J1285" t="s">
        <v>71</v>
      </c>
      <c r="K1285" t="s">
        <v>40</v>
      </c>
      <c r="L1285" t="s">
        <v>2291</v>
      </c>
      <c r="M1285">
        <v>0.52</v>
      </c>
      <c r="N1285" t="s">
        <v>8</v>
      </c>
      <c r="O1285" t="s">
        <v>87</v>
      </c>
      <c r="P1285" t="s">
        <v>379</v>
      </c>
      <c r="Q1285" t="s">
        <v>764</v>
      </c>
      <c r="R1285">
        <v>2113</v>
      </c>
      <c r="S1285" s="1">
        <v>42122</v>
      </c>
      <c r="T1285" s="1">
        <v>42124</v>
      </c>
      <c r="U1285">
        <v>1282.4960000000001</v>
      </c>
      <c r="V1285">
        <v>32</v>
      </c>
      <c r="W1285">
        <v>9705.4599999999991</v>
      </c>
      <c r="X1285">
        <v>7623</v>
      </c>
      <c r="Y1285">
        <f>cleaneddata[[#This Row],[Unit Price]]-cleaneddata[[#This Row],[Discount]]</f>
        <v>300.62</v>
      </c>
      <c r="Z128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86" spans="1:26" x14ac:dyDescent="0.3">
      <c r="A1286">
        <v>3011</v>
      </c>
      <c r="B1286" t="s">
        <v>2290</v>
      </c>
      <c r="C1286" t="s">
        <v>1</v>
      </c>
      <c r="D1286">
        <v>0.06</v>
      </c>
      <c r="E1286">
        <v>49.99</v>
      </c>
      <c r="F1286">
        <v>19.989999999999998</v>
      </c>
      <c r="G1286" t="s">
        <v>14</v>
      </c>
      <c r="H1286" t="s">
        <v>70</v>
      </c>
      <c r="I1286" t="s">
        <v>16</v>
      </c>
      <c r="J1286" t="s">
        <v>17</v>
      </c>
      <c r="K1286" t="s">
        <v>49</v>
      </c>
      <c r="L1286" t="s">
        <v>865</v>
      </c>
      <c r="M1286">
        <v>0.45</v>
      </c>
      <c r="N1286" t="s">
        <v>8</v>
      </c>
      <c r="O1286" t="s">
        <v>87</v>
      </c>
      <c r="P1286" t="s">
        <v>379</v>
      </c>
      <c r="Q1286" t="s">
        <v>764</v>
      </c>
      <c r="R1286">
        <v>2113</v>
      </c>
      <c r="S1286" s="1">
        <v>42122</v>
      </c>
      <c r="T1286" s="1">
        <v>42124</v>
      </c>
      <c r="U1286">
        <v>17.2</v>
      </c>
      <c r="V1286">
        <v>67</v>
      </c>
      <c r="W1286">
        <v>3247.54</v>
      </c>
      <c r="X1286">
        <v>7623</v>
      </c>
      <c r="Y1286">
        <f>cleaneddata[[#This Row],[Unit Price]]-cleaneddata[[#This Row],[Discount]]</f>
        <v>49.93</v>
      </c>
      <c r="Z128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87" spans="1:26" x14ac:dyDescent="0.3">
      <c r="A1287">
        <v>3011</v>
      </c>
      <c r="B1287" t="s">
        <v>2290</v>
      </c>
      <c r="C1287" t="s">
        <v>1</v>
      </c>
      <c r="D1287">
        <v>0.1</v>
      </c>
      <c r="E1287">
        <v>104.85</v>
      </c>
      <c r="F1287">
        <v>4.6500000000000004</v>
      </c>
      <c r="G1287" t="s">
        <v>14</v>
      </c>
      <c r="H1287" t="s">
        <v>70</v>
      </c>
      <c r="I1287" t="s">
        <v>24</v>
      </c>
      <c r="J1287" t="s">
        <v>64</v>
      </c>
      <c r="K1287" t="s">
        <v>49</v>
      </c>
      <c r="L1287" t="s">
        <v>2292</v>
      </c>
      <c r="M1287">
        <v>0.37</v>
      </c>
      <c r="N1287" t="s">
        <v>8</v>
      </c>
      <c r="O1287" t="s">
        <v>87</v>
      </c>
      <c r="P1287" t="s">
        <v>379</v>
      </c>
      <c r="Q1287" t="s">
        <v>764</v>
      </c>
      <c r="R1287">
        <v>2113</v>
      </c>
      <c r="S1287" s="1">
        <v>42122</v>
      </c>
      <c r="T1287" s="1">
        <v>42123</v>
      </c>
      <c r="U1287">
        <v>1184.1199999999999</v>
      </c>
      <c r="V1287">
        <v>58</v>
      </c>
      <c r="W1287">
        <v>5582.63</v>
      </c>
      <c r="X1287">
        <v>7623</v>
      </c>
      <c r="Y1287">
        <f>cleaneddata[[#This Row],[Unit Price]]-cleaneddata[[#This Row],[Discount]]</f>
        <v>104.75</v>
      </c>
      <c r="Z128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88" spans="1:26" x14ac:dyDescent="0.3">
      <c r="A1288">
        <v>3012</v>
      </c>
      <c r="B1288" t="s">
        <v>2293</v>
      </c>
      <c r="C1288" t="s">
        <v>1</v>
      </c>
      <c r="D1288">
        <v>0.03</v>
      </c>
      <c r="E1288">
        <v>300.64999999999998</v>
      </c>
      <c r="F1288">
        <v>24.49</v>
      </c>
      <c r="G1288" t="s">
        <v>14</v>
      </c>
      <c r="H1288" t="s">
        <v>70</v>
      </c>
      <c r="I1288" t="s">
        <v>24</v>
      </c>
      <c r="J1288" t="s">
        <v>71</v>
      </c>
      <c r="K1288" t="s">
        <v>40</v>
      </c>
      <c r="L1288" t="s">
        <v>2291</v>
      </c>
      <c r="M1288">
        <v>0.52</v>
      </c>
      <c r="N1288" t="s">
        <v>8</v>
      </c>
      <c r="O1288" t="s">
        <v>87</v>
      </c>
      <c r="P1288" t="s">
        <v>88</v>
      </c>
      <c r="Q1288" t="s">
        <v>2294</v>
      </c>
      <c r="R1288">
        <v>14609</v>
      </c>
      <c r="S1288" s="1">
        <v>42122</v>
      </c>
      <c r="T1288" s="1">
        <v>42124</v>
      </c>
      <c r="U1288">
        <v>1474.8704</v>
      </c>
      <c r="V1288">
        <v>8</v>
      </c>
      <c r="W1288">
        <v>2426.36</v>
      </c>
      <c r="X1288">
        <v>86346</v>
      </c>
      <c r="Y1288">
        <f>cleaneddata[[#This Row],[Unit Price]]-cleaneddata[[#This Row],[Discount]]</f>
        <v>300.62</v>
      </c>
      <c r="Z12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89" spans="1:26" x14ac:dyDescent="0.3">
      <c r="A1289">
        <v>3012</v>
      </c>
      <c r="B1289" t="s">
        <v>2293</v>
      </c>
      <c r="C1289" t="s">
        <v>1</v>
      </c>
      <c r="D1289">
        <v>0.06</v>
      </c>
      <c r="E1289">
        <v>49.99</v>
      </c>
      <c r="F1289">
        <v>19.989999999999998</v>
      </c>
      <c r="G1289" t="s">
        <v>14</v>
      </c>
      <c r="H1289" t="s">
        <v>70</v>
      </c>
      <c r="I1289" t="s">
        <v>16</v>
      </c>
      <c r="J1289" t="s">
        <v>17</v>
      </c>
      <c r="K1289" t="s">
        <v>49</v>
      </c>
      <c r="L1289" t="s">
        <v>865</v>
      </c>
      <c r="M1289">
        <v>0.45</v>
      </c>
      <c r="N1289" t="s">
        <v>8</v>
      </c>
      <c r="O1289" t="s">
        <v>87</v>
      </c>
      <c r="P1289" t="s">
        <v>88</v>
      </c>
      <c r="Q1289" t="s">
        <v>2294</v>
      </c>
      <c r="R1289">
        <v>14609</v>
      </c>
      <c r="S1289" s="1">
        <v>42122</v>
      </c>
      <c r="T1289" s="1">
        <v>42124</v>
      </c>
      <c r="U1289">
        <v>19.78</v>
      </c>
      <c r="V1289">
        <v>17</v>
      </c>
      <c r="W1289">
        <v>824</v>
      </c>
      <c r="X1289">
        <v>86346</v>
      </c>
      <c r="Y1289">
        <f>cleaneddata[[#This Row],[Unit Price]]-cleaneddata[[#This Row],[Discount]]</f>
        <v>49.93</v>
      </c>
      <c r="Z128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90" spans="1:26" x14ac:dyDescent="0.3">
      <c r="A1290">
        <v>3012</v>
      </c>
      <c r="B1290" t="s">
        <v>2293</v>
      </c>
      <c r="C1290" t="s">
        <v>1</v>
      </c>
      <c r="D1290">
        <v>0.1</v>
      </c>
      <c r="E1290">
        <v>104.85</v>
      </c>
      <c r="F1290">
        <v>4.6500000000000004</v>
      </c>
      <c r="G1290" t="s">
        <v>14</v>
      </c>
      <c r="H1290" t="s">
        <v>70</v>
      </c>
      <c r="I1290" t="s">
        <v>24</v>
      </c>
      <c r="J1290" t="s">
        <v>64</v>
      </c>
      <c r="K1290" t="s">
        <v>49</v>
      </c>
      <c r="L1290" t="s">
        <v>2292</v>
      </c>
      <c r="M1290">
        <v>0.37</v>
      </c>
      <c r="N1290" t="s">
        <v>8</v>
      </c>
      <c r="O1290" t="s">
        <v>87</v>
      </c>
      <c r="P1290" t="s">
        <v>88</v>
      </c>
      <c r="Q1290" t="s">
        <v>2294</v>
      </c>
      <c r="R1290">
        <v>14609</v>
      </c>
      <c r="S1290" s="1">
        <v>42122</v>
      </c>
      <c r="T1290" s="1">
        <v>42123</v>
      </c>
      <c r="U1290">
        <v>929.79570000000001</v>
      </c>
      <c r="V1290">
        <v>14</v>
      </c>
      <c r="W1290">
        <v>1347.53</v>
      </c>
      <c r="X1290">
        <v>86346</v>
      </c>
      <c r="Y1290">
        <f>cleaneddata[[#This Row],[Unit Price]]-cleaneddata[[#This Row],[Discount]]</f>
        <v>104.75</v>
      </c>
      <c r="Z129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91" spans="1:26" x14ac:dyDescent="0.3">
      <c r="A1291">
        <v>2254</v>
      </c>
      <c r="B1291" t="s">
        <v>801</v>
      </c>
      <c r="C1291" t="s">
        <v>13</v>
      </c>
      <c r="D1291">
        <v>0.1</v>
      </c>
      <c r="E1291">
        <v>48.91</v>
      </c>
      <c r="F1291">
        <v>5.97</v>
      </c>
      <c r="G1291" t="s">
        <v>14</v>
      </c>
      <c r="H1291" t="s">
        <v>70</v>
      </c>
      <c r="I1291" t="s">
        <v>24</v>
      </c>
      <c r="J1291" t="s">
        <v>64</v>
      </c>
      <c r="K1291" t="s">
        <v>49</v>
      </c>
      <c r="L1291" t="s">
        <v>2295</v>
      </c>
      <c r="M1291">
        <v>0.38</v>
      </c>
      <c r="N1291" t="s">
        <v>8</v>
      </c>
      <c r="O1291" t="s">
        <v>9</v>
      </c>
      <c r="P1291" t="s">
        <v>364</v>
      </c>
      <c r="Q1291" t="s">
        <v>803</v>
      </c>
      <c r="R1291">
        <v>42003</v>
      </c>
      <c r="S1291" s="1">
        <v>42122</v>
      </c>
      <c r="T1291" s="1">
        <v>42124</v>
      </c>
      <c r="U1291">
        <v>156.74340000000001</v>
      </c>
      <c r="V1291">
        <v>14</v>
      </c>
      <c r="W1291">
        <v>618.96</v>
      </c>
      <c r="X1291">
        <v>89279</v>
      </c>
      <c r="Y1291">
        <f>cleaneddata[[#This Row],[Unit Price]]-cleaneddata[[#This Row],[Discount]]</f>
        <v>48.809999999999995</v>
      </c>
      <c r="Z129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92" spans="1:26" x14ac:dyDescent="0.3">
      <c r="A1292">
        <v>2254</v>
      </c>
      <c r="B1292" t="s">
        <v>801</v>
      </c>
      <c r="C1292" t="s">
        <v>13</v>
      </c>
      <c r="D1292">
        <v>0.08</v>
      </c>
      <c r="E1292">
        <v>5.98</v>
      </c>
      <c r="F1292">
        <v>5.46</v>
      </c>
      <c r="G1292" t="s">
        <v>14</v>
      </c>
      <c r="H1292" t="s">
        <v>70</v>
      </c>
      <c r="I1292" t="s">
        <v>24</v>
      </c>
      <c r="J1292" t="s">
        <v>64</v>
      </c>
      <c r="K1292" t="s">
        <v>49</v>
      </c>
      <c r="L1292" t="s">
        <v>1132</v>
      </c>
      <c r="M1292">
        <v>0.36</v>
      </c>
      <c r="N1292" t="s">
        <v>8</v>
      </c>
      <c r="O1292" t="s">
        <v>9</v>
      </c>
      <c r="P1292" t="s">
        <v>364</v>
      </c>
      <c r="Q1292" t="s">
        <v>803</v>
      </c>
      <c r="R1292">
        <v>42003</v>
      </c>
      <c r="S1292" s="1">
        <v>42122</v>
      </c>
      <c r="T1292" s="1">
        <v>42122</v>
      </c>
      <c r="U1292">
        <v>110.11799999999999</v>
      </c>
      <c r="V1292">
        <v>13</v>
      </c>
      <c r="W1292">
        <v>77.540000000000006</v>
      </c>
      <c r="X1292">
        <v>89279</v>
      </c>
      <c r="Y1292">
        <f>cleaneddata[[#This Row],[Unit Price]]-cleaneddata[[#This Row],[Discount]]</f>
        <v>5.9</v>
      </c>
      <c r="Z129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293" spans="1:26" x14ac:dyDescent="0.3">
      <c r="A1293">
        <v>2912</v>
      </c>
      <c r="B1293" t="s">
        <v>2296</v>
      </c>
      <c r="C1293" t="s">
        <v>13</v>
      </c>
      <c r="D1293">
        <v>0.04</v>
      </c>
      <c r="E1293">
        <v>4.13</v>
      </c>
      <c r="F1293">
        <v>0.99</v>
      </c>
      <c r="G1293" t="s">
        <v>63</v>
      </c>
      <c r="H1293" t="s">
        <v>47</v>
      </c>
      <c r="I1293" t="s">
        <v>24</v>
      </c>
      <c r="J1293" t="s">
        <v>128</v>
      </c>
      <c r="K1293" t="s">
        <v>49</v>
      </c>
      <c r="L1293" t="s">
        <v>302</v>
      </c>
      <c r="M1293">
        <v>0.39</v>
      </c>
      <c r="N1293" t="s">
        <v>8</v>
      </c>
      <c r="O1293" t="s">
        <v>28</v>
      </c>
      <c r="P1293" t="s">
        <v>541</v>
      </c>
      <c r="Q1293" t="s">
        <v>2297</v>
      </c>
      <c r="R1293">
        <v>58201</v>
      </c>
      <c r="S1293" s="1">
        <v>42122</v>
      </c>
      <c r="T1293" s="1">
        <v>42124</v>
      </c>
      <c r="U1293">
        <v>22.307700000000001</v>
      </c>
      <c r="V1293">
        <v>7</v>
      </c>
      <c r="W1293">
        <v>32.33</v>
      </c>
      <c r="X1293">
        <v>87396</v>
      </c>
      <c r="Y1293">
        <f>cleaneddata[[#This Row],[Unit Price]]-cleaneddata[[#This Row],[Discount]]</f>
        <v>4.09</v>
      </c>
      <c r="Z12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94" spans="1:26" x14ac:dyDescent="0.3">
      <c r="A1294">
        <v>2912</v>
      </c>
      <c r="B1294" t="s">
        <v>2296</v>
      </c>
      <c r="C1294" t="s">
        <v>13</v>
      </c>
      <c r="D1294">
        <v>0.06</v>
      </c>
      <c r="E1294">
        <v>55.48</v>
      </c>
      <c r="F1294">
        <v>14.3</v>
      </c>
      <c r="G1294" t="s">
        <v>14</v>
      </c>
      <c r="H1294" t="s">
        <v>47</v>
      </c>
      <c r="I1294" t="s">
        <v>24</v>
      </c>
      <c r="J1294" t="s">
        <v>64</v>
      </c>
      <c r="K1294" t="s">
        <v>49</v>
      </c>
      <c r="L1294" t="s">
        <v>823</v>
      </c>
      <c r="M1294">
        <v>0.37</v>
      </c>
      <c r="N1294" t="s">
        <v>8</v>
      </c>
      <c r="O1294" t="s">
        <v>28</v>
      </c>
      <c r="P1294" t="s">
        <v>541</v>
      </c>
      <c r="Q1294" t="s">
        <v>2297</v>
      </c>
      <c r="R1294">
        <v>58201</v>
      </c>
      <c r="S1294" s="1">
        <v>42122</v>
      </c>
      <c r="T1294" s="1">
        <v>42124</v>
      </c>
      <c r="U1294">
        <v>443.02140000000003</v>
      </c>
      <c r="V1294">
        <v>12</v>
      </c>
      <c r="W1294">
        <v>642.05999999999995</v>
      </c>
      <c r="X1294">
        <v>87396</v>
      </c>
      <c r="Y1294">
        <f>cleaneddata[[#This Row],[Unit Price]]-cleaneddata[[#This Row],[Discount]]</f>
        <v>55.419999999999995</v>
      </c>
      <c r="Z12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95" spans="1:26" x14ac:dyDescent="0.3">
      <c r="A1295">
        <v>3359</v>
      </c>
      <c r="B1295" t="s">
        <v>2298</v>
      </c>
      <c r="C1295" t="s">
        <v>13</v>
      </c>
      <c r="D1295">
        <v>0.09</v>
      </c>
      <c r="E1295">
        <v>28.53</v>
      </c>
      <c r="F1295">
        <v>1.49</v>
      </c>
      <c r="G1295" t="s">
        <v>14</v>
      </c>
      <c r="H1295" t="s">
        <v>47</v>
      </c>
      <c r="I1295" t="s">
        <v>24</v>
      </c>
      <c r="J1295" t="s">
        <v>48</v>
      </c>
      <c r="K1295" t="s">
        <v>49</v>
      </c>
      <c r="L1295" t="s">
        <v>1808</v>
      </c>
      <c r="M1295">
        <v>0.38</v>
      </c>
      <c r="N1295" t="s">
        <v>8</v>
      </c>
      <c r="O1295" t="s">
        <v>28</v>
      </c>
      <c r="P1295" t="s">
        <v>333</v>
      </c>
      <c r="Q1295" t="s">
        <v>2299</v>
      </c>
      <c r="R1295">
        <v>53213</v>
      </c>
      <c r="S1295" s="1">
        <v>42122</v>
      </c>
      <c r="T1295" s="1">
        <v>42124</v>
      </c>
      <c r="U1295">
        <v>107.45462000000001</v>
      </c>
      <c r="V1295">
        <v>6</v>
      </c>
      <c r="W1295">
        <v>157.33000000000001</v>
      </c>
      <c r="X1295">
        <v>91437</v>
      </c>
      <c r="Y1295">
        <f>cleaneddata[[#This Row],[Unit Price]]-cleaneddata[[#This Row],[Discount]]</f>
        <v>28.44</v>
      </c>
      <c r="Z12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96" spans="1:26" x14ac:dyDescent="0.3">
      <c r="A1296">
        <v>234</v>
      </c>
      <c r="B1296" t="s">
        <v>961</v>
      </c>
      <c r="C1296" t="s">
        <v>23</v>
      </c>
      <c r="D1296">
        <v>0.06</v>
      </c>
      <c r="E1296">
        <v>3.34</v>
      </c>
      <c r="F1296">
        <v>7.49</v>
      </c>
      <c r="G1296" t="s">
        <v>63</v>
      </c>
      <c r="H1296" t="s">
        <v>3</v>
      </c>
      <c r="I1296" t="s">
        <v>24</v>
      </c>
      <c r="J1296" t="s">
        <v>25</v>
      </c>
      <c r="K1296" t="s">
        <v>26</v>
      </c>
      <c r="L1296" t="s">
        <v>2300</v>
      </c>
      <c r="M1296">
        <v>0.54</v>
      </c>
      <c r="N1296" t="s">
        <v>8</v>
      </c>
      <c r="O1296" t="s">
        <v>28</v>
      </c>
      <c r="P1296" t="s">
        <v>189</v>
      </c>
      <c r="Q1296" t="s">
        <v>713</v>
      </c>
      <c r="R1296">
        <v>50208</v>
      </c>
      <c r="S1296" s="1">
        <v>42122</v>
      </c>
      <c r="T1296" s="1">
        <v>42124</v>
      </c>
      <c r="U1296">
        <v>-175.86</v>
      </c>
      <c r="V1296">
        <v>8</v>
      </c>
      <c r="W1296">
        <v>27.45</v>
      </c>
      <c r="X1296">
        <v>90239</v>
      </c>
      <c r="Y1296">
        <f>cleaneddata[[#This Row],[Unit Price]]-cleaneddata[[#This Row],[Discount]]</f>
        <v>3.28</v>
      </c>
      <c r="Z129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297" spans="1:26" x14ac:dyDescent="0.3">
      <c r="A1297">
        <v>1217</v>
      </c>
      <c r="B1297" t="s">
        <v>2301</v>
      </c>
      <c r="C1297" t="s">
        <v>92</v>
      </c>
      <c r="D1297">
        <v>0.09</v>
      </c>
      <c r="E1297">
        <v>130.97999999999999</v>
      </c>
      <c r="F1297">
        <v>30</v>
      </c>
      <c r="G1297" t="s">
        <v>2</v>
      </c>
      <c r="H1297" t="s">
        <v>3</v>
      </c>
      <c r="I1297" t="s">
        <v>4</v>
      </c>
      <c r="J1297" t="s">
        <v>85</v>
      </c>
      <c r="K1297" t="s">
        <v>33</v>
      </c>
      <c r="L1297" t="s">
        <v>2175</v>
      </c>
      <c r="M1297">
        <v>0.78</v>
      </c>
      <c r="N1297" t="s">
        <v>8</v>
      </c>
      <c r="O1297" t="s">
        <v>87</v>
      </c>
      <c r="P1297" t="s">
        <v>379</v>
      </c>
      <c r="Q1297" t="s">
        <v>764</v>
      </c>
      <c r="R1297">
        <v>2112</v>
      </c>
      <c r="S1297" s="1">
        <v>42122</v>
      </c>
      <c r="T1297" s="1">
        <v>42125</v>
      </c>
      <c r="U1297">
        <v>-421.76</v>
      </c>
      <c r="V1297">
        <v>41</v>
      </c>
      <c r="W1297">
        <v>5258.94</v>
      </c>
      <c r="X1297">
        <v>54595</v>
      </c>
      <c r="Y1297">
        <f>cleaneddata[[#This Row],[Unit Price]]-cleaneddata[[#This Row],[Discount]]</f>
        <v>130.88999999999999</v>
      </c>
      <c r="Z129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98" spans="1:26" x14ac:dyDescent="0.3">
      <c r="A1298">
        <v>1226</v>
      </c>
      <c r="B1298" t="s">
        <v>2302</v>
      </c>
      <c r="C1298" t="s">
        <v>92</v>
      </c>
      <c r="D1298">
        <v>0.02</v>
      </c>
      <c r="E1298">
        <v>8.34</v>
      </c>
      <c r="F1298">
        <v>2.64</v>
      </c>
      <c r="G1298" t="s">
        <v>14</v>
      </c>
      <c r="H1298" t="s">
        <v>3</v>
      </c>
      <c r="I1298" t="s">
        <v>24</v>
      </c>
      <c r="J1298" t="s">
        <v>544</v>
      </c>
      <c r="K1298" t="s">
        <v>18</v>
      </c>
      <c r="L1298" t="s">
        <v>859</v>
      </c>
      <c r="M1298">
        <v>0.59</v>
      </c>
      <c r="N1298" t="s">
        <v>8</v>
      </c>
      <c r="O1298" t="s">
        <v>87</v>
      </c>
      <c r="P1298" t="s">
        <v>560</v>
      </c>
      <c r="Q1298" t="s">
        <v>2303</v>
      </c>
      <c r="R1298">
        <v>2861</v>
      </c>
      <c r="S1298" s="1">
        <v>42122</v>
      </c>
      <c r="T1298" s="1">
        <v>42124</v>
      </c>
      <c r="U1298">
        <v>6.79</v>
      </c>
      <c r="V1298">
        <v>8</v>
      </c>
      <c r="W1298">
        <v>66.739999999999995</v>
      </c>
      <c r="X1298">
        <v>90800</v>
      </c>
      <c r="Y1298">
        <f>cleaneddata[[#This Row],[Unit Price]]-cleaneddata[[#This Row],[Discount]]</f>
        <v>8.32</v>
      </c>
      <c r="Z129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299" spans="1:26" x14ac:dyDescent="0.3">
      <c r="A1299">
        <v>1227</v>
      </c>
      <c r="B1299" t="s">
        <v>2304</v>
      </c>
      <c r="C1299" t="s">
        <v>92</v>
      </c>
      <c r="D1299">
        <v>0.09</v>
      </c>
      <c r="E1299">
        <v>130.97999999999999</v>
      </c>
      <c r="F1299">
        <v>30</v>
      </c>
      <c r="G1299" t="s">
        <v>2</v>
      </c>
      <c r="H1299" t="s">
        <v>3</v>
      </c>
      <c r="I1299" t="s">
        <v>4</v>
      </c>
      <c r="J1299" t="s">
        <v>85</v>
      </c>
      <c r="K1299" t="s">
        <v>33</v>
      </c>
      <c r="L1299" t="s">
        <v>2175</v>
      </c>
      <c r="M1299">
        <v>0.78</v>
      </c>
      <c r="N1299" t="s">
        <v>8</v>
      </c>
      <c r="O1299" t="s">
        <v>87</v>
      </c>
      <c r="P1299" t="s">
        <v>609</v>
      </c>
      <c r="Q1299" t="s">
        <v>610</v>
      </c>
      <c r="R1299">
        <v>5403</v>
      </c>
      <c r="S1299" s="1">
        <v>42122</v>
      </c>
      <c r="T1299" s="1">
        <v>42125</v>
      </c>
      <c r="U1299">
        <v>-421.76</v>
      </c>
      <c r="V1299">
        <v>10</v>
      </c>
      <c r="W1299">
        <v>1282.67</v>
      </c>
      <c r="X1299">
        <v>90800</v>
      </c>
      <c r="Y1299">
        <f>cleaneddata[[#This Row],[Unit Price]]-cleaneddata[[#This Row],[Discount]]</f>
        <v>130.88999999999999</v>
      </c>
      <c r="Z12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00" spans="1:26" x14ac:dyDescent="0.3">
      <c r="A1300">
        <v>2353</v>
      </c>
      <c r="B1300" t="s">
        <v>2305</v>
      </c>
      <c r="C1300" t="s">
        <v>1</v>
      </c>
      <c r="D1300">
        <v>0.04</v>
      </c>
      <c r="E1300">
        <v>5.98</v>
      </c>
      <c r="F1300">
        <v>0.96</v>
      </c>
      <c r="G1300" t="s">
        <v>14</v>
      </c>
      <c r="H1300" t="s">
        <v>70</v>
      </c>
      <c r="I1300" t="s">
        <v>24</v>
      </c>
      <c r="J1300" t="s">
        <v>25</v>
      </c>
      <c r="K1300" t="s">
        <v>26</v>
      </c>
      <c r="L1300" t="s">
        <v>1243</v>
      </c>
      <c r="M1300">
        <v>0.6</v>
      </c>
      <c r="N1300" t="s">
        <v>8</v>
      </c>
      <c r="O1300" t="s">
        <v>87</v>
      </c>
      <c r="P1300" t="s">
        <v>394</v>
      </c>
      <c r="Q1300" t="s">
        <v>2306</v>
      </c>
      <c r="R1300">
        <v>21040</v>
      </c>
      <c r="S1300" s="1">
        <v>42123</v>
      </c>
      <c r="T1300" s="1">
        <v>42124</v>
      </c>
      <c r="U1300">
        <v>52.697600000000001</v>
      </c>
      <c r="V1300">
        <v>22</v>
      </c>
      <c r="W1300">
        <v>131.79</v>
      </c>
      <c r="X1300">
        <v>86164</v>
      </c>
      <c r="Y1300">
        <f>cleaneddata[[#This Row],[Unit Price]]-cleaneddata[[#This Row],[Discount]]</f>
        <v>5.94</v>
      </c>
      <c r="Z130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01" spans="1:26" x14ac:dyDescent="0.3">
      <c r="A1301">
        <v>2353</v>
      </c>
      <c r="B1301" t="s">
        <v>2305</v>
      </c>
      <c r="C1301" t="s">
        <v>1</v>
      </c>
      <c r="D1301">
        <v>0.01</v>
      </c>
      <c r="E1301">
        <v>20.99</v>
      </c>
      <c r="F1301">
        <v>0.99</v>
      </c>
      <c r="G1301" t="s">
        <v>14</v>
      </c>
      <c r="H1301" t="s">
        <v>70</v>
      </c>
      <c r="I1301" t="s">
        <v>16</v>
      </c>
      <c r="J1301" t="s">
        <v>111</v>
      </c>
      <c r="K1301" t="s">
        <v>26</v>
      </c>
      <c r="L1301" t="s">
        <v>2307</v>
      </c>
      <c r="M1301">
        <v>0.56999999999999995</v>
      </c>
      <c r="N1301" t="s">
        <v>8</v>
      </c>
      <c r="O1301" t="s">
        <v>87</v>
      </c>
      <c r="P1301" t="s">
        <v>394</v>
      </c>
      <c r="Q1301" t="s">
        <v>2306</v>
      </c>
      <c r="R1301">
        <v>21040</v>
      </c>
      <c r="S1301" s="1">
        <v>42123</v>
      </c>
      <c r="T1301" s="1">
        <v>42124</v>
      </c>
      <c r="U1301">
        <v>-78.194159999999997</v>
      </c>
      <c r="V1301">
        <v>2</v>
      </c>
      <c r="W1301">
        <v>35.33</v>
      </c>
      <c r="X1301">
        <v>86164</v>
      </c>
      <c r="Y1301">
        <f>cleaneddata[[#This Row],[Unit Price]]-cleaneddata[[#This Row],[Discount]]</f>
        <v>20.979999999999997</v>
      </c>
      <c r="Z130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02" spans="1:26" x14ac:dyDescent="0.3">
      <c r="A1302">
        <v>782</v>
      </c>
      <c r="B1302" t="s">
        <v>2308</v>
      </c>
      <c r="C1302" t="s">
        <v>13</v>
      </c>
      <c r="D1302">
        <v>0.04</v>
      </c>
      <c r="E1302">
        <v>34.76</v>
      </c>
      <c r="F1302">
        <v>5.49</v>
      </c>
      <c r="G1302" t="s">
        <v>14</v>
      </c>
      <c r="H1302" t="s">
        <v>3</v>
      </c>
      <c r="I1302" t="s">
        <v>24</v>
      </c>
      <c r="J1302" t="s">
        <v>54</v>
      </c>
      <c r="K1302" t="s">
        <v>49</v>
      </c>
      <c r="L1302" t="s">
        <v>2309</v>
      </c>
      <c r="M1302">
        <v>0.6</v>
      </c>
      <c r="N1302" t="s">
        <v>8</v>
      </c>
      <c r="O1302" t="s">
        <v>35</v>
      </c>
      <c r="P1302" t="s">
        <v>66</v>
      </c>
      <c r="Q1302" t="s">
        <v>2310</v>
      </c>
      <c r="R1302">
        <v>90604</v>
      </c>
      <c r="S1302" s="1">
        <v>42123</v>
      </c>
      <c r="T1302" s="1">
        <v>42124</v>
      </c>
      <c r="U1302">
        <v>192.51689999999999</v>
      </c>
      <c r="V1302">
        <v>8</v>
      </c>
      <c r="W1302">
        <v>279.01</v>
      </c>
      <c r="X1302">
        <v>90962</v>
      </c>
      <c r="Y1302">
        <f>cleaneddata[[#This Row],[Unit Price]]-cleaneddata[[#This Row],[Discount]]</f>
        <v>34.72</v>
      </c>
      <c r="Z130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03" spans="1:26" x14ac:dyDescent="0.3">
      <c r="A1303">
        <v>803</v>
      </c>
      <c r="B1303" t="s">
        <v>2311</v>
      </c>
      <c r="C1303" t="s">
        <v>92</v>
      </c>
      <c r="D1303">
        <v>0.03</v>
      </c>
      <c r="E1303">
        <v>35.99</v>
      </c>
      <c r="F1303">
        <v>5</v>
      </c>
      <c r="G1303" t="s">
        <v>14</v>
      </c>
      <c r="H1303" t="s">
        <v>3</v>
      </c>
      <c r="I1303" t="s">
        <v>16</v>
      </c>
      <c r="J1303" t="s">
        <v>111</v>
      </c>
      <c r="K1303" t="s">
        <v>49</v>
      </c>
      <c r="L1303" t="s">
        <v>927</v>
      </c>
      <c r="M1303">
        <v>0.85</v>
      </c>
      <c r="N1303" t="s">
        <v>8</v>
      </c>
      <c r="O1303" t="s">
        <v>9</v>
      </c>
      <c r="P1303" t="s">
        <v>99</v>
      </c>
      <c r="Q1303" t="s">
        <v>2312</v>
      </c>
      <c r="R1303">
        <v>32168</v>
      </c>
      <c r="S1303" s="1">
        <v>42123</v>
      </c>
      <c r="T1303" s="1">
        <v>42124</v>
      </c>
      <c r="U1303">
        <v>-184.548</v>
      </c>
      <c r="V1303">
        <v>3</v>
      </c>
      <c r="W1303">
        <v>93.82</v>
      </c>
      <c r="X1303">
        <v>90048</v>
      </c>
      <c r="Y1303">
        <f>cleaneddata[[#This Row],[Unit Price]]-cleaneddata[[#This Row],[Discount]]</f>
        <v>35.96</v>
      </c>
      <c r="Z130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04" spans="1:26" x14ac:dyDescent="0.3">
      <c r="A1304">
        <v>2115</v>
      </c>
      <c r="B1304" t="s">
        <v>2313</v>
      </c>
      <c r="C1304" t="s">
        <v>92</v>
      </c>
      <c r="D1304">
        <v>0.02</v>
      </c>
      <c r="E1304">
        <v>95.95</v>
      </c>
      <c r="F1304">
        <v>74.349999999999994</v>
      </c>
      <c r="G1304" t="s">
        <v>2</v>
      </c>
      <c r="H1304" t="s">
        <v>70</v>
      </c>
      <c r="I1304" t="s">
        <v>4</v>
      </c>
      <c r="J1304" t="s">
        <v>85</v>
      </c>
      <c r="K1304" t="s">
        <v>33</v>
      </c>
      <c r="L1304" t="s">
        <v>2314</v>
      </c>
      <c r="M1304">
        <v>0.56999999999999995</v>
      </c>
      <c r="N1304" t="s">
        <v>8</v>
      </c>
      <c r="O1304" t="s">
        <v>9</v>
      </c>
      <c r="P1304" t="s">
        <v>218</v>
      </c>
      <c r="Q1304" t="s">
        <v>1611</v>
      </c>
      <c r="R1304">
        <v>22124</v>
      </c>
      <c r="S1304" s="1">
        <v>42123</v>
      </c>
      <c r="T1304" s="1">
        <v>42125</v>
      </c>
      <c r="U1304">
        <v>636.52200000000005</v>
      </c>
      <c r="V1304">
        <v>14</v>
      </c>
      <c r="W1304">
        <v>1377.46</v>
      </c>
      <c r="X1304">
        <v>88406</v>
      </c>
      <c r="Y1304">
        <f>cleaneddata[[#This Row],[Unit Price]]-cleaneddata[[#This Row],[Discount]]</f>
        <v>95.93</v>
      </c>
      <c r="Z130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05" spans="1:26" x14ac:dyDescent="0.3">
      <c r="A1305">
        <v>3381</v>
      </c>
      <c r="B1305" t="s">
        <v>1787</v>
      </c>
      <c r="C1305" t="s">
        <v>92</v>
      </c>
      <c r="D1305">
        <v>0.02</v>
      </c>
      <c r="E1305">
        <v>28.53</v>
      </c>
      <c r="F1305">
        <v>1.49</v>
      </c>
      <c r="G1305" t="s">
        <v>14</v>
      </c>
      <c r="H1305" t="s">
        <v>47</v>
      </c>
      <c r="I1305" t="s">
        <v>24</v>
      </c>
      <c r="J1305" t="s">
        <v>48</v>
      </c>
      <c r="K1305" t="s">
        <v>49</v>
      </c>
      <c r="L1305" t="s">
        <v>1808</v>
      </c>
      <c r="M1305">
        <v>0.38</v>
      </c>
      <c r="N1305" t="s">
        <v>8</v>
      </c>
      <c r="O1305" t="s">
        <v>9</v>
      </c>
      <c r="P1305" t="s">
        <v>51</v>
      </c>
      <c r="Q1305" t="s">
        <v>1789</v>
      </c>
      <c r="R1305">
        <v>31204</v>
      </c>
      <c r="S1305" s="1">
        <v>42123</v>
      </c>
      <c r="T1305" s="1">
        <v>42123</v>
      </c>
      <c r="U1305">
        <v>1.992</v>
      </c>
      <c r="V1305">
        <v>18</v>
      </c>
      <c r="W1305">
        <v>513.33000000000004</v>
      </c>
      <c r="X1305">
        <v>88840</v>
      </c>
      <c r="Y1305">
        <f>cleaneddata[[#This Row],[Unit Price]]-cleaneddata[[#This Row],[Discount]]</f>
        <v>28.51</v>
      </c>
      <c r="Z130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06" spans="1:26" x14ac:dyDescent="0.3">
      <c r="A1306">
        <v>3393</v>
      </c>
      <c r="B1306" t="s">
        <v>1147</v>
      </c>
      <c r="C1306" t="s">
        <v>92</v>
      </c>
      <c r="D1306">
        <v>0.08</v>
      </c>
      <c r="E1306">
        <v>125.99</v>
      </c>
      <c r="F1306">
        <v>7.69</v>
      </c>
      <c r="G1306" t="s">
        <v>14</v>
      </c>
      <c r="H1306" t="s">
        <v>15</v>
      </c>
      <c r="I1306" t="s">
        <v>16</v>
      </c>
      <c r="J1306" t="s">
        <v>111</v>
      </c>
      <c r="K1306" t="s">
        <v>49</v>
      </c>
      <c r="L1306" t="s">
        <v>621</v>
      </c>
      <c r="M1306">
        <v>0.59</v>
      </c>
      <c r="N1306" t="s">
        <v>8</v>
      </c>
      <c r="O1306" t="s">
        <v>35</v>
      </c>
      <c r="P1306" t="s">
        <v>42</v>
      </c>
      <c r="Q1306" t="s">
        <v>1148</v>
      </c>
      <c r="R1306">
        <v>99163</v>
      </c>
      <c r="S1306" s="1">
        <v>42123</v>
      </c>
      <c r="T1306" s="1">
        <v>42124</v>
      </c>
      <c r="U1306">
        <v>374.625</v>
      </c>
      <c r="V1306">
        <v>7</v>
      </c>
      <c r="W1306">
        <v>710.36</v>
      </c>
      <c r="X1306">
        <v>87908</v>
      </c>
      <c r="Y1306">
        <f>cleaneddata[[#This Row],[Unit Price]]-cleaneddata[[#This Row],[Discount]]</f>
        <v>125.91</v>
      </c>
      <c r="Z130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07" spans="1:26" x14ac:dyDescent="0.3">
      <c r="A1307">
        <v>617</v>
      </c>
      <c r="B1307" t="s">
        <v>2315</v>
      </c>
      <c r="C1307" t="s">
        <v>46</v>
      </c>
      <c r="D1307">
        <v>0.02</v>
      </c>
      <c r="E1307">
        <v>15.57</v>
      </c>
      <c r="F1307">
        <v>1.39</v>
      </c>
      <c r="G1307" t="s">
        <v>14</v>
      </c>
      <c r="H1307" t="s">
        <v>15</v>
      </c>
      <c r="I1307" t="s">
        <v>24</v>
      </c>
      <c r="J1307" t="s">
        <v>321</v>
      </c>
      <c r="K1307" t="s">
        <v>49</v>
      </c>
      <c r="L1307" t="s">
        <v>2316</v>
      </c>
      <c r="M1307">
        <v>0.38</v>
      </c>
      <c r="N1307" t="s">
        <v>8</v>
      </c>
      <c r="O1307" t="s">
        <v>35</v>
      </c>
      <c r="P1307" t="s">
        <v>36</v>
      </c>
      <c r="Q1307" t="s">
        <v>928</v>
      </c>
      <c r="R1307">
        <v>81001</v>
      </c>
      <c r="S1307" s="1">
        <v>42123</v>
      </c>
      <c r="T1307" s="1">
        <v>42124</v>
      </c>
      <c r="U1307">
        <v>23.5428</v>
      </c>
      <c r="V1307">
        <v>3</v>
      </c>
      <c r="W1307">
        <v>46.23</v>
      </c>
      <c r="X1307">
        <v>88198</v>
      </c>
      <c r="Y1307">
        <f>cleaneddata[[#This Row],[Unit Price]]-cleaneddata[[#This Row],[Discount]]</f>
        <v>15.55</v>
      </c>
      <c r="Z130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08" spans="1:26" x14ac:dyDescent="0.3">
      <c r="A1308">
        <v>617</v>
      </c>
      <c r="B1308" t="s">
        <v>2315</v>
      </c>
      <c r="C1308" t="s">
        <v>46</v>
      </c>
      <c r="D1308">
        <v>0.02</v>
      </c>
      <c r="E1308">
        <v>20.89</v>
      </c>
      <c r="F1308">
        <v>11.52</v>
      </c>
      <c r="G1308" t="s">
        <v>14</v>
      </c>
      <c r="H1308" t="s">
        <v>15</v>
      </c>
      <c r="I1308" t="s">
        <v>24</v>
      </c>
      <c r="J1308" t="s">
        <v>54</v>
      </c>
      <c r="K1308" t="s">
        <v>49</v>
      </c>
      <c r="L1308" t="s">
        <v>1849</v>
      </c>
      <c r="M1308">
        <v>0.83</v>
      </c>
      <c r="N1308" t="s">
        <v>8</v>
      </c>
      <c r="O1308" t="s">
        <v>35</v>
      </c>
      <c r="P1308" t="s">
        <v>36</v>
      </c>
      <c r="Q1308" t="s">
        <v>928</v>
      </c>
      <c r="R1308">
        <v>81001</v>
      </c>
      <c r="S1308" s="1">
        <v>42123</v>
      </c>
      <c r="T1308" s="1">
        <v>42124</v>
      </c>
      <c r="U1308">
        <v>-276.11279999999999</v>
      </c>
      <c r="V1308">
        <v>13</v>
      </c>
      <c r="W1308">
        <v>279.27999999999997</v>
      </c>
      <c r="X1308">
        <v>88198</v>
      </c>
      <c r="Y1308">
        <f>cleaneddata[[#This Row],[Unit Price]]-cleaneddata[[#This Row],[Discount]]</f>
        <v>20.87</v>
      </c>
      <c r="Z130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09" spans="1:26" x14ac:dyDescent="0.3">
      <c r="A1309">
        <v>618</v>
      </c>
      <c r="B1309" t="s">
        <v>1790</v>
      </c>
      <c r="C1309" t="s">
        <v>46</v>
      </c>
      <c r="D1309">
        <v>0.06</v>
      </c>
      <c r="E1309">
        <v>5.38</v>
      </c>
      <c r="F1309">
        <v>5.24</v>
      </c>
      <c r="G1309" t="s">
        <v>63</v>
      </c>
      <c r="H1309" t="s">
        <v>15</v>
      </c>
      <c r="I1309" t="s">
        <v>24</v>
      </c>
      <c r="J1309" t="s">
        <v>48</v>
      </c>
      <c r="K1309" t="s">
        <v>49</v>
      </c>
      <c r="L1309" t="s">
        <v>2317</v>
      </c>
      <c r="M1309">
        <v>0.36</v>
      </c>
      <c r="N1309" t="s">
        <v>8</v>
      </c>
      <c r="O1309" t="s">
        <v>35</v>
      </c>
      <c r="P1309" t="s">
        <v>36</v>
      </c>
      <c r="Q1309" t="s">
        <v>1791</v>
      </c>
      <c r="R1309">
        <v>81007</v>
      </c>
      <c r="S1309" s="1">
        <v>42123</v>
      </c>
      <c r="T1309" s="1">
        <v>42124</v>
      </c>
      <c r="U1309">
        <v>-64.670940000000002</v>
      </c>
      <c r="V1309">
        <v>14</v>
      </c>
      <c r="W1309">
        <v>81.819999999999993</v>
      </c>
      <c r="X1309">
        <v>88198</v>
      </c>
      <c r="Y1309">
        <f>cleaneddata[[#This Row],[Unit Price]]-cleaneddata[[#This Row],[Discount]]</f>
        <v>5.32</v>
      </c>
      <c r="Z130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0" spans="1:26" x14ac:dyDescent="0.3">
      <c r="A1310">
        <v>618</v>
      </c>
      <c r="B1310" t="s">
        <v>1790</v>
      </c>
      <c r="C1310" t="s">
        <v>46</v>
      </c>
      <c r="D1310">
        <v>0.03</v>
      </c>
      <c r="E1310">
        <v>7.35</v>
      </c>
      <c r="F1310">
        <v>5.96</v>
      </c>
      <c r="G1310" t="s">
        <v>14</v>
      </c>
      <c r="H1310" t="s">
        <v>15</v>
      </c>
      <c r="I1310" t="s">
        <v>24</v>
      </c>
      <c r="J1310" t="s">
        <v>64</v>
      </c>
      <c r="K1310" t="s">
        <v>49</v>
      </c>
      <c r="L1310" t="s">
        <v>2318</v>
      </c>
      <c r="M1310">
        <v>0.38</v>
      </c>
      <c r="N1310" t="s">
        <v>8</v>
      </c>
      <c r="O1310" t="s">
        <v>35</v>
      </c>
      <c r="P1310" t="s">
        <v>36</v>
      </c>
      <c r="Q1310" t="s">
        <v>1791</v>
      </c>
      <c r="R1310">
        <v>81007</v>
      </c>
      <c r="S1310" s="1">
        <v>42123</v>
      </c>
      <c r="T1310" s="1">
        <v>42124</v>
      </c>
      <c r="U1310">
        <v>-11.113200000000001</v>
      </c>
      <c r="V1310">
        <v>1</v>
      </c>
      <c r="W1310">
        <v>13.16</v>
      </c>
      <c r="X1310">
        <v>88198</v>
      </c>
      <c r="Y1310">
        <f>cleaneddata[[#This Row],[Unit Price]]-cleaneddata[[#This Row],[Discount]]</f>
        <v>7.3199999999999994</v>
      </c>
      <c r="Z131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1" spans="1:26" x14ac:dyDescent="0.3">
      <c r="A1311">
        <v>638</v>
      </c>
      <c r="B1311" t="s">
        <v>2319</v>
      </c>
      <c r="C1311" t="s">
        <v>1</v>
      </c>
      <c r="D1311">
        <v>0.06</v>
      </c>
      <c r="E1311">
        <v>65.989999999999995</v>
      </c>
      <c r="F1311">
        <v>8.8000000000000007</v>
      </c>
      <c r="G1311" t="s">
        <v>63</v>
      </c>
      <c r="H1311" t="s">
        <v>15</v>
      </c>
      <c r="I1311" t="s">
        <v>16</v>
      </c>
      <c r="J1311" t="s">
        <v>111</v>
      </c>
      <c r="K1311" t="s">
        <v>49</v>
      </c>
      <c r="L1311" t="s">
        <v>428</v>
      </c>
      <c r="M1311">
        <v>0.57999999999999996</v>
      </c>
      <c r="N1311" t="s">
        <v>8</v>
      </c>
      <c r="O1311" t="s">
        <v>35</v>
      </c>
      <c r="P1311" t="s">
        <v>66</v>
      </c>
      <c r="Q1311" t="s">
        <v>2320</v>
      </c>
      <c r="R1311">
        <v>95062</v>
      </c>
      <c r="S1311" s="1">
        <v>42124</v>
      </c>
      <c r="T1311" s="1">
        <v>42125</v>
      </c>
      <c r="U1311">
        <v>288.08999999999997</v>
      </c>
      <c r="V1311">
        <v>9</v>
      </c>
      <c r="W1311">
        <v>506.38</v>
      </c>
      <c r="X1311">
        <v>87954</v>
      </c>
      <c r="Y1311">
        <f>cleaneddata[[#This Row],[Unit Price]]-cleaneddata[[#This Row],[Discount]]</f>
        <v>65.929999999999993</v>
      </c>
      <c r="Z131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2" spans="1:26" x14ac:dyDescent="0.3">
      <c r="A1312">
        <v>638</v>
      </c>
      <c r="B1312" t="s">
        <v>2319</v>
      </c>
      <c r="C1312" t="s">
        <v>1</v>
      </c>
      <c r="D1312">
        <v>0</v>
      </c>
      <c r="E1312">
        <v>195.99</v>
      </c>
      <c r="F1312">
        <v>4.2</v>
      </c>
      <c r="G1312" t="s">
        <v>63</v>
      </c>
      <c r="H1312" t="s">
        <v>15</v>
      </c>
      <c r="I1312" t="s">
        <v>16</v>
      </c>
      <c r="J1312" t="s">
        <v>111</v>
      </c>
      <c r="K1312" t="s">
        <v>49</v>
      </c>
      <c r="L1312" t="s">
        <v>2321</v>
      </c>
      <c r="M1312">
        <v>0.56999999999999995</v>
      </c>
      <c r="N1312" t="s">
        <v>8</v>
      </c>
      <c r="O1312" t="s">
        <v>35</v>
      </c>
      <c r="P1312" t="s">
        <v>66</v>
      </c>
      <c r="Q1312" t="s">
        <v>2320</v>
      </c>
      <c r="R1312">
        <v>95062</v>
      </c>
      <c r="S1312" s="1">
        <v>42124</v>
      </c>
      <c r="T1312" s="1">
        <v>42126</v>
      </c>
      <c r="U1312">
        <v>719.47680000000003</v>
      </c>
      <c r="V1312">
        <v>6</v>
      </c>
      <c r="W1312">
        <v>1042.72</v>
      </c>
      <c r="X1312">
        <v>87954</v>
      </c>
      <c r="Y1312">
        <f>cleaneddata[[#This Row],[Unit Price]]-cleaneddata[[#This Row],[Discount]]</f>
        <v>195.99</v>
      </c>
      <c r="Z131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3" spans="1:26" x14ac:dyDescent="0.3">
      <c r="A1313">
        <v>640</v>
      </c>
      <c r="B1313" t="s">
        <v>1161</v>
      </c>
      <c r="C1313" t="s">
        <v>1</v>
      </c>
      <c r="D1313">
        <v>0.06</v>
      </c>
      <c r="E1313">
        <v>65.989999999999995</v>
      </c>
      <c r="F1313">
        <v>8.8000000000000007</v>
      </c>
      <c r="G1313" t="s">
        <v>63</v>
      </c>
      <c r="H1313" t="s">
        <v>15</v>
      </c>
      <c r="I1313" t="s">
        <v>16</v>
      </c>
      <c r="J1313" t="s">
        <v>111</v>
      </c>
      <c r="K1313" t="s">
        <v>49</v>
      </c>
      <c r="L1313" t="s">
        <v>428</v>
      </c>
      <c r="M1313">
        <v>0.57999999999999996</v>
      </c>
      <c r="N1313" t="s">
        <v>8</v>
      </c>
      <c r="O1313" t="s">
        <v>35</v>
      </c>
      <c r="P1313" t="s">
        <v>42</v>
      </c>
      <c r="Q1313" t="s">
        <v>118</v>
      </c>
      <c r="R1313">
        <v>98119</v>
      </c>
      <c r="S1313" s="1">
        <v>42124</v>
      </c>
      <c r="T1313" s="1">
        <v>42125</v>
      </c>
      <c r="U1313">
        <v>288.08999999999997</v>
      </c>
      <c r="V1313">
        <v>34</v>
      </c>
      <c r="W1313">
        <v>1912.98</v>
      </c>
      <c r="X1313">
        <v>45380</v>
      </c>
      <c r="Y1313">
        <f>cleaneddata[[#This Row],[Unit Price]]-cleaneddata[[#This Row],[Discount]]</f>
        <v>65.929999999999993</v>
      </c>
      <c r="Z131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4" spans="1:26" x14ac:dyDescent="0.3">
      <c r="A1314">
        <v>640</v>
      </c>
      <c r="B1314" t="s">
        <v>1161</v>
      </c>
      <c r="C1314" t="s">
        <v>1</v>
      </c>
      <c r="D1314">
        <v>0</v>
      </c>
      <c r="E1314">
        <v>195.99</v>
      </c>
      <c r="F1314">
        <v>4.2</v>
      </c>
      <c r="G1314" t="s">
        <v>63</v>
      </c>
      <c r="H1314" t="s">
        <v>15</v>
      </c>
      <c r="I1314" t="s">
        <v>16</v>
      </c>
      <c r="J1314" t="s">
        <v>111</v>
      </c>
      <c r="K1314" t="s">
        <v>49</v>
      </c>
      <c r="L1314" t="s">
        <v>2321</v>
      </c>
      <c r="M1314">
        <v>0.56999999999999995</v>
      </c>
      <c r="N1314" t="s">
        <v>8</v>
      </c>
      <c r="O1314" t="s">
        <v>35</v>
      </c>
      <c r="P1314" t="s">
        <v>42</v>
      </c>
      <c r="Q1314" t="s">
        <v>118</v>
      </c>
      <c r="R1314">
        <v>98119</v>
      </c>
      <c r="S1314" s="1">
        <v>42124</v>
      </c>
      <c r="T1314" s="1">
        <v>42126</v>
      </c>
      <c r="U1314">
        <v>1030.509</v>
      </c>
      <c r="V1314">
        <v>24</v>
      </c>
      <c r="W1314">
        <v>4170.87</v>
      </c>
      <c r="X1314">
        <v>45380</v>
      </c>
      <c r="Y1314">
        <f>cleaneddata[[#This Row],[Unit Price]]-cleaneddata[[#This Row],[Discount]]</f>
        <v>195.99</v>
      </c>
      <c r="Z131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5" spans="1:26" x14ac:dyDescent="0.3">
      <c r="A1315">
        <v>851</v>
      </c>
      <c r="B1315" t="s">
        <v>1340</v>
      </c>
      <c r="C1315" t="s">
        <v>1</v>
      </c>
      <c r="D1315">
        <v>0.06</v>
      </c>
      <c r="E1315">
        <v>1.26</v>
      </c>
      <c r="F1315">
        <v>0.7</v>
      </c>
      <c r="G1315" t="s">
        <v>14</v>
      </c>
      <c r="H1315" t="s">
        <v>70</v>
      </c>
      <c r="I1315" t="s">
        <v>24</v>
      </c>
      <c r="J1315" t="s">
        <v>152</v>
      </c>
      <c r="K1315" t="s">
        <v>26</v>
      </c>
      <c r="L1315" t="s">
        <v>2322</v>
      </c>
      <c r="M1315">
        <v>0.81</v>
      </c>
      <c r="N1315" t="s">
        <v>8</v>
      </c>
      <c r="O1315" t="s">
        <v>35</v>
      </c>
      <c r="P1315" t="s">
        <v>66</v>
      </c>
      <c r="Q1315" t="s">
        <v>1342</v>
      </c>
      <c r="R1315">
        <v>91745</v>
      </c>
      <c r="S1315" s="1">
        <v>42124</v>
      </c>
      <c r="T1315" s="1">
        <v>42124</v>
      </c>
      <c r="U1315">
        <v>-6.6096000000000004</v>
      </c>
      <c r="V1315">
        <v>4</v>
      </c>
      <c r="W1315">
        <v>5.28</v>
      </c>
      <c r="X1315">
        <v>88571</v>
      </c>
      <c r="Y1315">
        <f>cleaneddata[[#This Row],[Unit Price]]-cleaneddata[[#This Row],[Discount]]</f>
        <v>1.2</v>
      </c>
      <c r="Z131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16" spans="1:26" x14ac:dyDescent="0.3">
      <c r="A1316">
        <v>854</v>
      </c>
      <c r="B1316" t="s">
        <v>2323</v>
      </c>
      <c r="C1316" t="s">
        <v>1</v>
      </c>
      <c r="D1316">
        <v>0.06</v>
      </c>
      <c r="E1316">
        <v>1.76</v>
      </c>
      <c r="F1316">
        <v>0.7</v>
      </c>
      <c r="G1316" t="s">
        <v>14</v>
      </c>
      <c r="H1316" t="s">
        <v>70</v>
      </c>
      <c r="I1316" t="s">
        <v>24</v>
      </c>
      <c r="J1316" t="s">
        <v>25</v>
      </c>
      <c r="K1316" t="s">
        <v>26</v>
      </c>
      <c r="L1316" t="s">
        <v>1639</v>
      </c>
      <c r="M1316">
        <v>0.56000000000000005</v>
      </c>
      <c r="N1316" t="s">
        <v>8</v>
      </c>
      <c r="O1316" t="s">
        <v>87</v>
      </c>
      <c r="P1316" t="s">
        <v>224</v>
      </c>
      <c r="Q1316" t="s">
        <v>2324</v>
      </c>
      <c r="R1316">
        <v>6405</v>
      </c>
      <c r="S1316" s="1">
        <v>42124</v>
      </c>
      <c r="T1316" s="1">
        <v>42126</v>
      </c>
      <c r="U1316">
        <v>1.2236</v>
      </c>
      <c r="V1316">
        <v>22</v>
      </c>
      <c r="W1316">
        <v>39.26</v>
      </c>
      <c r="X1316">
        <v>88571</v>
      </c>
      <c r="Y1316">
        <f>cleaneddata[[#This Row],[Unit Price]]-cleaneddata[[#This Row],[Discount]]</f>
        <v>1.7</v>
      </c>
      <c r="Z131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17" spans="1:26" x14ac:dyDescent="0.3">
      <c r="A1317">
        <v>855</v>
      </c>
      <c r="B1317" t="s">
        <v>2325</v>
      </c>
      <c r="C1317" t="s">
        <v>1</v>
      </c>
      <c r="D1317">
        <v>0.02</v>
      </c>
      <c r="E1317">
        <v>24.98</v>
      </c>
      <c r="F1317">
        <v>8.7899999999999991</v>
      </c>
      <c r="G1317" t="s">
        <v>14</v>
      </c>
      <c r="H1317" t="s">
        <v>70</v>
      </c>
      <c r="I1317" t="s">
        <v>24</v>
      </c>
      <c r="J1317" t="s">
        <v>54</v>
      </c>
      <c r="K1317" t="s">
        <v>49</v>
      </c>
      <c r="L1317" t="s">
        <v>2326</v>
      </c>
      <c r="M1317">
        <v>0.66</v>
      </c>
      <c r="N1317" t="s">
        <v>8</v>
      </c>
      <c r="O1317" t="s">
        <v>87</v>
      </c>
      <c r="P1317" t="s">
        <v>224</v>
      </c>
      <c r="Q1317" t="s">
        <v>2327</v>
      </c>
      <c r="R1317">
        <v>6810</v>
      </c>
      <c r="S1317" s="1">
        <v>42124</v>
      </c>
      <c r="T1317" s="1">
        <v>42125</v>
      </c>
      <c r="U1317">
        <v>4.3148</v>
      </c>
      <c r="V1317">
        <v>23</v>
      </c>
      <c r="W1317">
        <v>606.51</v>
      </c>
      <c r="X1317">
        <v>88571</v>
      </c>
      <c r="Y1317">
        <f>cleaneddata[[#This Row],[Unit Price]]-cleaneddata[[#This Row],[Discount]]</f>
        <v>24.96</v>
      </c>
      <c r="Z131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18" spans="1:26" x14ac:dyDescent="0.3">
      <c r="A1318">
        <v>858</v>
      </c>
      <c r="B1318" t="s">
        <v>2328</v>
      </c>
      <c r="C1318" t="s">
        <v>1</v>
      </c>
      <c r="D1318">
        <v>0.05</v>
      </c>
      <c r="E1318">
        <v>35.99</v>
      </c>
      <c r="F1318">
        <v>5.99</v>
      </c>
      <c r="G1318" t="s">
        <v>63</v>
      </c>
      <c r="H1318" t="s">
        <v>70</v>
      </c>
      <c r="I1318" t="s">
        <v>16</v>
      </c>
      <c r="J1318" t="s">
        <v>111</v>
      </c>
      <c r="K1318" t="s">
        <v>26</v>
      </c>
      <c r="L1318" t="s">
        <v>1348</v>
      </c>
      <c r="M1318">
        <v>0.38</v>
      </c>
      <c r="N1318" t="s">
        <v>8</v>
      </c>
      <c r="O1318" t="s">
        <v>87</v>
      </c>
      <c r="P1318" t="s">
        <v>307</v>
      </c>
      <c r="Q1318" t="s">
        <v>1634</v>
      </c>
      <c r="R1318">
        <v>4240</v>
      </c>
      <c r="S1318" s="1">
        <v>42124</v>
      </c>
      <c r="T1318" s="1">
        <v>42126</v>
      </c>
      <c r="U1318">
        <v>-125.83296</v>
      </c>
      <c r="V1318">
        <v>2</v>
      </c>
      <c r="W1318">
        <v>64.89</v>
      </c>
      <c r="X1318">
        <v>88571</v>
      </c>
      <c r="Y1318">
        <f>cleaneddata[[#This Row],[Unit Price]]-cleaneddata[[#This Row],[Discount]]</f>
        <v>35.940000000000005</v>
      </c>
      <c r="Z13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19" spans="1:26" x14ac:dyDescent="0.3">
      <c r="A1319">
        <v>2704</v>
      </c>
      <c r="B1319" t="s">
        <v>2329</v>
      </c>
      <c r="C1319" t="s">
        <v>1</v>
      </c>
      <c r="D1319">
        <v>0.06</v>
      </c>
      <c r="E1319">
        <v>3.6</v>
      </c>
      <c r="F1319">
        <v>2.2000000000000002</v>
      </c>
      <c r="G1319" t="s">
        <v>14</v>
      </c>
      <c r="H1319" t="s">
        <v>15</v>
      </c>
      <c r="I1319" t="s">
        <v>24</v>
      </c>
      <c r="J1319" t="s">
        <v>64</v>
      </c>
      <c r="K1319" t="s">
        <v>26</v>
      </c>
      <c r="L1319" t="s">
        <v>1360</v>
      </c>
      <c r="M1319">
        <v>0.39</v>
      </c>
      <c r="N1319" t="s">
        <v>8</v>
      </c>
      <c r="O1319" t="s">
        <v>9</v>
      </c>
      <c r="P1319" t="s">
        <v>99</v>
      </c>
      <c r="Q1319" t="s">
        <v>2330</v>
      </c>
      <c r="R1319">
        <v>32503</v>
      </c>
      <c r="S1319" s="1">
        <v>42124</v>
      </c>
      <c r="T1319" s="1">
        <v>42126</v>
      </c>
      <c r="U1319">
        <v>2755.6421999999998</v>
      </c>
      <c r="V1319">
        <v>4</v>
      </c>
      <c r="W1319">
        <v>15.19</v>
      </c>
      <c r="X1319">
        <v>91407</v>
      </c>
      <c r="Y1319">
        <f>cleaneddata[[#This Row],[Unit Price]]-cleaneddata[[#This Row],[Discount]]</f>
        <v>3.54</v>
      </c>
      <c r="Z131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0" spans="1:26" x14ac:dyDescent="0.3">
      <c r="A1320">
        <v>1352</v>
      </c>
      <c r="B1320" t="s">
        <v>2331</v>
      </c>
      <c r="C1320" t="s">
        <v>13</v>
      </c>
      <c r="D1320">
        <v>0.05</v>
      </c>
      <c r="E1320">
        <v>17.670000000000002</v>
      </c>
      <c r="F1320">
        <v>8.99</v>
      </c>
      <c r="G1320" t="s">
        <v>14</v>
      </c>
      <c r="H1320" t="s">
        <v>47</v>
      </c>
      <c r="I1320" t="s">
        <v>4</v>
      </c>
      <c r="J1320" t="s">
        <v>102</v>
      </c>
      <c r="K1320" t="s">
        <v>18</v>
      </c>
      <c r="L1320" t="s">
        <v>2032</v>
      </c>
      <c r="M1320">
        <v>0.47</v>
      </c>
      <c r="N1320" t="s">
        <v>8</v>
      </c>
      <c r="O1320" t="s">
        <v>87</v>
      </c>
      <c r="P1320" t="s">
        <v>394</v>
      </c>
      <c r="Q1320" t="s">
        <v>1677</v>
      </c>
      <c r="R1320">
        <v>20746</v>
      </c>
      <c r="S1320" s="1">
        <v>42124</v>
      </c>
      <c r="T1320" s="1">
        <v>42125</v>
      </c>
      <c r="U1320">
        <v>46.036799999999999</v>
      </c>
      <c r="V1320">
        <v>16</v>
      </c>
      <c r="W1320">
        <v>283.44</v>
      </c>
      <c r="X1320">
        <v>88234</v>
      </c>
      <c r="Y1320">
        <f>cleaneddata[[#This Row],[Unit Price]]-cleaneddata[[#This Row],[Discount]]</f>
        <v>17.62</v>
      </c>
      <c r="Z13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21" spans="1:26" x14ac:dyDescent="0.3">
      <c r="A1321">
        <v>1347</v>
      </c>
      <c r="B1321" t="s">
        <v>2332</v>
      </c>
      <c r="C1321" t="s">
        <v>23</v>
      </c>
      <c r="D1321">
        <v>0.1</v>
      </c>
      <c r="E1321">
        <v>2.62</v>
      </c>
      <c r="F1321">
        <v>0.8</v>
      </c>
      <c r="G1321" t="s">
        <v>14</v>
      </c>
      <c r="H1321" t="s">
        <v>47</v>
      </c>
      <c r="I1321" t="s">
        <v>24</v>
      </c>
      <c r="J1321" t="s">
        <v>152</v>
      </c>
      <c r="K1321" t="s">
        <v>26</v>
      </c>
      <c r="L1321" t="s">
        <v>2100</v>
      </c>
      <c r="M1321">
        <v>0.39</v>
      </c>
      <c r="N1321" t="s">
        <v>8</v>
      </c>
      <c r="O1321" t="s">
        <v>9</v>
      </c>
      <c r="P1321" t="s">
        <v>99</v>
      </c>
      <c r="Q1321" t="s">
        <v>2333</v>
      </c>
      <c r="R1321">
        <v>33511</v>
      </c>
      <c r="S1321" s="1">
        <v>42124</v>
      </c>
      <c r="T1321" s="1">
        <v>42130</v>
      </c>
      <c r="U1321">
        <v>-94.490899999999996</v>
      </c>
      <c r="V1321">
        <v>21</v>
      </c>
      <c r="W1321">
        <v>51.86</v>
      </c>
      <c r="X1321">
        <v>89686</v>
      </c>
      <c r="Y1321">
        <f>cleaneddata[[#This Row],[Unit Price]]-cleaneddata[[#This Row],[Discount]]</f>
        <v>2.52</v>
      </c>
      <c r="Z132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2" spans="1:26" x14ac:dyDescent="0.3">
      <c r="A1322">
        <v>2704</v>
      </c>
      <c r="B1322" t="s">
        <v>2329</v>
      </c>
      <c r="C1322" t="s">
        <v>23</v>
      </c>
      <c r="D1322">
        <v>0.03</v>
      </c>
      <c r="E1322">
        <v>13.48</v>
      </c>
      <c r="F1322">
        <v>4.51</v>
      </c>
      <c r="G1322" t="s">
        <v>63</v>
      </c>
      <c r="H1322" t="s">
        <v>15</v>
      </c>
      <c r="I1322" t="s">
        <v>24</v>
      </c>
      <c r="J1322" t="s">
        <v>54</v>
      </c>
      <c r="K1322" t="s">
        <v>49</v>
      </c>
      <c r="L1322" t="s">
        <v>1757</v>
      </c>
      <c r="M1322">
        <v>0.59</v>
      </c>
      <c r="N1322" t="s">
        <v>8</v>
      </c>
      <c r="O1322" t="s">
        <v>9</v>
      </c>
      <c r="P1322" t="s">
        <v>99</v>
      </c>
      <c r="Q1322" t="s">
        <v>2330</v>
      </c>
      <c r="R1322">
        <v>32503</v>
      </c>
      <c r="S1322" s="1">
        <v>42124</v>
      </c>
      <c r="T1322" s="1">
        <v>42128</v>
      </c>
      <c r="U1322">
        <v>-256.01799999999997</v>
      </c>
      <c r="V1322">
        <v>4</v>
      </c>
      <c r="W1322">
        <v>59.49</v>
      </c>
      <c r="X1322">
        <v>91408</v>
      </c>
      <c r="Y1322">
        <f>cleaneddata[[#This Row],[Unit Price]]-cleaneddata[[#This Row],[Discount]]</f>
        <v>13.450000000000001</v>
      </c>
      <c r="Z132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3" spans="1:26" x14ac:dyDescent="0.3">
      <c r="A1323">
        <v>2823</v>
      </c>
      <c r="B1323" t="s">
        <v>2334</v>
      </c>
      <c r="C1323" t="s">
        <v>23</v>
      </c>
      <c r="D1323">
        <v>0.02</v>
      </c>
      <c r="E1323">
        <v>21.98</v>
      </c>
      <c r="F1323">
        <v>2.87</v>
      </c>
      <c r="G1323" t="s">
        <v>14</v>
      </c>
      <c r="H1323" t="s">
        <v>70</v>
      </c>
      <c r="I1323" t="s">
        <v>24</v>
      </c>
      <c r="J1323" t="s">
        <v>25</v>
      </c>
      <c r="K1323" t="s">
        <v>18</v>
      </c>
      <c r="L1323" t="s">
        <v>1714</v>
      </c>
      <c r="M1323">
        <v>0.55000000000000004</v>
      </c>
      <c r="N1323" t="s">
        <v>8</v>
      </c>
      <c r="O1323" t="s">
        <v>35</v>
      </c>
      <c r="P1323" t="s">
        <v>272</v>
      </c>
      <c r="Q1323" t="s">
        <v>2335</v>
      </c>
      <c r="R1323">
        <v>89031</v>
      </c>
      <c r="S1323" s="1">
        <v>42124</v>
      </c>
      <c r="T1323" s="1">
        <v>42126</v>
      </c>
      <c r="U1323">
        <v>165.6345</v>
      </c>
      <c r="V1323">
        <v>11</v>
      </c>
      <c r="W1323">
        <v>240.05</v>
      </c>
      <c r="X1323">
        <v>87240</v>
      </c>
      <c r="Y1323">
        <f>cleaneddata[[#This Row],[Unit Price]]-cleaneddata[[#This Row],[Discount]]</f>
        <v>21.96</v>
      </c>
      <c r="Z132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24" spans="1:26" x14ac:dyDescent="0.3">
      <c r="A1324">
        <v>1989</v>
      </c>
      <c r="B1324" t="s">
        <v>669</v>
      </c>
      <c r="C1324" t="s">
        <v>92</v>
      </c>
      <c r="D1324">
        <v>0.1</v>
      </c>
      <c r="E1324">
        <v>1.6</v>
      </c>
      <c r="F1324">
        <v>1.29</v>
      </c>
      <c r="G1324" t="s">
        <v>14</v>
      </c>
      <c r="H1324" t="s">
        <v>47</v>
      </c>
      <c r="I1324" t="s">
        <v>24</v>
      </c>
      <c r="J1324" t="s">
        <v>25</v>
      </c>
      <c r="K1324" t="s">
        <v>26</v>
      </c>
      <c r="L1324" t="s">
        <v>2336</v>
      </c>
      <c r="M1324">
        <v>0.42</v>
      </c>
      <c r="N1324" t="s">
        <v>8</v>
      </c>
      <c r="O1324" t="s">
        <v>35</v>
      </c>
      <c r="P1324" t="s">
        <v>122</v>
      </c>
      <c r="Q1324" t="s">
        <v>671</v>
      </c>
      <c r="R1324">
        <v>84117</v>
      </c>
      <c r="S1324" s="1">
        <v>42124</v>
      </c>
      <c r="T1324" s="1">
        <v>42124</v>
      </c>
      <c r="U1324">
        <v>-14.990399999999999</v>
      </c>
      <c r="V1324">
        <v>11</v>
      </c>
      <c r="W1324">
        <v>16.88</v>
      </c>
      <c r="X1324">
        <v>90003</v>
      </c>
      <c r="Y1324">
        <f>cleaneddata[[#This Row],[Unit Price]]-cleaneddata[[#This Row],[Discount]]</f>
        <v>1.5</v>
      </c>
      <c r="Z132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25" spans="1:26" x14ac:dyDescent="0.3">
      <c r="A1325">
        <v>2394</v>
      </c>
      <c r="B1325" t="s">
        <v>2337</v>
      </c>
      <c r="C1325" t="s">
        <v>1</v>
      </c>
      <c r="D1325">
        <v>0.01</v>
      </c>
      <c r="E1325">
        <v>11.7</v>
      </c>
      <c r="F1325">
        <v>5.63</v>
      </c>
      <c r="G1325" t="s">
        <v>14</v>
      </c>
      <c r="H1325" t="s">
        <v>70</v>
      </c>
      <c r="I1325" t="s">
        <v>24</v>
      </c>
      <c r="J1325" t="s">
        <v>48</v>
      </c>
      <c r="K1325" t="s">
        <v>49</v>
      </c>
      <c r="L1325" t="s">
        <v>2338</v>
      </c>
      <c r="M1325">
        <v>0.4</v>
      </c>
      <c r="N1325" t="s">
        <v>8</v>
      </c>
      <c r="O1325" t="s">
        <v>9</v>
      </c>
      <c r="P1325" t="s">
        <v>51</v>
      </c>
      <c r="Q1325" t="s">
        <v>2339</v>
      </c>
      <c r="R1325">
        <v>30328</v>
      </c>
      <c r="S1325" s="1">
        <v>42125</v>
      </c>
      <c r="T1325" s="1">
        <v>42127</v>
      </c>
      <c r="U1325">
        <v>39.21</v>
      </c>
      <c r="V1325">
        <v>16</v>
      </c>
      <c r="W1325">
        <v>196.69</v>
      </c>
      <c r="X1325">
        <v>86949</v>
      </c>
      <c r="Y1325">
        <f>cleaneddata[[#This Row],[Unit Price]]-cleaneddata[[#This Row],[Discount]]</f>
        <v>11.69</v>
      </c>
      <c r="Z132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6" spans="1:26" x14ac:dyDescent="0.3">
      <c r="A1326">
        <v>2394</v>
      </c>
      <c r="B1326" t="s">
        <v>2337</v>
      </c>
      <c r="C1326" t="s">
        <v>1</v>
      </c>
      <c r="D1326">
        <v>0.03</v>
      </c>
      <c r="E1326">
        <v>4.55</v>
      </c>
      <c r="F1326">
        <v>1.49</v>
      </c>
      <c r="G1326" t="s">
        <v>14</v>
      </c>
      <c r="H1326" t="s">
        <v>70</v>
      </c>
      <c r="I1326" t="s">
        <v>24</v>
      </c>
      <c r="J1326" t="s">
        <v>48</v>
      </c>
      <c r="K1326" t="s">
        <v>49</v>
      </c>
      <c r="L1326" t="s">
        <v>1479</v>
      </c>
      <c r="M1326">
        <v>0.35</v>
      </c>
      <c r="N1326" t="s">
        <v>8</v>
      </c>
      <c r="O1326" t="s">
        <v>9</v>
      </c>
      <c r="P1326" t="s">
        <v>51</v>
      </c>
      <c r="Q1326" t="s">
        <v>2339</v>
      </c>
      <c r="R1326">
        <v>30328</v>
      </c>
      <c r="S1326" s="1">
        <v>42125</v>
      </c>
      <c r="T1326" s="1">
        <v>42125</v>
      </c>
      <c r="U1326">
        <v>100.38</v>
      </c>
      <c r="V1326">
        <v>9</v>
      </c>
      <c r="W1326">
        <v>40.28</v>
      </c>
      <c r="X1326">
        <v>86949</v>
      </c>
      <c r="Y1326">
        <f>cleaneddata[[#This Row],[Unit Price]]-cleaneddata[[#This Row],[Discount]]</f>
        <v>4.5199999999999996</v>
      </c>
      <c r="Z132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7" spans="1:26" x14ac:dyDescent="0.3">
      <c r="A1327">
        <v>2724</v>
      </c>
      <c r="B1327" t="s">
        <v>2340</v>
      </c>
      <c r="C1327" t="s">
        <v>1</v>
      </c>
      <c r="D1327">
        <v>0.06</v>
      </c>
      <c r="E1327">
        <v>4.9800000000000004</v>
      </c>
      <c r="F1327">
        <v>7.44</v>
      </c>
      <c r="G1327" t="s">
        <v>14</v>
      </c>
      <c r="H1327" t="s">
        <v>47</v>
      </c>
      <c r="I1327" t="s">
        <v>24</v>
      </c>
      <c r="J1327" t="s">
        <v>64</v>
      </c>
      <c r="K1327" t="s">
        <v>49</v>
      </c>
      <c r="L1327" t="s">
        <v>2150</v>
      </c>
      <c r="M1327">
        <v>0.36</v>
      </c>
      <c r="N1327" t="s">
        <v>8</v>
      </c>
      <c r="O1327" t="s">
        <v>9</v>
      </c>
      <c r="P1327" t="s">
        <v>376</v>
      </c>
      <c r="Q1327" t="s">
        <v>2341</v>
      </c>
      <c r="R1327">
        <v>37421</v>
      </c>
      <c r="S1327" s="1">
        <v>42125</v>
      </c>
      <c r="T1327" s="1">
        <v>42126</v>
      </c>
      <c r="U1327">
        <v>-37.561999999999998</v>
      </c>
      <c r="V1327">
        <v>10</v>
      </c>
      <c r="W1327">
        <v>53.21</v>
      </c>
      <c r="X1327">
        <v>88959</v>
      </c>
      <c r="Y1327">
        <f>cleaneddata[[#This Row],[Unit Price]]-cleaneddata[[#This Row],[Discount]]</f>
        <v>4.9200000000000008</v>
      </c>
      <c r="Z132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8" spans="1:26" x14ac:dyDescent="0.3">
      <c r="A1328">
        <v>2724</v>
      </c>
      <c r="B1328" t="s">
        <v>2340</v>
      </c>
      <c r="C1328" t="s">
        <v>1</v>
      </c>
      <c r="D1328">
        <v>0.01</v>
      </c>
      <c r="E1328">
        <v>6.48</v>
      </c>
      <c r="F1328">
        <v>7.37</v>
      </c>
      <c r="G1328" t="s">
        <v>14</v>
      </c>
      <c r="H1328" t="s">
        <v>47</v>
      </c>
      <c r="I1328" t="s">
        <v>24</v>
      </c>
      <c r="J1328" t="s">
        <v>64</v>
      </c>
      <c r="K1328" t="s">
        <v>49</v>
      </c>
      <c r="L1328" t="s">
        <v>1591</v>
      </c>
      <c r="M1328">
        <v>0.37</v>
      </c>
      <c r="N1328" t="s">
        <v>8</v>
      </c>
      <c r="O1328" t="s">
        <v>9</v>
      </c>
      <c r="P1328" t="s">
        <v>376</v>
      </c>
      <c r="Q1328" t="s">
        <v>2341</v>
      </c>
      <c r="R1328">
        <v>37421</v>
      </c>
      <c r="S1328" s="1">
        <v>42125</v>
      </c>
      <c r="T1328" s="1">
        <v>42127</v>
      </c>
      <c r="U1328">
        <v>-449.69400000000002</v>
      </c>
      <c r="V1328">
        <v>18</v>
      </c>
      <c r="W1328">
        <v>122.8</v>
      </c>
      <c r="X1328">
        <v>88959</v>
      </c>
      <c r="Y1328">
        <f>cleaneddata[[#This Row],[Unit Price]]-cleaneddata[[#This Row],[Discount]]</f>
        <v>6.4700000000000006</v>
      </c>
      <c r="Z132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29" spans="1:26" x14ac:dyDescent="0.3">
      <c r="A1329">
        <v>1271</v>
      </c>
      <c r="B1329" t="s">
        <v>2087</v>
      </c>
      <c r="C1329" t="s">
        <v>23</v>
      </c>
      <c r="D1329">
        <v>0.1</v>
      </c>
      <c r="E1329">
        <v>34.229999999999997</v>
      </c>
      <c r="F1329">
        <v>5.0199999999999996</v>
      </c>
      <c r="G1329" t="s">
        <v>14</v>
      </c>
      <c r="H1329" t="s">
        <v>70</v>
      </c>
      <c r="I1329" t="s">
        <v>4</v>
      </c>
      <c r="J1329" t="s">
        <v>102</v>
      </c>
      <c r="K1329" t="s">
        <v>49</v>
      </c>
      <c r="L1329" t="s">
        <v>1294</v>
      </c>
      <c r="M1329">
        <v>0.55000000000000004</v>
      </c>
      <c r="N1329" t="s">
        <v>8</v>
      </c>
      <c r="O1329" t="s">
        <v>35</v>
      </c>
      <c r="P1329" t="s">
        <v>66</v>
      </c>
      <c r="Q1329" t="s">
        <v>2088</v>
      </c>
      <c r="R1329">
        <v>91941</v>
      </c>
      <c r="S1329" s="1">
        <v>42125</v>
      </c>
      <c r="T1329" s="1">
        <v>42130</v>
      </c>
      <c r="U1329">
        <v>151.56540000000001</v>
      </c>
      <c r="V1329">
        <v>7</v>
      </c>
      <c r="W1329">
        <v>219.66</v>
      </c>
      <c r="X1329">
        <v>88411</v>
      </c>
      <c r="Y1329">
        <f>cleaneddata[[#This Row],[Unit Price]]-cleaneddata[[#This Row],[Discount]]</f>
        <v>34.129999999999995</v>
      </c>
      <c r="Z13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30" spans="1:26" x14ac:dyDescent="0.3">
      <c r="A1330">
        <v>1383</v>
      </c>
      <c r="B1330" t="s">
        <v>2342</v>
      </c>
      <c r="C1330" t="s">
        <v>92</v>
      </c>
      <c r="D1330">
        <v>0.03</v>
      </c>
      <c r="E1330">
        <v>2.23</v>
      </c>
      <c r="F1330">
        <v>4.57</v>
      </c>
      <c r="G1330" t="s">
        <v>14</v>
      </c>
      <c r="H1330" t="s">
        <v>15</v>
      </c>
      <c r="I1330" t="s">
        <v>4</v>
      </c>
      <c r="J1330" t="s">
        <v>102</v>
      </c>
      <c r="K1330" t="s">
        <v>18</v>
      </c>
      <c r="L1330" t="s">
        <v>2343</v>
      </c>
      <c r="M1330">
        <v>0.41</v>
      </c>
      <c r="N1330" t="s">
        <v>8</v>
      </c>
      <c r="O1330" t="s">
        <v>35</v>
      </c>
      <c r="P1330" t="s">
        <v>122</v>
      </c>
      <c r="Q1330" t="s">
        <v>1208</v>
      </c>
      <c r="R1330">
        <v>84120</v>
      </c>
      <c r="S1330" s="1">
        <v>42125</v>
      </c>
      <c r="T1330" s="1">
        <v>42126</v>
      </c>
      <c r="U1330">
        <v>-93.25</v>
      </c>
      <c r="V1330">
        <v>12</v>
      </c>
      <c r="W1330">
        <v>28.66</v>
      </c>
      <c r="X1330">
        <v>89406</v>
      </c>
      <c r="Y1330">
        <f>cleaneddata[[#This Row],[Unit Price]]-cleaneddata[[#This Row],[Discount]]</f>
        <v>2.2000000000000002</v>
      </c>
      <c r="Z133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31" spans="1:26" x14ac:dyDescent="0.3">
      <c r="A1331">
        <v>381</v>
      </c>
      <c r="B1331" t="s">
        <v>2344</v>
      </c>
      <c r="C1331" t="s">
        <v>46</v>
      </c>
      <c r="D1331">
        <v>7.0000000000000007E-2</v>
      </c>
      <c r="E1331">
        <v>415.88</v>
      </c>
      <c r="F1331">
        <v>11.37</v>
      </c>
      <c r="G1331" t="s">
        <v>14</v>
      </c>
      <c r="H1331" t="s">
        <v>70</v>
      </c>
      <c r="I1331" t="s">
        <v>24</v>
      </c>
      <c r="J1331" t="s">
        <v>54</v>
      </c>
      <c r="K1331" t="s">
        <v>49</v>
      </c>
      <c r="L1331" t="s">
        <v>1357</v>
      </c>
      <c r="M1331">
        <v>0.56999999999999995</v>
      </c>
      <c r="N1331" t="s">
        <v>8</v>
      </c>
      <c r="O1331" t="s">
        <v>28</v>
      </c>
      <c r="P1331" t="s">
        <v>79</v>
      </c>
      <c r="Q1331" t="s">
        <v>1823</v>
      </c>
      <c r="R1331">
        <v>61701</v>
      </c>
      <c r="S1331" s="1">
        <v>42125</v>
      </c>
      <c r="T1331" s="1">
        <v>42125</v>
      </c>
      <c r="U1331">
        <v>-539.59</v>
      </c>
      <c r="V1331">
        <v>1</v>
      </c>
      <c r="W1331">
        <v>394.51</v>
      </c>
      <c r="X1331">
        <v>88929</v>
      </c>
      <c r="Y1331">
        <f>cleaneddata[[#This Row],[Unit Price]]-cleaneddata[[#This Row],[Discount]]</f>
        <v>415.81</v>
      </c>
      <c r="Z13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32" spans="1:26" x14ac:dyDescent="0.3">
      <c r="A1332">
        <v>1193</v>
      </c>
      <c r="B1332" t="s">
        <v>1327</v>
      </c>
      <c r="C1332" t="s">
        <v>46</v>
      </c>
      <c r="D1332">
        <v>0.03</v>
      </c>
      <c r="E1332">
        <v>5.98</v>
      </c>
      <c r="F1332">
        <v>1.49</v>
      </c>
      <c r="G1332" t="s">
        <v>14</v>
      </c>
      <c r="H1332" t="s">
        <v>3</v>
      </c>
      <c r="I1332" t="s">
        <v>24</v>
      </c>
      <c r="J1332" t="s">
        <v>48</v>
      </c>
      <c r="K1332" t="s">
        <v>49</v>
      </c>
      <c r="L1332" t="s">
        <v>1563</v>
      </c>
      <c r="M1332">
        <v>0.39</v>
      </c>
      <c r="N1332" t="s">
        <v>8</v>
      </c>
      <c r="O1332" t="s">
        <v>87</v>
      </c>
      <c r="P1332" t="s">
        <v>350</v>
      </c>
      <c r="Q1332" t="s">
        <v>42</v>
      </c>
      <c r="R1332">
        <v>20016</v>
      </c>
      <c r="S1332" s="1">
        <v>42125</v>
      </c>
      <c r="T1332" s="1">
        <v>42127</v>
      </c>
      <c r="U1332">
        <v>38.08</v>
      </c>
      <c r="V1332">
        <v>85</v>
      </c>
      <c r="W1332">
        <v>517.85</v>
      </c>
      <c r="X1332">
        <v>38852</v>
      </c>
      <c r="Y1332">
        <f>cleaneddata[[#This Row],[Unit Price]]-cleaneddata[[#This Row],[Discount]]</f>
        <v>5.95</v>
      </c>
      <c r="Z13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33" spans="1:26" x14ac:dyDescent="0.3">
      <c r="A1333">
        <v>1194</v>
      </c>
      <c r="B1333" t="s">
        <v>2345</v>
      </c>
      <c r="C1333" t="s">
        <v>46</v>
      </c>
      <c r="D1333">
        <v>0.03</v>
      </c>
      <c r="E1333">
        <v>5.98</v>
      </c>
      <c r="F1333">
        <v>1.49</v>
      </c>
      <c r="G1333" t="s">
        <v>14</v>
      </c>
      <c r="H1333" t="s">
        <v>3</v>
      </c>
      <c r="I1333" t="s">
        <v>24</v>
      </c>
      <c r="J1333" t="s">
        <v>48</v>
      </c>
      <c r="K1333" t="s">
        <v>49</v>
      </c>
      <c r="L1333" t="s">
        <v>1563</v>
      </c>
      <c r="M1333">
        <v>0.39</v>
      </c>
      <c r="N1333" t="s">
        <v>8</v>
      </c>
      <c r="O1333" t="s">
        <v>9</v>
      </c>
      <c r="P1333" t="s">
        <v>99</v>
      </c>
      <c r="Q1333" t="s">
        <v>2346</v>
      </c>
      <c r="R1333">
        <v>34142</v>
      </c>
      <c r="S1333" s="1">
        <v>42125</v>
      </c>
      <c r="T1333" s="1">
        <v>42127</v>
      </c>
      <c r="U1333">
        <v>20.495999999999999</v>
      </c>
      <c r="V1333">
        <v>21</v>
      </c>
      <c r="W1333">
        <v>127.94</v>
      </c>
      <c r="X1333">
        <v>87586</v>
      </c>
      <c r="Y1333">
        <f>cleaneddata[[#This Row],[Unit Price]]-cleaneddata[[#This Row],[Discount]]</f>
        <v>5.95</v>
      </c>
      <c r="Z13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34" spans="1:26" x14ac:dyDescent="0.3">
      <c r="A1334">
        <v>3139</v>
      </c>
      <c r="B1334" t="s">
        <v>2347</v>
      </c>
      <c r="C1334" t="s">
        <v>1</v>
      </c>
      <c r="D1334">
        <v>0.09</v>
      </c>
      <c r="E1334">
        <v>280.98</v>
      </c>
      <c r="F1334">
        <v>57</v>
      </c>
      <c r="G1334" t="s">
        <v>2</v>
      </c>
      <c r="H1334" t="s">
        <v>47</v>
      </c>
      <c r="I1334" t="s">
        <v>4</v>
      </c>
      <c r="J1334" t="s">
        <v>85</v>
      </c>
      <c r="K1334" t="s">
        <v>33</v>
      </c>
      <c r="L1334" t="s">
        <v>838</v>
      </c>
      <c r="M1334">
        <v>0.78</v>
      </c>
      <c r="N1334" t="s">
        <v>8</v>
      </c>
      <c r="O1334" t="s">
        <v>87</v>
      </c>
      <c r="P1334" t="s">
        <v>373</v>
      </c>
      <c r="Q1334" t="s">
        <v>2348</v>
      </c>
      <c r="R1334">
        <v>7016</v>
      </c>
      <c r="S1334" s="1">
        <v>42126</v>
      </c>
      <c r="T1334" s="1">
        <v>42129</v>
      </c>
      <c r="U1334">
        <v>252.488</v>
      </c>
      <c r="V1334">
        <v>31</v>
      </c>
      <c r="W1334">
        <v>7974.21</v>
      </c>
      <c r="X1334">
        <v>86793</v>
      </c>
      <c r="Y1334">
        <f>cleaneddata[[#This Row],[Unit Price]]-cleaneddata[[#This Row],[Discount]]</f>
        <v>280.89000000000004</v>
      </c>
      <c r="Z13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35" spans="1:26" x14ac:dyDescent="0.3">
      <c r="A1335">
        <v>3367</v>
      </c>
      <c r="B1335" t="s">
        <v>2349</v>
      </c>
      <c r="C1335" t="s">
        <v>1</v>
      </c>
      <c r="D1335">
        <v>0.08</v>
      </c>
      <c r="E1335">
        <v>30.97</v>
      </c>
      <c r="F1335">
        <v>4</v>
      </c>
      <c r="G1335" t="s">
        <v>14</v>
      </c>
      <c r="H1335" t="s">
        <v>47</v>
      </c>
      <c r="I1335" t="s">
        <v>16</v>
      </c>
      <c r="J1335" t="s">
        <v>17</v>
      </c>
      <c r="K1335" t="s">
        <v>49</v>
      </c>
      <c r="L1335" t="s">
        <v>2138</v>
      </c>
      <c r="M1335">
        <v>0.74</v>
      </c>
      <c r="N1335" t="s">
        <v>8</v>
      </c>
      <c r="O1335" t="s">
        <v>87</v>
      </c>
      <c r="P1335" t="s">
        <v>293</v>
      </c>
      <c r="Q1335" t="s">
        <v>2350</v>
      </c>
      <c r="R1335">
        <v>43221</v>
      </c>
      <c r="S1335" s="1">
        <v>42126</v>
      </c>
      <c r="T1335" s="1">
        <v>42127</v>
      </c>
      <c r="U1335">
        <v>10.68</v>
      </c>
      <c r="V1335">
        <v>26</v>
      </c>
      <c r="W1335">
        <v>758.97</v>
      </c>
      <c r="X1335">
        <v>90502</v>
      </c>
      <c r="Y1335">
        <f>cleaneddata[[#This Row],[Unit Price]]-cleaneddata[[#This Row],[Discount]]</f>
        <v>30.89</v>
      </c>
      <c r="Z13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36" spans="1:26" x14ac:dyDescent="0.3">
      <c r="A1336">
        <v>3367</v>
      </c>
      <c r="B1336" t="s">
        <v>2349</v>
      </c>
      <c r="C1336" t="s">
        <v>1</v>
      </c>
      <c r="D1336">
        <v>0.1</v>
      </c>
      <c r="E1336">
        <v>4.13</v>
      </c>
      <c r="F1336">
        <v>0.5</v>
      </c>
      <c r="G1336" t="s">
        <v>63</v>
      </c>
      <c r="H1336" t="s">
        <v>47</v>
      </c>
      <c r="I1336" t="s">
        <v>24</v>
      </c>
      <c r="J1336" t="s">
        <v>128</v>
      </c>
      <c r="K1336" t="s">
        <v>49</v>
      </c>
      <c r="L1336" t="s">
        <v>2351</v>
      </c>
      <c r="M1336">
        <v>0.39</v>
      </c>
      <c r="N1336" t="s">
        <v>8</v>
      </c>
      <c r="O1336" t="s">
        <v>87</v>
      </c>
      <c r="P1336" t="s">
        <v>293</v>
      </c>
      <c r="Q1336" t="s">
        <v>2350</v>
      </c>
      <c r="R1336">
        <v>43221</v>
      </c>
      <c r="S1336" s="1">
        <v>42126</v>
      </c>
      <c r="T1336" s="1">
        <v>42128</v>
      </c>
      <c r="U1336">
        <v>58.263599999999997</v>
      </c>
      <c r="V1336">
        <v>18</v>
      </c>
      <c r="W1336">
        <v>84.44</v>
      </c>
      <c r="X1336">
        <v>90502</v>
      </c>
      <c r="Y1336">
        <f>cleaneddata[[#This Row],[Unit Price]]-cleaneddata[[#This Row],[Discount]]</f>
        <v>4.03</v>
      </c>
      <c r="Z13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37" spans="1:26" x14ac:dyDescent="0.3">
      <c r="A1337">
        <v>408</v>
      </c>
      <c r="B1337" t="s">
        <v>2352</v>
      </c>
      <c r="C1337" t="s">
        <v>23</v>
      </c>
      <c r="D1337">
        <v>7.0000000000000007E-2</v>
      </c>
      <c r="E1337">
        <v>29.17</v>
      </c>
      <c r="F1337">
        <v>6.27</v>
      </c>
      <c r="G1337" t="s">
        <v>14</v>
      </c>
      <c r="H1337" t="s">
        <v>70</v>
      </c>
      <c r="I1337" t="s">
        <v>24</v>
      </c>
      <c r="J1337" t="s">
        <v>48</v>
      </c>
      <c r="K1337" t="s">
        <v>49</v>
      </c>
      <c r="L1337" t="s">
        <v>50</v>
      </c>
      <c r="M1337">
        <v>0.37</v>
      </c>
      <c r="N1337" t="s">
        <v>8</v>
      </c>
      <c r="O1337" t="s">
        <v>28</v>
      </c>
      <c r="P1337" t="s">
        <v>163</v>
      </c>
      <c r="Q1337" t="s">
        <v>2353</v>
      </c>
      <c r="R1337">
        <v>78589</v>
      </c>
      <c r="S1337" s="1">
        <v>42126</v>
      </c>
      <c r="T1337" s="1">
        <v>42130</v>
      </c>
      <c r="U1337">
        <v>236.2371</v>
      </c>
      <c r="V1337">
        <v>14</v>
      </c>
      <c r="W1337">
        <v>400.47</v>
      </c>
      <c r="X1337">
        <v>89639</v>
      </c>
      <c r="Y1337">
        <f>cleaneddata[[#This Row],[Unit Price]]-cleaneddata[[#This Row],[Discount]]</f>
        <v>29.1</v>
      </c>
      <c r="Z13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38" spans="1:26" x14ac:dyDescent="0.3">
      <c r="A1338">
        <v>2426</v>
      </c>
      <c r="B1338" t="s">
        <v>1626</v>
      </c>
      <c r="C1338" t="s">
        <v>23</v>
      </c>
      <c r="D1338">
        <v>0.08</v>
      </c>
      <c r="E1338">
        <v>4.4800000000000004</v>
      </c>
      <c r="F1338">
        <v>49</v>
      </c>
      <c r="G1338" t="s">
        <v>14</v>
      </c>
      <c r="H1338" t="s">
        <v>3</v>
      </c>
      <c r="I1338" t="s">
        <v>24</v>
      </c>
      <c r="J1338" t="s">
        <v>71</v>
      </c>
      <c r="K1338" t="s">
        <v>40</v>
      </c>
      <c r="L1338" t="s">
        <v>444</v>
      </c>
      <c r="M1338">
        <v>0.6</v>
      </c>
      <c r="N1338" t="s">
        <v>8</v>
      </c>
      <c r="O1338" t="s">
        <v>28</v>
      </c>
      <c r="P1338" t="s">
        <v>163</v>
      </c>
      <c r="Q1338" t="s">
        <v>1628</v>
      </c>
      <c r="R1338">
        <v>75061</v>
      </c>
      <c r="S1338" s="1">
        <v>42126</v>
      </c>
      <c r="T1338" s="1">
        <v>42126</v>
      </c>
      <c r="U1338">
        <v>139.58009999999999</v>
      </c>
      <c r="V1338">
        <v>37</v>
      </c>
      <c r="W1338">
        <v>202.29</v>
      </c>
      <c r="X1338">
        <v>90861</v>
      </c>
      <c r="Y1338">
        <f>cleaneddata[[#This Row],[Unit Price]]-cleaneddata[[#This Row],[Discount]]</f>
        <v>4.4000000000000004</v>
      </c>
      <c r="Z133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39" spans="1:26" x14ac:dyDescent="0.3">
      <c r="A1339">
        <v>2426</v>
      </c>
      <c r="B1339" t="s">
        <v>1626</v>
      </c>
      <c r="C1339" t="s">
        <v>23</v>
      </c>
      <c r="D1339">
        <v>0</v>
      </c>
      <c r="E1339">
        <v>17.670000000000002</v>
      </c>
      <c r="F1339">
        <v>8.99</v>
      </c>
      <c r="G1339" t="s">
        <v>14</v>
      </c>
      <c r="H1339" t="s">
        <v>3</v>
      </c>
      <c r="I1339" t="s">
        <v>4</v>
      </c>
      <c r="J1339" t="s">
        <v>102</v>
      </c>
      <c r="K1339" t="s">
        <v>18</v>
      </c>
      <c r="L1339" t="s">
        <v>2032</v>
      </c>
      <c r="M1339">
        <v>0.47</v>
      </c>
      <c r="N1339" t="s">
        <v>8</v>
      </c>
      <c r="O1339" t="s">
        <v>28</v>
      </c>
      <c r="P1339" t="s">
        <v>163</v>
      </c>
      <c r="Q1339" t="s">
        <v>1628</v>
      </c>
      <c r="R1339">
        <v>75061</v>
      </c>
      <c r="S1339" s="1">
        <v>42126</v>
      </c>
      <c r="T1339" s="1">
        <v>42133</v>
      </c>
      <c r="U1339">
        <v>109.67</v>
      </c>
      <c r="V1339">
        <v>9</v>
      </c>
      <c r="W1339">
        <v>168.71</v>
      </c>
      <c r="X1339">
        <v>90861</v>
      </c>
      <c r="Y1339">
        <f>cleaneddata[[#This Row],[Unit Price]]-cleaneddata[[#This Row],[Discount]]</f>
        <v>17.670000000000002</v>
      </c>
      <c r="Z133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40" spans="1:26" x14ac:dyDescent="0.3">
      <c r="A1340">
        <v>2578</v>
      </c>
      <c r="B1340" t="s">
        <v>2354</v>
      </c>
      <c r="C1340" t="s">
        <v>23</v>
      </c>
      <c r="D1340">
        <v>0.04</v>
      </c>
      <c r="E1340">
        <v>8.6</v>
      </c>
      <c r="F1340">
        <v>6.19</v>
      </c>
      <c r="G1340" t="s">
        <v>14</v>
      </c>
      <c r="H1340" t="s">
        <v>47</v>
      </c>
      <c r="I1340" t="s">
        <v>24</v>
      </c>
      <c r="J1340" t="s">
        <v>48</v>
      </c>
      <c r="K1340" t="s">
        <v>49</v>
      </c>
      <c r="L1340" t="s">
        <v>508</v>
      </c>
      <c r="M1340">
        <v>0.38</v>
      </c>
      <c r="N1340" t="s">
        <v>8</v>
      </c>
      <c r="O1340" t="s">
        <v>9</v>
      </c>
      <c r="P1340" t="s">
        <v>140</v>
      </c>
      <c r="Q1340" t="s">
        <v>2355</v>
      </c>
      <c r="R1340">
        <v>36801</v>
      </c>
      <c r="S1340" s="1">
        <v>42126</v>
      </c>
      <c r="T1340" s="1">
        <v>42128</v>
      </c>
      <c r="U1340">
        <v>309.71159999999998</v>
      </c>
      <c r="V1340">
        <v>5</v>
      </c>
      <c r="W1340">
        <v>46.85</v>
      </c>
      <c r="X1340">
        <v>88298</v>
      </c>
      <c r="Y1340">
        <f>cleaneddata[[#This Row],[Unit Price]]-cleaneddata[[#This Row],[Discount]]</f>
        <v>8.56</v>
      </c>
      <c r="Z134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41" spans="1:26" x14ac:dyDescent="0.3">
      <c r="A1341">
        <v>2578</v>
      </c>
      <c r="B1341" t="s">
        <v>2354</v>
      </c>
      <c r="C1341" t="s">
        <v>23</v>
      </c>
      <c r="D1341">
        <v>0.01</v>
      </c>
      <c r="E1341">
        <v>3.58</v>
      </c>
      <c r="F1341">
        <v>1.63</v>
      </c>
      <c r="G1341" t="s">
        <v>14</v>
      </c>
      <c r="H1341" t="s">
        <v>47</v>
      </c>
      <c r="I1341" t="s">
        <v>24</v>
      </c>
      <c r="J1341" t="s">
        <v>152</v>
      </c>
      <c r="K1341" t="s">
        <v>26</v>
      </c>
      <c r="L1341" t="s">
        <v>2197</v>
      </c>
      <c r="M1341">
        <v>0.36</v>
      </c>
      <c r="N1341" t="s">
        <v>8</v>
      </c>
      <c r="O1341" t="s">
        <v>9</v>
      </c>
      <c r="P1341" t="s">
        <v>140</v>
      </c>
      <c r="Q1341" t="s">
        <v>2355</v>
      </c>
      <c r="R1341">
        <v>36801</v>
      </c>
      <c r="S1341" s="1">
        <v>42126</v>
      </c>
      <c r="T1341" s="1">
        <v>42130</v>
      </c>
      <c r="U1341">
        <v>-128.85599999999999</v>
      </c>
      <c r="V1341">
        <v>26</v>
      </c>
      <c r="W1341">
        <v>93.57</v>
      </c>
      <c r="X1341">
        <v>88298</v>
      </c>
      <c r="Y1341">
        <f>cleaneddata[[#This Row],[Unit Price]]-cleaneddata[[#This Row],[Discount]]</f>
        <v>3.5700000000000003</v>
      </c>
      <c r="Z13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42" spans="1:26" x14ac:dyDescent="0.3">
      <c r="A1342">
        <v>2578</v>
      </c>
      <c r="B1342" t="s">
        <v>2354</v>
      </c>
      <c r="C1342" t="s">
        <v>23</v>
      </c>
      <c r="D1342">
        <v>0.08</v>
      </c>
      <c r="E1342">
        <v>105.49</v>
      </c>
      <c r="F1342">
        <v>41.64</v>
      </c>
      <c r="G1342" t="s">
        <v>2</v>
      </c>
      <c r="H1342" t="s">
        <v>47</v>
      </c>
      <c r="I1342" t="s">
        <v>4</v>
      </c>
      <c r="J1342" t="s">
        <v>5</v>
      </c>
      <c r="K1342" t="s">
        <v>6</v>
      </c>
      <c r="L1342" t="s">
        <v>2356</v>
      </c>
      <c r="M1342">
        <v>0.75</v>
      </c>
      <c r="N1342" t="s">
        <v>8</v>
      </c>
      <c r="O1342" t="s">
        <v>9</v>
      </c>
      <c r="P1342" t="s">
        <v>140</v>
      </c>
      <c r="Q1342" t="s">
        <v>2355</v>
      </c>
      <c r="R1342">
        <v>36801</v>
      </c>
      <c r="S1342" s="1">
        <v>42126</v>
      </c>
      <c r="T1342" s="1">
        <v>42133</v>
      </c>
      <c r="U1342">
        <v>-36.945999999999998</v>
      </c>
      <c r="V1342">
        <v>34</v>
      </c>
      <c r="W1342">
        <v>2694.49</v>
      </c>
      <c r="X1342">
        <v>88298</v>
      </c>
      <c r="Y1342">
        <f>cleaneddata[[#This Row],[Unit Price]]-cleaneddata[[#This Row],[Discount]]</f>
        <v>105.41</v>
      </c>
      <c r="Z13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43" spans="1:26" x14ac:dyDescent="0.3">
      <c r="A1343">
        <v>2531</v>
      </c>
      <c r="B1343" t="s">
        <v>2357</v>
      </c>
      <c r="C1343" t="s">
        <v>92</v>
      </c>
      <c r="D1343">
        <v>0.08</v>
      </c>
      <c r="E1343">
        <v>4</v>
      </c>
      <c r="F1343">
        <v>1.3</v>
      </c>
      <c r="G1343" t="s">
        <v>14</v>
      </c>
      <c r="H1343" t="s">
        <v>3</v>
      </c>
      <c r="I1343" t="s">
        <v>24</v>
      </c>
      <c r="J1343" t="s">
        <v>64</v>
      </c>
      <c r="K1343" t="s">
        <v>26</v>
      </c>
      <c r="L1343" t="s">
        <v>347</v>
      </c>
      <c r="M1343">
        <v>0.37</v>
      </c>
      <c r="N1343" t="s">
        <v>8</v>
      </c>
      <c r="O1343" t="s">
        <v>35</v>
      </c>
      <c r="P1343" t="s">
        <v>66</v>
      </c>
      <c r="Q1343" t="s">
        <v>2358</v>
      </c>
      <c r="R1343">
        <v>93422</v>
      </c>
      <c r="S1343" s="1">
        <v>42126</v>
      </c>
      <c r="T1343" s="1">
        <v>42128</v>
      </c>
      <c r="U1343">
        <v>28.4</v>
      </c>
      <c r="V1343">
        <v>14</v>
      </c>
      <c r="W1343">
        <v>51.99</v>
      </c>
      <c r="X1343">
        <v>87452</v>
      </c>
      <c r="Y1343">
        <f>cleaneddata[[#This Row],[Unit Price]]-cleaneddata[[#This Row],[Discount]]</f>
        <v>3.92</v>
      </c>
      <c r="Z13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44" spans="1:26" x14ac:dyDescent="0.3">
      <c r="A1344">
        <v>27</v>
      </c>
      <c r="B1344" t="s">
        <v>2359</v>
      </c>
      <c r="C1344" t="s">
        <v>46</v>
      </c>
      <c r="D1344">
        <v>0.04</v>
      </c>
      <c r="E1344">
        <v>4.1399999999999997</v>
      </c>
      <c r="F1344">
        <v>6.6</v>
      </c>
      <c r="G1344" t="s">
        <v>14</v>
      </c>
      <c r="H1344" t="s">
        <v>70</v>
      </c>
      <c r="I1344" t="s">
        <v>4</v>
      </c>
      <c r="J1344" t="s">
        <v>102</v>
      </c>
      <c r="K1344" t="s">
        <v>49</v>
      </c>
      <c r="L1344" t="s">
        <v>388</v>
      </c>
      <c r="M1344">
        <v>0.49</v>
      </c>
      <c r="N1344" t="s">
        <v>8</v>
      </c>
      <c r="O1344" t="s">
        <v>35</v>
      </c>
      <c r="P1344" t="s">
        <v>66</v>
      </c>
      <c r="Q1344" t="s">
        <v>1939</v>
      </c>
      <c r="R1344">
        <v>90712</v>
      </c>
      <c r="S1344" s="1">
        <v>42126</v>
      </c>
      <c r="T1344" s="1">
        <v>42128</v>
      </c>
      <c r="U1344">
        <v>8.8940000000000001</v>
      </c>
      <c r="V1344">
        <v>12</v>
      </c>
      <c r="W1344">
        <v>54.78</v>
      </c>
      <c r="X1344">
        <v>87652</v>
      </c>
      <c r="Y1344">
        <f>cleaneddata[[#This Row],[Unit Price]]-cleaneddata[[#This Row],[Discount]]</f>
        <v>4.0999999999999996</v>
      </c>
      <c r="Z13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45" spans="1:26" x14ac:dyDescent="0.3">
      <c r="A1345">
        <v>3386</v>
      </c>
      <c r="B1345" t="s">
        <v>2360</v>
      </c>
      <c r="C1345" t="s">
        <v>1</v>
      </c>
      <c r="D1345">
        <v>0</v>
      </c>
      <c r="E1345">
        <v>2.61</v>
      </c>
      <c r="F1345">
        <v>0.5</v>
      </c>
      <c r="G1345" t="s">
        <v>14</v>
      </c>
      <c r="H1345" t="s">
        <v>70</v>
      </c>
      <c r="I1345" t="s">
        <v>24</v>
      </c>
      <c r="J1345" t="s">
        <v>128</v>
      </c>
      <c r="K1345" t="s">
        <v>49</v>
      </c>
      <c r="L1345" t="s">
        <v>1343</v>
      </c>
      <c r="M1345">
        <v>0.39</v>
      </c>
      <c r="N1345" t="s">
        <v>8</v>
      </c>
      <c r="O1345" t="s">
        <v>87</v>
      </c>
      <c r="P1345" t="s">
        <v>293</v>
      </c>
      <c r="Q1345" t="s">
        <v>2174</v>
      </c>
      <c r="R1345">
        <v>43402</v>
      </c>
      <c r="S1345" s="1">
        <v>42127</v>
      </c>
      <c r="T1345" s="1">
        <v>42129</v>
      </c>
      <c r="U1345">
        <v>19.554600000000001</v>
      </c>
      <c r="V1345">
        <v>10</v>
      </c>
      <c r="W1345">
        <v>28.34</v>
      </c>
      <c r="X1345">
        <v>88746</v>
      </c>
      <c r="Y1345">
        <f>cleaneddata[[#This Row],[Unit Price]]-cleaneddata[[#This Row],[Discount]]</f>
        <v>2.61</v>
      </c>
      <c r="Z134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46" spans="1:26" x14ac:dyDescent="0.3">
      <c r="A1346">
        <v>3386</v>
      </c>
      <c r="B1346" t="s">
        <v>2360</v>
      </c>
      <c r="C1346" t="s">
        <v>1</v>
      </c>
      <c r="D1346">
        <v>0.04</v>
      </c>
      <c r="E1346">
        <v>25.38</v>
      </c>
      <c r="F1346">
        <v>8.99</v>
      </c>
      <c r="G1346" t="s">
        <v>63</v>
      </c>
      <c r="H1346" t="s">
        <v>70</v>
      </c>
      <c r="I1346" t="s">
        <v>4</v>
      </c>
      <c r="J1346" t="s">
        <v>102</v>
      </c>
      <c r="K1346" t="s">
        <v>18</v>
      </c>
      <c r="L1346" t="s">
        <v>2361</v>
      </c>
      <c r="M1346">
        <v>0.5</v>
      </c>
      <c r="N1346" t="s">
        <v>8</v>
      </c>
      <c r="O1346" t="s">
        <v>87</v>
      </c>
      <c r="P1346" t="s">
        <v>293</v>
      </c>
      <c r="Q1346" t="s">
        <v>2174</v>
      </c>
      <c r="R1346">
        <v>43402</v>
      </c>
      <c r="S1346" s="1">
        <v>42127</v>
      </c>
      <c r="T1346" s="1">
        <v>42130</v>
      </c>
      <c r="U1346">
        <v>152.482</v>
      </c>
      <c r="V1346">
        <v>35</v>
      </c>
      <c r="W1346">
        <v>861.3</v>
      </c>
      <c r="X1346">
        <v>88746</v>
      </c>
      <c r="Y1346">
        <f>cleaneddata[[#This Row],[Unit Price]]-cleaneddata[[#This Row],[Discount]]</f>
        <v>25.34</v>
      </c>
      <c r="Z13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47" spans="1:26" x14ac:dyDescent="0.3">
      <c r="A1347">
        <v>2157</v>
      </c>
      <c r="B1347" t="s">
        <v>1657</v>
      </c>
      <c r="C1347" t="s">
        <v>13</v>
      </c>
      <c r="D1347">
        <v>7.0000000000000007E-2</v>
      </c>
      <c r="E1347">
        <v>30.93</v>
      </c>
      <c r="F1347">
        <v>3.92</v>
      </c>
      <c r="G1347" t="s">
        <v>14</v>
      </c>
      <c r="H1347" t="s">
        <v>47</v>
      </c>
      <c r="I1347" t="s">
        <v>4</v>
      </c>
      <c r="J1347" t="s">
        <v>102</v>
      </c>
      <c r="K1347" t="s">
        <v>18</v>
      </c>
      <c r="L1347" t="s">
        <v>1627</v>
      </c>
      <c r="M1347">
        <v>0.44</v>
      </c>
      <c r="N1347" t="s">
        <v>8</v>
      </c>
      <c r="O1347" t="s">
        <v>28</v>
      </c>
      <c r="P1347" t="s">
        <v>265</v>
      </c>
      <c r="Q1347" t="s">
        <v>1659</v>
      </c>
      <c r="R1347">
        <v>48093</v>
      </c>
      <c r="S1347" s="1">
        <v>42127</v>
      </c>
      <c r="T1347" s="1">
        <v>42128</v>
      </c>
      <c r="U1347">
        <v>398.30250000000001</v>
      </c>
      <c r="V1347">
        <v>19</v>
      </c>
      <c r="W1347">
        <v>577.25</v>
      </c>
      <c r="X1347">
        <v>90386</v>
      </c>
      <c r="Y1347">
        <f>cleaneddata[[#This Row],[Unit Price]]-cleaneddata[[#This Row],[Discount]]</f>
        <v>30.86</v>
      </c>
      <c r="Z134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48" spans="1:26" x14ac:dyDescent="0.3">
      <c r="A1348">
        <v>2157</v>
      </c>
      <c r="B1348" t="s">
        <v>1657</v>
      </c>
      <c r="C1348" t="s">
        <v>13</v>
      </c>
      <c r="D1348">
        <v>0.05</v>
      </c>
      <c r="E1348">
        <v>297.48</v>
      </c>
      <c r="F1348">
        <v>18.059999999999999</v>
      </c>
      <c r="G1348" t="s">
        <v>2</v>
      </c>
      <c r="H1348" t="s">
        <v>47</v>
      </c>
      <c r="I1348" t="s">
        <v>16</v>
      </c>
      <c r="J1348" t="s">
        <v>32</v>
      </c>
      <c r="K1348" t="s">
        <v>33</v>
      </c>
      <c r="L1348" t="s">
        <v>363</v>
      </c>
      <c r="M1348">
        <v>0.6</v>
      </c>
      <c r="N1348" t="s">
        <v>8</v>
      </c>
      <c r="O1348" t="s">
        <v>28</v>
      </c>
      <c r="P1348" t="s">
        <v>265</v>
      </c>
      <c r="Q1348" t="s">
        <v>1659</v>
      </c>
      <c r="R1348">
        <v>48093</v>
      </c>
      <c r="S1348" s="1">
        <v>42127</v>
      </c>
      <c r="T1348" s="1">
        <v>42128</v>
      </c>
      <c r="U1348">
        <v>709.85199999999998</v>
      </c>
      <c r="V1348">
        <v>14</v>
      </c>
      <c r="W1348">
        <v>4075.18</v>
      </c>
      <c r="X1348">
        <v>90386</v>
      </c>
      <c r="Y1348">
        <f>cleaneddata[[#This Row],[Unit Price]]-cleaneddata[[#This Row],[Discount]]</f>
        <v>297.43</v>
      </c>
      <c r="Z134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49" spans="1:26" x14ac:dyDescent="0.3">
      <c r="A1349">
        <v>2157</v>
      </c>
      <c r="B1349" t="s">
        <v>1657</v>
      </c>
      <c r="C1349" t="s">
        <v>13</v>
      </c>
      <c r="D1349">
        <v>7.0000000000000007E-2</v>
      </c>
      <c r="E1349">
        <v>296.18</v>
      </c>
      <c r="F1349">
        <v>54.12</v>
      </c>
      <c r="G1349" t="s">
        <v>2</v>
      </c>
      <c r="H1349" t="s">
        <v>47</v>
      </c>
      <c r="I1349" t="s">
        <v>4</v>
      </c>
      <c r="J1349" t="s">
        <v>5</v>
      </c>
      <c r="K1349" t="s">
        <v>6</v>
      </c>
      <c r="L1349" t="s">
        <v>1055</v>
      </c>
      <c r="M1349">
        <v>0.76</v>
      </c>
      <c r="N1349" t="s">
        <v>8</v>
      </c>
      <c r="O1349" t="s">
        <v>28</v>
      </c>
      <c r="P1349" t="s">
        <v>265</v>
      </c>
      <c r="Q1349" t="s">
        <v>1659</v>
      </c>
      <c r="R1349">
        <v>48093</v>
      </c>
      <c r="S1349" s="1">
        <v>42127</v>
      </c>
      <c r="T1349" s="1">
        <v>42129</v>
      </c>
      <c r="U1349">
        <v>80.809200000000004</v>
      </c>
      <c r="V1349">
        <v>6</v>
      </c>
      <c r="W1349">
        <v>1798.23</v>
      </c>
      <c r="X1349">
        <v>90386</v>
      </c>
      <c r="Y1349">
        <f>cleaneddata[[#This Row],[Unit Price]]-cleaneddata[[#This Row],[Discount]]</f>
        <v>296.11</v>
      </c>
      <c r="Z13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50" spans="1:26" x14ac:dyDescent="0.3">
      <c r="A1350">
        <v>1391</v>
      </c>
      <c r="B1350" t="s">
        <v>2268</v>
      </c>
      <c r="C1350" t="s">
        <v>23</v>
      </c>
      <c r="D1350">
        <v>7.0000000000000007E-2</v>
      </c>
      <c r="E1350">
        <v>12.28</v>
      </c>
      <c r="F1350">
        <v>6.13</v>
      </c>
      <c r="G1350" t="s">
        <v>14</v>
      </c>
      <c r="H1350" t="s">
        <v>3</v>
      </c>
      <c r="I1350" t="s">
        <v>24</v>
      </c>
      <c r="J1350" t="s">
        <v>54</v>
      </c>
      <c r="K1350" t="s">
        <v>49</v>
      </c>
      <c r="L1350" t="s">
        <v>2362</v>
      </c>
      <c r="M1350">
        <v>0.56999999999999995</v>
      </c>
      <c r="N1350" t="s">
        <v>8</v>
      </c>
      <c r="O1350" t="s">
        <v>35</v>
      </c>
      <c r="P1350" t="s">
        <v>66</v>
      </c>
      <c r="Q1350" t="s">
        <v>2269</v>
      </c>
      <c r="R1350">
        <v>94086</v>
      </c>
      <c r="S1350" s="1">
        <v>42127</v>
      </c>
      <c r="T1350" s="1">
        <v>42134</v>
      </c>
      <c r="U1350">
        <v>15.236000000000001</v>
      </c>
      <c r="V1350">
        <v>33</v>
      </c>
      <c r="W1350">
        <v>389.59</v>
      </c>
      <c r="X1350">
        <v>88730</v>
      </c>
      <c r="Y1350">
        <f>cleaneddata[[#This Row],[Unit Price]]-cleaneddata[[#This Row],[Discount]]</f>
        <v>12.209999999999999</v>
      </c>
      <c r="Z135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51" spans="1:26" x14ac:dyDescent="0.3">
      <c r="A1351">
        <v>1680</v>
      </c>
      <c r="B1351" t="s">
        <v>2363</v>
      </c>
      <c r="C1351" t="s">
        <v>23</v>
      </c>
      <c r="D1351">
        <v>0.09</v>
      </c>
      <c r="E1351">
        <v>30.98</v>
      </c>
      <c r="F1351">
        <v>19.510000000000002</v>
      </c>
      <c r="G1351" t="s">
        <v>14</v>
      </c>
      <c r="H1351" t="s">
        <v>15</v>
      </c>
      <c r="I1351" t="s">
        <v>24</v>
      </c>
      <c r="J1351" t="s">
        <v>321</v>
      </c>
      <c r="K1351" t="s">
        <v>49</v>
      </c>
      <c r="L1351" t="s">
        <v>2364</v>
      </c>
      <c r="M1351">
        <v>0.36</v>
      </c>
      <c r="N1351" t="s">
        <v>8</v>
      </c>
      <c r="O1351" t="s">
        <v>87</v>
      </c>
      <c r="P1351" t="s">
        <v>293</v>
      </c>
      <c r="Q1351" t="s">
        <v>740</v>
      </c>
      <c r="R1351">
        <v>45014</v>
      </c>
      <c r="S1351" s="1">
        <v>42127</v>
      </c>
      <c r="T1351" s="1">
        <v>42129</v>
      </c>
      <c r="U1351">
        <v>-163.53</v>
      </c>
      <c r="V1351">
        <v>18</v>
      </c>
      <c r="W1351">
        <v>514.62</v>
      </c>
      <c r="X1351">
        <v>86645</v>
      </c>
      <c r="Y1351">
        <f>cleaneddata[[#This Row],[Unit Price]]-cleaneddata[[#This Row],[Discount]]</f>
        <v>30.89</v>
      </c>
      <c r="Z135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52" spans="1:26" x14ac:dyDescent="0.3">
      <c r="A1352">
        <v>1680</v>
      </c>
      <c r="B1352" t="s">
        <v>2363</v>
      </c>
      <c r="C1352" t="s">
        <v>23</v>
      </c>
      <c r="D1352">
        <v>0.03</v>
      </c>
      <c r="E1352">
        <v>49.34</v>
      </c>
      <c r="F1352">
        <v>10.25</v>
      </c>
      <c r="G1352" t="s">
        <v>14</v>
      </c>
      <c r="H1352" t="s">
        <v>15</v>
      </c>
      <c r="I1352" t="s">
        <v>4</v>
      </c>
      <c r="J1352" t="s">
        <v>102</v>
      </c>
      <c r="K1352" t="s">
        <v>40</v>
      </c>
      <c r="L1352" t="s">
        <v>2365</v>
      </c>
      <c r="M1352">
        <v>0.56999999999999995</v>
      </c>
      <c r="N1352" t="s">
        <v>8</v>
      </c>
      <c r="O1352" t="s">
        <v>87</v>
      </c>
      <c r="P1352" t="s">
        <v>293</v>
      </c>
      <c r="Q1352" t="s">
        <v>740</v>
      </c>
      <c r="R1352">
        <v>45014</v>
      </c>
      <c r="S1352" s="1">
        <v>42127</v>
      </c>
      <c r="T1352" s="1">
        <v>42129</v>
      </c>
      <c r="U1352">
        <v>554.77</v>
      </c>
      <c r="V1352">
        <v>17</v>
      </c>
      <c r="W1352">
        <v>817.32</v>
      </c>
      <c r="X1352">
        <v>86645</v>
      </c>
      <c r="Y1352">
        <f>cleaneddata[[#This Row],[Unit Price]]-cleaneddata[[#This Row],[Discount]]</f>
        <v>49.31</v>
      </c>
      <c r="Z135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53" spans="1:26" x14ac:dyDescent="0.3">
      <c r="A1353">
        <v>94</v>
      </c>
      <c r="B1353" t="s">
        <v>2366</v>
      </c>
      <c r="C1353" t="s">
        <v>46</v>
      </c>
      <c r="D1353">
        <v>0.04</v>
      </c>
      <c r="E1353">
        <v>160.97999999999999</v>
      </c>
      <c r="F1353">
        <v>30</v>
      </c>
      <c r="G1353" t="s">
        <v>2</v>
      </c>
      <c r="H1353" t="s">
        <v>47</v>
      </c>
      <c r="I1353" t="s">
        <v>4</v>
      </c>
      <c r="J1353" t="s">
        <v>85</v>
      </c>
      <c r="K1353" t="s">
        <v>33</v>
      </c>
      <c r="L1353" t="s">
        <v>868</v>
      </c>
      <c r="M1353">
        <v>0.62</v>
      </c>
      <c r="N1353" t="s">
        <v>8</v>
      </c>
      <c r="O1353" t="s">
        <v>28</v>
      </c>
      <c r="P1353" t="s">
        <v>79</v>
      </c>
      <c r="Q1353" t="s">
        <v>509</v>
      </c>
      <c r="R1353">
        <v>60601</v>
      </c>
      <c r="S1353" s="1">
        <v>42127</v>
      </c>
      <c r="T1353" s="1">
        <v>42129</v>
      </c>
      <c r="U1353">
        <v>116.1</v>
      </c>
      <c r="V1353">
        <v>37</v>
      </c>
      <c r="W1353">
        <v>6276.34</v>
      </c>
      <c r="X1353">
        <v>44231</v>
      </c>
      <c r="Y1353">
        <f>cleaneddata[[#This Row],[Unit Price]]-cleaneddata[[#This Row],[Discount]]</f>
        <v>160.94</v>
      </c>
      <c r="Z13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54" spans="1:26" x14ac:dyDescent="0.3">
      <c r="A1354">
        <v>94</v>
      </c>
      <c r="B1354" t="s">
        <v>2366</v>
      </c>
      <c r="C1354" t="s">
        <v>46</v>
      </c>
      <c r="D1354">
        <v>0.01</v>
      </c>
      <c r="E1354">
        <v>17.98</v>
      </c>
      <c r="F1354">
        <v>4</v>
      </c>
      <c r="G1354" t="s">
        <v>14</v>
      </c>
      <c r="H1354" t="s">
        <v>47</v>
      </c>
      <c r="I1354" t="s">
        <v>16</v>
      </c>
      <c r="J1354" t="s">
        <v>17</v>
      </c>
      <c r="K1354" t="s">
        <v>49</v>
      </c>
      <c r="L1354" t="s">
        <v>1633</v>
      </c>
      <c r="M1354">
        <v>0.79</v>
      </c>
      <c r="N1354" t="s">
        <v>8</v>
      </c>
      <c r="O1354" t="s">
        <v>28</v>
      </c>
      <c r="P1354" t="s">
        <v>79</v>
      </c>
      <c r="Q1354" t="s">
        <v>509</v>
      </c>
      <c r="R1354">
        <v>60601</v>
      </c>
      <c r="S1354" s="1">
        <v>42127</v>
      </c>
      <c r="T1354" s="1">
        <v>42129</v>
      </c>
      <c r="U1354">
        <v>-87.96</v>
      </c>
      <c r="V1354">
        <v>146</v>
      </c>
      <c r="W1354">
        <v>2664.4</v>
      </c>
      <c r="X1354">
        <v>44231</v>
      </c>
      <c r="Y1354">
        <f>cleaneddata[[#This Row],[Unit Price]]-cleaneddata[[#This Row],[Discount]]</f>
        <v>17.97</v>
      </c>
      <c r="Z13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55" spans="1:26" x14ac:dyDescent="0.3">
      <c r="A1355">
        <v>97</v>
      </c>
      <c r="B1355" t="s">
        <v>2367</v>
      </c>
      <c r="C1355" t="s">
        <v>46</v>
      </c>
      <c r="D1355">
        <v>0.04</v>
      </c>
      <c r="E1355">
        <v>160.97999999999999</v>
      </c>
      <c r="F1355">
        <v>30</v>
      </c>
      <c r="G1355" t="s">
        <v>2</v>
      </c>
      <c r="H1355" t="s">
        <v>47</v>
      </c>
      <c r="I1355" t="s">
        <v>4</v>
      </c>
      <c r="J1355" t="s">
        <v>85</v>
      </c>
      <c r="K1355" t="s">
        <v>33</v>
      </c>
      <c r="L1355" t="s">
        <v>868</v>
      </c>
      <c r="M1355">
        <v>0.62</v>
      </c>
      <c r="N1355" t="s">
        <v>8</v>
      </c>
      <c r="O1355" t="s">
        <v>28</v>
      </c>
      <c r="P1355" t="s">
        <v>513</v>
      </c>
      <c r="Q1355" t="s">
        <v>2368</v>
      </c>
      <c r="R1355">
        <v>66502</v>
      </c>
      <c r="S1355" s="1">
        <v>42127</v>
      </c>
      <c r="T1355" s="1">
        <v>42129</v>
      </c>
      <c r="U1355">
        <v>255.42</v>
      </c>
      <c r="V1355">
        <v>9</v>
      </c>
      <c r="W1355">
        <v>1526.68</v>
      </c>
      <c r="X1355">
        <v>87306</v>
      </c>
      <c r="Y1355">
        <f>cleaneddata[[#This Row],[Unit Price]]-cleaneddata[[#This Row],[Discount]]</f>
        <v>160.94</v>
      </c>
      <c r="Z13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56" spans="1:26" x14ac:dyDescent="0.3">
      <c r="A1356">
        <v>97</v>
      </c>
      <c r="B1356" t="s">
        <v>2367</v>
      </c>
      <c r="C1356" t="s">
        <v>46</v>
      </c>
      <c r="D1356">
        <v>0.06</v>
      </c>
      <c r="E1356">
        <v>115.99</v>
      </c>
      <c r="F1356">
        <v>8.99</v>
      </c>
      <c r="G1356" t="s">
        <v>14</v>
      </c>
      <c r="H1356" t="s">
        <v>47</v>
      </c>
      <c r="I1356" t="s">
        <v>16</v>
      </c>
      <c r="J1356" t="s">
        <v>111</v>
      </c>
      <c r="K1356" t="s">
        <v>49</v>
      </c>
      <c r="L1356" t="s">
        <v>2085</v>
      </c>
      <c r="M1356">
        <v>0.57999999999999996</v>
      </c>
      <c r="N1356" t="s">
        <v>8</v>
      </c>
      <c r="O1356" t="s">
        <v>28</v>
      </c>
      <c r="P1356" t="s">
        <v>513</v>
      </c>
      <c r="Q1356" t="s">
        <v>2368</v>
      </c>
      <c r="R1356">
        <v>66502</v>
      </c>
      <c r="S1356" s="1">
        <v>42127</v>
      </c>
      <c r="T1356" s="1">
        <v>42128</v>
      </c>
      <c r="U1356">
        <v>685.6146</v>
      </c>
      <c r="V1356">
        <v>20</v>
      </c>
      <c r="W1356">
        <v>1952.56</v>
      </c>
      <c r="X1356">
        <v>87306</v>
      </c>
      <c r="Y1356">
        <f>cleaneddata[[#This Row],[Unit Price]]-cleaneddata[[#This Row],[Discount]]</f>
        <v>115.92999999999999</v>
      </c>
      <c r="Z13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57" spans="1:26" x14ac:dyDescent="0.3">
      <c r="A1357">
        <v>1869</v>
      </c>
      <c r="B1357" t="s">
        <v>2369</v>
      </c>
      <c r="C1357" t="s">
        <v>46</v>
      </c>
      <c r="D1357">
        <v>0.08</v>
      </c>
      <c r="E1357">
        <v>8.09</v>
      </c>
      <c r="F1357">
        <v>7.96</v>
      </c>
      <c r="G1357" t="s">
        <v>14</v>
      </c>
      <c r="H1357" t="s">
        <v>15</v>
      </c>
      <c r="I1357" t="s">
        <v>4</v>
      </c>
      <c r="J1357" t="s">
        <v>102</v>
      </c>
      <c r="K1357" t="s">
        <v>49</v>
      </c>
      <c r="L1357" t="s">
        <v>498</v>
      </c>
      <c r="M1357">
        <v>0.49</v>
      </c>
      <c r="N1357" t="s">
        <v>8</v>
      </c>
      <c r="O1357" t="s">
        <v>35</v>
      </c>
      <c r="P1357" t="s">
        <v>616</v>
      </c>
      <c r="Q1357" t="s">
        <v>2370</v>
      </c>
      <c r="R1357">
        <v>88310</v>
      </c>
      <c r="S1357" s="1">
        <v>42127</v>
      </c>
      <c r="T1357" s="1">
        <v>42128</v>
      </c>
      <c r="U1357">
        <v>-88.82</v>
      </c>
      <c r="V1357">
        <v>10</v>
      </c>
      <c r="W1357">
        <v>80.349999999999994</v>
      </c>
      <c r="X1357">
        <v>89209</v>
      </c>
      <c r="Y1357">
        <f>cleaneddata[[#This Row],[Unit Price]]-cleaneddata[[#This Row],[Discount]]</f>
        <v>8.01</v>
      </c>
      <c r="Z135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58" spans="1:26" x14ac:dyDescent="0.3">
      <c r="A1358">
        <v>335</v>
      </c>
      <c r="B1358" t="s">
        <v>2371</v>
      </c>
      <c r="C1358" t="s">
        <v>1</v>
      </c>
      <c r="D1358">
        <v>0.09</v>
      </c>
      <c r="E1358">
        <v>6.28</v>
      </c>
      <c r="F1358">
        <v>5.29</v>
      </c>
      <c r="G1358" t="s">
        <v>14</v>
      </c>
      <c r="H1358" t="s">
        <v>70</v>
      </c>
      <c r="I1358" t="s">
        <v>4</v>
      </c>
      <c r="J1358" t="s">
        <v>102</v>
      </c>
      <c r="K1358" t="s">
        <v>49</v>
      </c>
      <c r="L1358" t="s">
        <v>1551</v>
      </c>
      <c r="M1358">
        <v>0.43</v>
      </c>
      <c r="N1358" t="s">
        <v>8</v>
      </c>
      <c r="O1358" t="s">
        <v>35</v>
      </c>
      <c r="P1358" t="s">
        <v>115</v>
      </c>
      <c r="Q1358" t="s">
        <v>2372</v>
      </c>
      <c r="R1358">
        <v>97504</v>
      </c>
      <c r="S1358" s="1">
        <v>42128</v>
      </c>
      <c r="T1358" s="1">
        <v>42128</v>
      </c>
      <c r="U1358">
        <v>-5.2</v>
      </c>
      <c r="V1358">
        <v>1</v>
      </c>
      <c r="W1358">
        <v>8.5299999999999994</v>
      </c>
      <c r="X1358">
        <v>87277</v>
      </c>
      <c r="Y1358">
        <f>cleaneddata[[#This Row],[Unit Price]]-cleaneddata[[#This Row],[Discount]]</f>
        <v>6.19</v>
      </c>
      <c r="Z135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59" spans="1:26" x14ac:dyDescent="0.3">
      <c r="A1359">
        <v>342</v>
      </c>
      <c r="B1359" t="s">
        <v>2373</v>
      </c>
      <c r="C1359" t="s">
        <v>1</v>
      </c>
      <c r="D1359">
        <v>0.01</v>
      </c>
      <c r="E1359">
        <v>3.26</v>
      </c>
      <c r="F1359">
        <v>1.86</v>
      </c>
      <c r="G1359" t="s">
        <v>14</v>
      </c>
      <c r="H1359" t="s">
        <v>70</v>
      </c>
      <c r="I1359" t="s">
        <v>24</v>
      </c>
      <c r="J1359" t="s">
        <v>25</v>
      </c>
      <c r="K1359" t="s">
        <v>26</v>
      </c>
      <c r="L1359" t="s">
        <v>2374</v>
      </c>
      <c r="M1359">
        <v>0.41</v>
      </c>
      <c r="N1359" t="s">
        <v>8</v>
      </c>
      <c r="O1359" t="s">
        <v>9</v>
      </c>
      <c r="P1359" t="s">
        <v>99</v>
      </c>
      <c r="Q1359" t="s">
        <v>104</v>
      </c>
      <c r="R1359">
        <v>33181</v>
      </c>
      <c r="S1359" s="1">
        <v>42128</v>
      </c>
      <c r="T1359" s="1">
        <v>42130</v>
      </c>
      <c r="U1359">
        <v>-4.6683000000000003</v>
      </c>
      <c r="V1359">
        <v>20</v>
      </c>
      <c r="W1359">
        <v>73.97</v>
      </c>
      <c r="X1359">
        <v>3332</v>
      </c>
      <c r="Y1359">
        <f>cleaneddata[[#This Row],[Unit Price]]-cleaneddata[[#This Row],[Discount]]</f>
        <v>3.25</v>
      </c>
      <c r="Z135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60" spans="1:26" x14ac:dyDescent="0.3">
      <c r="A1360">
        <v>344</v>
      </c>
      <c r="B1360" t="s">
        <v>2375</v>
      </c>
      <c r="C1360" t="s">
        <v>1</v>
      </c>
      <c r="D1360">
        <v>0.01</v>
      </c>
      <c r="E1360">
        <v>3.26</v>
      </c>
      <c r="F1360">
        <v>1.86</v>
      </c>
      <c r="G1360" t="s">
        <v>14</v>
      </c>
      <c r="H1360" t="s">
        <v>70</v>
      </c>
      <c r="I1360" t="s">
        <v>24</v>
      </c>
      <c r="J1360" t="s">
        <v>25</v>
      </c>
      <c r="K1360" t="s">
        <v>26</v>
      </c>
      <c r="L1360" t="s">
        <v>2374</v>
      </c>
      <c r="M1360">
        <v>0.41</v>
      </c>
      <c r="N1360" t="s">
        <v>8</v>
      </c>
      <c r="O1360" t="s">
        <v>87</v>
      </c>
      <c r="P1360" t="s">
        <v>307</v>
      </c>
      <c r="Q1360" t="s">
        <v>2376</v>
      </c>
      <c r="R1360">
        <v>4101</v>
      </c>
      <c r="S1360" s="1">
        <v>42128</v>
      </c>
      <c r="T1360" s="1">
        <v>42130</v>
      </c>
      <c r="U1360">
        <v>0.70199999999999996</v>
      </c>
      <c r="V1360">
        <v>5</v>
      </c>
      <c r="W1360">
        <v>18.489999999999998</v>
      </c>
      <c r="X1360">
        <v>88152</v>
      </c>
      <c r="Y1360">
        <f>cleaneddata[[#This Row],[Unit Price]]-cleaneddata[[#This Row],[Discount]]</f>
        <v>3.25</v>
      </c>
      <c r="Z136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61" spans="1:26" x14ac:dyDescent="0.3">
      <c r="A1361">
        <v>2289</v>
      </c>
      <c r="B1361" t="s">
        <v>2377</v>
      </c>
      <c r="C1361" t="s">
        <v>1</v>
      </c>
      <c r="D1361">
        <v>0.01</v>
      </c>
      <c r="E1361">
        <v>7.59</v>
      </c>
      <c r="F1361">
        <v>4</v>
      </c>
      <c r="G1361" t="s">
        <v>14</v>
      </c>
      <c r="H1361" t="s">
        <v>47</v>
      </c>
      <c r="I1361" t="s">
        <v>4</v>
      </c>
      <c r="J1361" t="s">
        <v>102</v>
      </c>
      <c r="K1361" t="s">
        <v>26</v>
      </c>
      <c r="L1361" t="s">
        <v>1663</v>
      </c>
      <c r="M1361">
        <v>0.42</v>
      </c>
      <c r="N1361" t="s">
        <v>8</v>
      </c>
      <c r="O1361" t="s">
        <v>28</v>
      </c>
      <c r="P1361" t="s">
        <v>60</v>
      </c>
      <c r="Q1361" t="s">
        <v>939</v>
      </c>
      <c r="R1361">
        <v>55337</v>
      </c>
      <c r="S1361" s="1">
        <v>42128</v>
      </c>
      <c r="T1361" s="1">
        <v>42128</v>
      </c>
      <c r="U1361">
        <v>2.97</v>
      </c>
      <c r="V1361">
        <v>17</v>
      </c>
      <c r="W1361">
        <v>136.25</v>
      </c>
      <c r="X1361">
        <v>88165</v>
      </c>
      <c r="Y1361">
        <f>cleaneddata[[#This Row],[Unit Price]]-cleaneddata[[#This Row],[Discount]]</f>
        <v>7.58</v>
      </c>
      <c r="Z136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62" spans="1:26" x14ac:dyDescent="0.3">
      <c r="A1362">
        <v>2650</v>
      </c>
      <c r="B1362" t="s">
        <v>2378</v>
      </c>
      <c r="C1362" t="s">
        <v>1</v>
      </c>
      <c r="D1362">
        <v>0.05</v>
      </c>
      <c r="E1362">
        <v>35.99</v>
      </c>
      <c r="F1362">
        <v>5.99</v>
      </c>
      <c r="G1362" t="s">
        <v>14</v>
      </c>
      <c r="H1362" t="s">
        <v>70</v>
      </c>
      <c r="I1362" t="s">
        <v>16</v>
      </c>
      <c r="J1362" t="s">
        <v>111</v>
      </c>
      <c r="K1362" t="s">
        <v>26</v>
      </c>
      <c r="L1362" t="s">
        <v>1348</v>
      </c>
      <c r="M1362">
        <v>0.38</v>
      </c>
      <c r="N1362" t="s">
        <v>8</v>
      </c>
      <c r="O1362" t="s">
        <v>87</v>
      </c>
      <c r="P1362" t="s">
        <v>296</v>
      </c>
      <c r="Q1362" t="s">
        <v>2379</v>
      </c>
      <c r="R1362">
        <v>15234</v>
      </c>
      <c r="S1362" s="1">
        <v>42128</v>
      </c>
      <c r="T1362" s="1">
        <v>42129</v>
      </c>
      <c r="U1362">
        <v>524.31719999999996</v>
      </c>
      <c r="V1362">
        <v>26</v>
      </c>
      <c r="W1362">
        <v>759.88</v>
      </c>
      <c r="X1362">
        <v>88815</v>
      </c>
      <c r="Y1362">
        <f>cleaneddata[[#This Row],[Unit Price]]-cleaneddata[[#This Row],[Discount]]</f>
        <v>35.940000000000005</v>
      </c>
      <c r="Z136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63" spans="1:26" x14ac:dyDescent="0.3">
      <c r="A1363">
        <v>2689</v>
      </c>
      <c r="B1363" t="s">
        <v>2380</v>
      </c>
      <c r="C1363" t="s">
        <v>1</v>
      </c>
      <c r="D1363">
        <v>0.09</v>
      </c>
      <c r="E1363">
        <v>3.75</v>
      </c>
      <c r="F1363">
        <v>0.5</v>
      </c>
      <c r="G1363" t="s">
        <v>14</v>
      </c>
      <c r="H1363" t="s">
        <v>47</v>
      </c>
      <c r="I1363" t="s">
        <v>24</v>
      </c>
      <c r="J1363" t="s">
        <v>128</v>
      </c>
      <c r="K1363" t="s">
        <v>49</v>
      </c>
      <c r="L1363" t="s">
        <v>2381</v>
      </c>
      <c r="M1363">
        <v>0.37</v>
      </c>
      <c r="N1363" t="s">
        <v>8</v>
      </c>
      <c r="O1363" t="s">
        <v>87</v>
      </c>
      <c r="P1363" t="s">
        <v>373</v>
      </c>
      <c r="Q1363" t="s">
        <v>2382</v>
      </c>
      <c r="R1363">
        <v>7011</v>
      </c>
      <c r="S1363" s="1">
        <v>42128</v>
      </c>
      <c r="T1363" s="1">
        <v>42130</v>
      </c>
      <c r="U1363">
        <v>51.218699999999998</v>
      </c>
      <c r="V1363">
        <v>21</v>
      </c>
      <c r="W1363">
        <v>74.23</v>
      </c>
      <c r="X1363">
        <v>90624</v>
      </c>
      <c r="Y1363">
        <f>cleaneddata[[#This Row],[Unit Price]]-cleaneddata[[#This Row],[Discount]]</f>
        <v>3.66</v>
      </c>
      <c r="Z136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64" spans="1:26" x14ac:dyDescent="0.3">
      <c r="A1364">
        <v>2693</v>
      </c>
      <c r="B1364" t="s">
        <v>2383</v>
      </c>
      <c r="C1364" t="s">
        <v>1</v>
      </c>
      <c r="D1364">
        <v>0.01</v>
      </c>
      <c r="E1364">
        <v>30.98</v>
      </c>
      <c r="F1364">
        <v>9.18</v>
      </c>
      <c r="G1364" t="s">
        <v>14</v>
      </c>
      <c r="H1364" t="s">
        <v>47</v>
      </c>
      <c r="I1364" t="s">
        <v>24</v>
      </c>
      <c r="J1364" t="s">
        <v>64</v>
      </c>
      <c r="K1364" t="s">
        <v>49</v>
      </c>
      <c r="L1364" t="s">
        <v>2225</v>
      </c>
      <c r="M1364">
        <v>0.4</v>
      </c>
      <c r="N1364" t="s">
        <v>8</v>
      </c>
      <c r="O1364" t="s">
        <v>87</v>
      </c>
      <c r="P1364" t="s">
        <v>609</v>
      </c>
      <c r="Q1364" t="s">
        <v>1606</v>
      </c>
      <c r="R1364">
        <v>5201</v>
      </c>
      <c r="S1364" s="1">
        <v>42128</v>
      </c>
      <c r="T1364" s="1">
        <v>42128</v>
      </c>
      <c r="U1364">
        <v>380.46800000000002</v>
      </c>
      <c r="V1364">
        <v>20</v>
      </c>
      <c r="W1364">
        <v>627.19000000000005</v>
      </c>
      <c r="X1364">
        <v>90624</v>
      </c>
      <c r="Y1364">
        <f>cleaneddata[[#This Row],[Unit Price]]-cleaneddata[[#This Row],[Discount]]</f>
        <v>30.97</v>
      </c>
      <c r="Z136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65" spans="1:26" x14ac:dyDescent="0.3">
      <c r="A1365">
        <v>411</v>
      </c>
      <c r="B1365" t="s">
        <v>2384</v>
      </c>
      <c r="C1365" t="s">
        <v>13</v>
      </c>
      <c r="D1365">
        <v>0.05</v>
      </c>
      <c r="E1365">
        <v>178.47</v>
      </c>
      <c r="F1365">
        <v>19.989999999999998</v>
      </c>
      <c r="G1365" t="s">
        <v>63</v>
      </c>
      <c r="H1365" t="s">
        <v>15</v>
      </c>
      <c r="I1365" t="s">
        <v>24</v>
      </c>
      <c r="J1365" t="s">
        <v>54</v>
      </c>
      <c r="K1365" t="s">
        <v>49</v>
      </c>
      <c r="L1365" t="s">
        <v>987</v>
      </c>
      <c r="M1365">
        <v>0.55000000000000004</v>
      </c>
      <c r="N1365" t="s">
        <v>8</v>
      </c>
      <c r="O1365" t="s">
        <v>35</v>
      </c>
      <c r="P1365" t="s">
        <v>66</v>
      </c>
      <c r="Q1365" t="s">
        <v>2112</v>
      </c>
      <c r="R1365">
        <v>94601</v>
      </c>
      <c r="S1365" s="1">
        <v>42128</v>
      </c>
      <c r="T1365" s="1">
        <v>42131</v>
      </c>
      <c r="U1365">
        <v>943</v>
      </c>
      <c r="V1365">
        <v>9</v>
      </c>
      <c r="W1365">
        <v>1531.31</v>
      </c>
      <c r="X1365">
        <v>87905</v>
      </c>
      <c r="Y1365">
        <f>cleaneddata[[#This Row],[Unit Price]]-cleaneddata[[#This Row],[Discount]]</f>
        <v>178.42</v>
      </c>
      <c r="Z136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66" spans="1:26" x14ac:dyDescent="0.3">
      <c r="A1366">
        <v>3176</v>
      </c>
      <c r="B1366" t="s">
        <v>2385</v>
      </c>
      <c r="C1366" t="s">
        <v>13</v>
      </c>
      <c r="D1366">
        <v>0.06</v>
      </c>
      <c r="E1366">
        <v>10.97</v>
      </c>
      <c r="F1366">
        <v>6.5</v>
      </c>
      <c r="G1366" t="s">
        <v>14</v>
      </c>
      <c r="H1366" t="s">
        <v>15</v>
      </c>
      <c r="I1366" t="s">
        <v>16</v>
      </c>
      <c r="J1366" t="s">
        <v>17</v>
      </c>
      <c r="K1366" t="s">
        <v>49</v>
      </c>
      <c r="L1366" t="s">
        <v>2386</v>
      </c>
      <c r="M1366">
        <v>0.64</v>
      </c>
      <c r="N1366" t="s">
        <v>8</v>
      </c>
      <c r="O1366" t="s">
        <v>9</v>
      </c>
      <c r="P1366" t="s">
        <v>99</v>
      </c>
      <c r="Q1366" t="s">
        <v>2387</v>
      </c>
      <c r="R1366">
        <v>32216</v>
      </c>
      <c r="S1366" s="1">
        <v>42128</v>
      </c>
      <c r="T1366" s="1">
        <v>42130</v>
      </c>
      <c r="U1366">
        <v>65.597999999999999</v>
      </c>
      <c r="V1366">
        <v>19</v>
      </c>
      <c r="W1366">
        <v>215.25</v>
      </c>
      <c r="X1366">
        <v>90820</v>
      </c>
      <c r="Y1366">
        <f>cleaneddata[[#This Row],[Unit Price]]-cleaneddata[[#This Row],[Discount]]</f>
        <v>10.91</v>
      </c>
      <c r="Z13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67" spans="1:26" x14ac:dyDescent="0.3">
      <c r="A1367">
        <v>3356</v>
      </c>
      <c r="B1367" t="s">
        <v>2388</v>
      </c>
      <c r="C1367" t="s">
        <v>92</v>
      </c>
      <c r="D1367">
        <v>7.0000000000000007E-2</v>
      </c>
      <c r="E1367">
        <v>5.34</v>
      </c>
      <c r="F1367">
        <v>5.63</v>
      </c>
      <c r="G1367" t="s">
        <v>14</v>
      </c>
      <c r="H1367" t="s">
        <v>70</v>
      </c>
      <c r="I1367" t="s">
        <v>24</v>
      </c>
      <c r="J1367" t="s">
        <v>48</v>
      </c>
      <c r="K1367" t="s">
        <v>49</v>
      </c>
      <c r="L1367" t="s">
        <v>1699</v>
      </c>
      <c r="M1367">
        <v>0.39</v>
      </c>
      <c r="N1367" t="s">
        <v>8</v>
      </c>
      <c r="O1367" t="s">
        <v>35</v>
      </c>
      <c r="P1367" t="s">
        <v>466</v>
      </c>
      <c r="Q1367" t="s">
        <v>2389</v>
      </c>
      <c r="R1367">
        <v>83616</v>
      </c>
      <c r="S1367" s="1">
        <v>42128</v>
      </c>
      <c r="T1367" s="1">
        <v>42130</v>
      </c>
      <c r="U1367">
        <v>-116.3455</v>
      </c>
      <c r="V1367">
        <v>13</v>
      </c>
      <c r="W1367">
        <v>66.650000000000006</v>
      </c>
      <c r="X1367">
        <v>88588</v>
      </c>
      <c r="Y1367">
        <f>cleaneddata[[#This Row],[Unit Price]]-cleaneddata[[#This Row],[Discount]]</f>
        <v>5.27</v>
      </c>
      <c r="Z136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68" spans="1:26" x14ac:dyDescent="0.3">
      <c r="A1368">
        <v>3356</v>
      </c>
      <c r="B1368" t="s">
        <v>2388</v>
      </c>
      <c r="C1368" t="s">
        <v>92</v>
      </c>
      <c r="D1368">
        <v>0.03</v>
      </c>
      <c r="E1368">
        <v>160.97999999999999</v>
      </c>
      <c r="F1368">
        <v>30</v>
      </c>
      <c r="G1368" t="s">
        <v>2</v>
      </c>
      <c r="H1368" t="s">
        <v>70</v>
      </c>
      <c r="I1368" t="s">
        <v>4</v>
      </c>
      <c r="J1368" t="s">
        <v>85</v>
      </c>
      <c r="K1368" t="s">
        <v>33</v>
      </c>
      <c r="L1368" t="s">
        <v>868</v>
      </c>
      <c r="M1368">
        <v>0.62</v>
      </c>
      <c r="N1368" t="s">
        <v>8</v>
      </c>
      <c r="O1368" t="s">
        <v>35</v>
      </c>
      <c r="P1368" t="s">
        <v>466</v>
      </c>
      <c r="Q1368" t="s">
        <v>2389</v>
      </c>
      <c r="R1368">
        <v>83616</v>
      </c>
      <c r="S1368" s="1">
        <v>42128</v>
      </c>
      <c r="T1368" s="1">
        <v>42129</v>
      </c>
      <c r="U1368">
        <v>1304.9000000000001</v>
      </c>
      <c r="V1368">
        <v>18</v>
      </c>
      <c r="W1368">
        <v>2934.16</v>
      </c>
      <c r="X1368">
        <v>88588</v>
      </c>
      <c r="Y1368">
        <f>cleaneddata[[#This Row],[Unit Price]]-cleaneddata[[#This Row],[Discount]]</f>
        <v>160.94999999999999</v>
      </c>
      <c r="Z13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69" spans="1:26" x14ac:dyDescent="0.3">
      <c r="A1369">
        <v>3356</v>
      </c>
      <c r="B1369" t="s">
        <v>2388</v>
      </c>
      <c r="C1369" t="s">
        <v>92</v>
      </c>
      <c r="D1369">
        <v>0.04</v>
      </c>
      <c r="E1369">
        <v>65.989999999999995</v>
      </c>
      <c r="F1369">
        <v>5.63</v>
      </c>
      <c r="G1369" t="s">
        <v>63</v>
      </c>
      <c r="H1369" t="s">
        <v>70</v>
      </c>
      <c r="I1369" t="s">
        <v>16</v>
      </c>
      <c r="J1369" t="s">
        <v>111</v>
      </c>
      <c r="K1369" t="s">
        <v>49</v>
      </c>
      <c r="L1369" t="s">
        <v>2390</v>
      </c>
      <c r="M1369">
        <v>0.56000000000000005</v>
      </c>
      <c r="N1369" t="s">
        <v>8</v>
      </c>
      <c r="O1369" t="s">
        <v>35</v>
      </c>
      <c r="P1369" t="s">
        <v>466</v>
      </c>
      <c r="Q1369" t="s">
        <v>2389</v>
      </c>
      <c r="R1369">
        <v>83616</v>
      </c>
      <c r="S1369" s="1">
        <v>42128</v>
      </c>
      <c r="T1369" s="1">
        <v>42128</v>
      </c>
      <c r="U1369">
        <v>605.04719999999998</v>
      </c>
      <c r="V1369">
        <v>15</v>
      </c>
      <c r="W1369">
        <v>876.88</v>
      </c>
      <c r="X1369">
        <v>88588</v>
      </c>
      <c r="Y1369">
        <f>cleaneddata[[#This Row],[Unit Price]]-cleaneddata[[#This Row],[Discount]]</f>
        <v>65.949999999999989</v>
      </c>
      <c r="Z136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70" spans="1:26" x14ac:dyDescent="0.3">
      <c r="A1370">
        <v>1765</v>
      </c>
      <c r="B1370" t="s">
        <v>2391</v>
      </c>
      <c r="C1370" t="s">
        <v>46</v>
      </c>
      <c r="D1370">
        <v>0</v>
      </c>
      <c r="E1370">
        <v>5.77</v>
      </c>
      <c r="F1370">
        <v>4.97</v>
      </c>
      <c r="G1370" t="s">
        <v>14</v>
      </c>
      <c r="H1370" t="s">
        <v>15</v>
      </c>
      <c r="I1370" t="s">
        <v>24</v>
      </c>
      <c r="J1370" t="s">
        <v>48</v>
      </c>
      <c r="K1370" t="s">
        <v>49</v>
      </c>
      <c r="L1370" t="s">
        <v>2392</v>
      </c>
      <c r="M1370">
        <v>0.35</v>
      </c>
      <c r="N1370" t="s">
        <v>8</v>
      </c>
      <c r="O1370" t="s">
        <v>28</v>
      </c>
      <c r="P1370" t="s">
        <v>56</v>
      </c>
      <c r="Q1370" t="s">
        <v>2393</v>
      </c>
      <c r="R1370">
        <v>63141</v>
      </c>
      <c r="S1370" s="1">
        <v>42128</v>
      </c>
      <c r="T1370" s="1">
        <v>42129</v>
      </c>
      <c r="U1370">
        <v>3.5581</v>
      </c>
      <c r="V1370">
        <v>8</v>
      </c>
      <c r="W1370">
        <v>52.43</v>
      </c>
      <c r="X1370">
        <v>89777</v>
      </c>
      <c r="Y1370">
        <f>cleaneddata[[#This Row],[Unit Price]]-cleaneddata[[#This Row],[Discount]]</f>
        <v>5.77</v>
      </c>
      <c r="Z137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71" spans="1:26" x14ac:dyDescent="0.3">
      <c r="A1371">
        <v>693</v>
      </c>
      <c r="B1371" t="s">
        <v>1525</v>
      </c>
      <c r="C1371" t="s">
        <v>13</v>
      </c>
      <c r="D1371">
        <v>0</v>
      </c>
      <c r="E1371">
        <v>230.98</v>
      </c>
      <c r="F1371">
        <v>23.78</v>
      </c>
      <c r="G1371" t="s">
        <v>2</v>
      </c>
      <c r="H1371" t="s">
        <v>3</v>
      </c>
      <c r="I1371" t="s">
        <v>4</v>
      </c>
      <c r="J1371" t="s">
        <v>5</v>
      </c>
      <c r="K1371" t="s">
        <v>6</v>
      </c>
      <c r="L1371" t="s">
        <v>1504</v>
      </c>
      <c r="M1371">
        <v>0.6</v>
      </c>
      <c r="N1371" t="s">
        <v>8</v>
      </c>
      <c r="O1371" t="s">
        <v>35</v>
      </c>
      <c r="P1371" t="s">
        <v>36</v>
      </c>
      <c r="Q1371" t="s">
        <v>1526</v>
      </c>
      <c r="R1371">
        <v>80229</v>
      </c>
      <c r="S1371" s="1">
        <v>42129</v>
      </c>
      <c r="T1371" s="1">
        <v>42131</v>
      </c>
      <c r="U1371">
        <v>6095.8602000000001</v>
      </c>
      <c r="V1371">
        <v>36</v>
      </c>
      <c r="W1371">
        <v>8834.58</v>
      </c>
      <c r="X1371">
        <v>87813</v>
      </c>
      <c r="Y1371">
        <f>cleaneddata[[#This Row],[Unit Price]]-cleaneddata[[#This Row],[Discount]]</f>
        <v>230.98</v>
      </c>
      <c r="Z13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72" spans="1:26" x14ac:dyDescent="0.3">
      <c r="A1372">
        <v>2273</v>
      </c>
      <c r="B1372" t="s">
        <v>2394</v>
      </c>
      <c r="C1372" t="s">
        <v>23</v>
      </c>
      <c r="D1372">
        <v>0.04</v>
      </c>
      <c r="E1372">
        <v>120.98</v>
      </c>
      <c r="F1372">
        <v>3.99</v>
      </c>
      <c r="G1372" t="s">
        <v>14</v>
      </c>
      <c r="H1372" t="s">
        <v>70</v>
      </c>
      <c r="I1372" t="s">
        <v>24</v>
      </c>
      <c r="J1372" t="s">
        <v>71</v>
      </c>
      <c r="K1372" t="s">
        <v>49</v>
      </c>
      <c r="L1372" t="s">
        <v>2395</v>
      </c>
      <c r="M1372">
        <v>0.6</v>
      </c>
      <c r="N1372" t="s">
        <v>8</v>
      </c>
      <c r="O1372" t="s">
        <v>28</v>
      </c>
      <c r="P1372" t="s">
        <v>163</v>
      </c>
      <c r="Q1372" t="s">
        <v>2396</v>
      </c>
      <c r="R1372">
        <v>78550</v>
      </c>
      <c r="S1372" s="1">
        <v>42129</v>
      </c>
      <c r="T1372" s="1">
        <v>42129</v>
      </c>
      <c r="U1372">
        <v>1389.5771999999999</v>
      </c>
      <c r="V1372">
        <v>17</v>
      </c>
      <c r="W1372">
        <v>2013.88</v>
      </c>
      <c r="X1372">
        <v>90109</v>
      </c>
      <c r="Y1372">
        <f>cleaneddata[[#This Row],[Unit Price]]-cleaneddata[[#This Row],[Discount]]</f>
        <v>120.94</v>
      </c>
      <c r="Z13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73" spans="1:26" x14ac:dyDescent="0.3">
      <c r="A1373">
        <v>2273</v>
      </c>
      <c r="B1373" t="s">
        <v>2394</v>
      </c>
      <c r="C1373" t="s">
        <v>23</v>
      </c>
      <c r="D1373">
        <v>0.02</v>
      </c>
      <c r="E1373">
        <v>55.99</v>
      </c>
      <c r="F1373">
        <v>5</v>
      </c>
      <c r="G1373" t="s">
        <v>14</v>
      </c>
      <c r="H1373" t="s">
        <v>70</v>
      </c>
      <c r="I1373" t="s">
        <v>16</v>
      </c>
      <c r="J1373" t="s">
        <v>111</v>
      </c>
      <c r="K1373" t="s">
        <v>18</v>
      </c>
      <c r="L1373" t="s">
        <v>1914</v>
      </c>
      <c r="M1373">
        <v>0.83</v>
      </c>
      <c r="N1373" t="s">
        <v>8</v>
      </c>
      <c r="O1373" t="s">
        <v>28</v>
      </c>
      <c r="P1373" t="s">
        <v>163</v>
      </c>
      <c r="Q1373" t="s">
        <v>2396</v>
      </c>
      <c r="R1373">
        <v>78550</v>
      </c>
      <c r="S1373" s="1">
        <v>42129</v>
      </c>
      <c r="T1373" s="1">
        <v>42129</v>
      </c>
      <c r="U1373">
        <v>-222.816</v>
      </c>
      <c r="V1373">
        <v>4</v>
      </c>
      <c r="W1373">
        <v>201.32</v>
      </c>
      <c r="X1373">
        <v>90109</v>
      </c>
      <c r="Y1373">
        <f>cleaneddata[[#This Row],[Unit Price]]-cleaneddata[[#This Row],[Discount]]</f>
        <v>55.97</v>
      </c>
      <c r="Z13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74" spans="1:26" x14ac:dyDescent="0.3">
      <c r="A1374">
        <v>2274</v>
      </c>
      <c r="B1374" t="s">
        <v>2397</v>
      </c>
      <c r="C1374" t="s">
        <v>23</v>
      </c>
      <c r="D1374">
        <v>0.05</v>
      </c>
      <c r="E1374">
        <v>23.99</v>
      </c>
      <c r="F1374">
        <v>15.68</v>
      </c>
      <c r="G1374" t="s">
        <v>2</v>
      </c>
      <c r="H1374" t="s">
        <v>70</v>
      </c>
      <c r="I1374" t="s">
        <v>4</v>
      </c>
      <c r="J1374" t="s">
        <v>102</v>
      </c>
      <c r="K1374" t="s">
        <v>33</v>
      </c>
      <c r="L1374" t="s">
        <v>2398</v>
      </c>
      <c r="M1374">
        <v>0.62</v>
      </c>
      <c r="N1374" t="s">
        <v>8</v>
      </c>
      <c r="O1374" t="s">
        <v>28</v>
      </c>
      <c r="P1374" t="s">
        <v>163</v>
      </c>
      <c r="Q1374" t="s">
        <v>1729</v>
      </c>
      <c r="R1374">
        <v>77036</v>
      </c>
      <c r="S1374" s="1">
        <v>42129</v>
      </c>
      <c r="T1374" s="1">
        <v>42133</v>
      </c>
      <c r="U1374">
        <v>-133.71</v>
      </c>
      <c r="V1374">
        <v>12</v>
      </c>
      <c r="W1374">
        <v>298.51</v>
      </c>
      <c r="X1374">
        <v>90109</v>
      </c>
      <c r="Y1374">
        <f>cleaneddata[[#This Row],[Unit Price]]-cleaneddata[[#This Row],[Discount]]</f>
        <v>23.939999999999998</v>
      </c>
      <c r="Z13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75" spans="1:26" x14ac:dyDescent="0.3">
      <c r="A1375">
        <v>2379</v>
      </c>
      <c r="B1375" t="s">
        <v>2399</v>
      </c>
      <c r="C1375" t="s">
        <v>23</v>
      </c>
      <c r="D1375">
        <v>0.06</v>
      </c>
      <c r="E1375">
        <v>122.99</v>
      </c>
      <c r="F1375">
        <v>19.989999999999998</v>
      </c>
      <c r="G1375" t="s">
        <v>14</v>
      </c>
      <c r="H1375" t="s">
        <v>3</v>
      </c>
      <c r="I1375" t="s">
        <v>24</v>
      </c>
      <c r="J1375" t="s">
        <v>48</v>
      </c>
      <c r="K1375" t="s">
        <v>49</v>
      </c>
      <c r="L1375" t="s">
        <v>2400</v>
      </c>
      <c r="M1375">
        <v>0.37</v>
      </c>
      <c r="N1375" t="s">
        <v>8</v>
      </c>
      <c r="O1375" t="s">
        <v>28</v>
      </c>
      <c r="P1375" t="s">
        <v>265</v>
      </c>
      <c r="Q1375" t="s">
        <v>2041</v>
      </c>
      <c r="R1375">
        <v>48135</v>
      </c>
      <c r="S1375" s="1">
        <v>42129</v>
      </c>
      <c r="T1375" s="1">
        <v>42131</v>
      </c>
      <c r="U1375">
        <v>1019.7096</v>
      </c>
      <c r="V1375">
        <v>12</v>
      </c>
      <c r="W1375">
        <v>1477.84</v>
      </c>
      <c r="X1375">
        <v>86655</v>
      </c>
      <c r="Y1375">
        <f>cleaneddata[[#This Row],[Unit Price]]-cleaneddata[[#This Row],[Discount]]</f>
        <v>122.92999999999999</v>
      </c>
      <c r="Z137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76" spans="1:26" x14ac:dyDescent="0.3">
      <c r="A1376">
        <v>2380</v>
      </c>
      <c r="B1376" t="s">
        <v>2280</v>
      </c>
      <c r="C1376" t="s">
        <v>23</v>
      </c>
      <c r="D1376">
        <v>0.08</v>
      </c>
      <c r="E1376">
        <v>68.81</v>
      </c>
      <c r="F1376">
        <v>60</v>
      </c>
      <c r="G1376" t="s">
        <v>2</v>
      </c>
      <c r="H1376" t="s">
        <v>3</v>
      </c>
      <c r="I1376" t="s">
        <v>24</v>
      </c>
      <c r="J1376" t="s">
        <v>71</v>
      </c>
      <c r="K1376" t="s">
        <v>33</v>
      </c>
      <c r="L1376" t="s">
        <v>1652</v>
      </c>
      <c r="M1376">
        <v>0.41</v>
      </c>
      <c r="N1376" t="s">
        <v>8</v>
      </c>
      <c r="O1376" t="s">
        <v>28</v>
      </c>
      <c r="P1376" t="s">
        <v>265</v>
      </c>
      <c r="Q1376" t="s">
        <v>2281</v>
      </c>
      <c r="R1376">
        <v>49505</v>
      </c>
      <c r="S1376" s="1">
        <v>42129</v>
      </c>
      <c r="T1376" s="1">
        <v>42131</v>
      </c>
      <c r="U1376">
        <v>-1069.72</v>
      </c>
      <c r="V1376">
        <v>17</v>
      </c>
      <c r="W1376">
        <v>1162.46</v>
      </c>
      <c r="X1376">
        <v>86655</v>
      </c>
      <c r="Y1376">
        <f>cleaneddata[[#This Row],[Unit Price]]-cleaneddata[[#This Row],[Discount]]</f>
        <v>68.73</v>
      </c>
      <c r="Z137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77" spans="1:26" x14ac:dyDescent="0.3">
      <c r="A1377">
        <v>2382</v>
      </c>
      <c r="B1377" t="s">
        <v>2282</v>
      </c>
      <c r="C1377" t="s">
        <v>23</v>
      </c>
      <c r="D1377">
        <v>0.06</v>
      </c>
      <c r="E1377">
        <v>122.99</v>
      </c>
      <c r="F1377">
        <v>19.989999999999998</v>
      </c>
      <c r="G1377" t="s">
        <v>14</v>
      </c>
      <c r="H1377" t="s">
        <v>3</v>
      </c>
      <c r="I1377" t="s">
        <v>24</v>
      </c>
      <c r="J1377" t="s">
        <v>48</v>
      </c>
      <c r="K1377" t="s">
        <v>49</v>
      </c>
      <c r="L1377" t="s">
        <v>2400</v>
      </c>
      <c r="M1377">
        <v>0.37</v>
      </c>
      <c r="N1377" t="s">
        <v>8</v>
      </c>
      <c r="O1377" t="s">
        <v>87</v>
      </c>
      <c r="P1377" t="s">
        <v>88</v>
      </c>
      <c r="Q1377" t="s">
        <v>89</v>
      </c>
      <c r="R1377">
        <v>10024</v>
      </c>
      <c r="S1377" s="1">
        <v>42129</v>
      </c>
      <c r="T1377" s="1">
        <v>42131</v>
      </c>
      <c r="U1377">
        <v>1408.1865</v>
      </c>
      <c r="V1377">
        <v>48</v>
      </c>
      <c r="W1377">
        <v>5911.35</v>
      </c>
      <c r="X1377">
        <v>962</v>
      </c>
      <c r="Y1377">
        <f>cleaneddata[[#This Row],[Unit Price]]-cleaneddata[[#This Row],[Discount]]</f>
        <v>122.92999999999999</v>
      </c>
      <c r="Z137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78" spans="1:26" x14ac:dyDescent="0.3">
      <c r="A1378">
        <v>2382</v>
      </c>
      <c r="B1378" t="s">
        <v>2282</v>
      </c>
      <c r="C1378" t="s">
        <v>23</v>
      </c>
      <c r="D1378">
        <v>0.08</v>
      </c>
      <c r="E1378">
        <v>68.81</v>
      </c>
      <c r="F1378">
        <v>60</v>
      </c>
      <c r="G1378" t="s">
        <v>2</v>
      </c>
      <c r="H1378" t="s">
        <v>3</v>
      </c>
      <c r="I1378" t="s">
        <v>24</v>
      </c>
      <c r="J1378" t="s">
        <v>71</v>
      </c>
      <c r="K1378" t="s">
        <v>33</v>
      </c>
      <c r="L1378" t="s">
        <v>1652</v>
      </c>
      <c r="M1378">
        <v>0.41</v>
      </c>
      <c r="N1378" t="s">
        <v>8</v>
      </c>
      <c r="O1378" t="s">
        <v>87</v>
      </c>
      <c r="P1378" t="s">
        <v>88</v>
      </c>
      <c r="Q1378" t="s">
        <v>89</v>
      </c>
      <c r="R1378">
        <v>10024</v>
      </c>
      <c r="S1378" s="1">
        <v>42129</v>
      </c>
      <c r="T1378" s="1">
        <v>42131</v>
      </c>
      <c r="U1378">
        <v>-1069.72</v>
      </c>
      <c r="V1378">
        <v>68</v>
      </c>
      <c r="W1378">
        <v>4649.8500000000004</v>
      </c>
      <c r="X1378">
        <v>962</v>
      </c>
      <c r="Y1378">
        <f>cleaneddata[[#This Row],[Unit Price]]-cleaneddata[[#This Row],[Discount]]</f>
        <v>68.73</v>
      </c>
      <c r="Z137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79" spans="1:26" x14ac:dyDescent="0.3">
      <c r="A1379">
        <v>1101</v>
      </c>
      <c r="B1379" t="s">
        <v>2401</v>
      </c>
      <c r="C1379" t="s">
        <v>92</v>
      </c>
      <c r="D1379">
        <v>0.02</v>
      </c>
      <c r="E1379">
        <v>15.14</v>
      </c>
      <c r="F1379">
        <v>4.53</v>
      </c>
      <c r="G1379" t="s">
        <v>14</v>
      </c>
      <c r="H1379" t="s">
        <v>3</v>
      </c>
      <c r="I1379" t="s">
        <v>24</v>
      </c>
      <c r="J1379" t="s">
        <v>54</v>
      </c>
      <c r="K1379" t="s">
        <v>49</v>
      </c>
      <c r="L1379" t="s">
        <v>1331</v>
      </c>
      <c r="M1379">
        <v>0.81</v>
      </c>
      <c r="N1379" t="s">
        <v>8</v>
      </c>
      <c r="O1379" t="s">
        <v>35</v>
      </c>
      <c r="P1379" t="s">
        <v>66</v>
      </c>
      <c r="Q1379" t="s">
        <v>1231</v>
      </c>
      <c r="R1379">
        <v>93030</v>
      </c>
      <c r="S1379" s="1">
        <v>42129</v>
      </c>
      <c r="T1379" s="1">
        <v>42130</v>
      </c>
      <c r="U1379">
        <v>5.8840000000000003</v>
      </c>
      <c r="V1379">
        <v>3</v>
      </c>
      <c r="W1379">
        <v>51.02</v>
      </c>
      <c r="X1379">
        <v>91488</v>
      </c>
      <c r="Y1379">
        <f>cleaneddata[[#This Row],[Unit Price]]-cleaneddata[[#This Row],[Discount]]</f>
        <v>15.120000000000001</v>
      </c>
      <c r="Z137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80" spans="1:26" x14ac:dyDescent="0.3">
      <c r="A1380">
        <v>2509</v>
      </c>
      <c r="B1380" t="s">
        <v>2402</v>
      </c>
      <c r="C1380" t="s">
        <v>92</v>
      </c>
      <c r="D1380">
        <v>0.05</v>
      </c>
      <c r="E1380">
        <v>30.98</v>
      </c>
      <c r="F1380">
        <v>9.18</v>
      </c>
      <c r="G1380" t="s">
        <v>14</v>
      </c>
      <c r="H1380" t="s">
        <v>47</v>
      </c>
      <c r="I1380" t="s">
        <v>24</v>
      </c>
      <c r="J1380" t="s">
        <v>64</v>
      </c>
      <c r="K1380" t="s">
        <v>49</v>
      </c>
      <c r="L1380" t="s">
        <v>2225</v>
      </c>
      <c r="M1380">
        <v>0.4</v>
      </c>
      <c r="N1380" t="s">
        <v>8</v>
      </c>
      <c r="O1380" t="s">
        <v>87</v>
      </c>
      <c r="P1380" t="s">
        <v>307</v>
      </c>
      <c r="Q1380" t="s">
        <v>2403</v>
      </c>
      <c r="R1380">
        <v>4106</v>
      </c>
      <c r="S1380" s="1">
        <v>42129</v>
      </c>
      <c r="T1380" s="1">
        <v>42129</v>
      </c>
      <c r="U1380">
        <v>308.67</v>
      </c>
      <c r="V1380">
        <v>15</v>
      </c>
      <c r="W1380">
        <v>462.57</v>
      </c>
      <c r="X1380">
        <v>87029</v>
      </c>
      <c r="Y1380">
        <f>cleaneddata[[#This Row],[Unit Price]]-cleaneddata[[#This Row],[Discount]]</f>
        <v>30.93</v>
      </c>
      <c r="Z138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81" spans="1:26" x14ac:dyDescent="0.3">
      <c r="A1381">
        <v>1979</v>
      </c>
      <c r="B1381" t="s">
        <v>2404</v>
      </c>
      <c r="C1381" t="s">
        <v>46</v>
      </c>
      <c r="D1381">
        <v>0.05</v>
      </c>
      <c r="E1381">
        <v>20.99</v>
      </c>
      <c r="F1381">
        <v>3.3</v>
      </c>
      <c r="G1381" t="s">
        <v>14</v>
      </c>
      <c r="H1381" t="s">
        <v>70</v>
      </c>
      <c r="I1381" t="s">
        <v>16</v>
      </c>
      <c r="J1381" t="s">
        <v>111</v>
      </c>
      <c r="K1381" t="s">
        <v>18</v>
      </c>
      <c r="L1381" t="s">
        <v>1559</v>
      </c>
      <c r="M1381">
        <v>0.81</v>
      </c>
      <c r="N1381" t="s">
        <v>8</v>
      </c>
      <c r="O1381" t="s">
        <v>35</v>
      </c>
      <c r="P1381" t="s">
        <v>36</v>
      </c>
      <c r="Q1381" t="s">
        <v>2405</v>
      </c>
      <c r="R1381">
        <v>80122</v>
      </c>
      <c r="S1381" s="1">
        <v>42129</v>
      </c>
      <c r="T1381" s="1">
        <v>42130</v>
      </c>
      <c r="U1381">
        <v>21.883400000000002</v>
      </c>
      <c r="V1381">
        <v>4</v>
      </c>
      <c r="W1381">
        <v>72.75</v>
      </c>
      <c r="X1381">
        <v>87757</v>
      </c>
      <c r="Y1381">
        <f>cleaneddata[[#This Row],[Unit Price]]-cleaneddata[[#This Row],[Discount]]</f>
        <v>20.939999999999998</v>
      </c>
      <c r="Z13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82" spans="1:26" x14ac:dyDescent="0.3">
      <c r="A1382">
        <v>1416</v>
      </c>
      <c r="B1382" t="s">
        <v>2406</v>
      </c>
      <c r="C1382" t="s">
        <v>1</v>
      </c>
      <c r="D1382">
        <v>0.02</v>
      </c>
      <c r="E1382">
        <v>417.4</v>
      </c>
      <c r="F1382">
        <v>75.23</v>
      </c>
      <c r="G1382" t="s">
        <v>2</v>
      </c>
      <c r="H1382" t="s">
        <v>3</v>
      </c>
      <c r="I1382" t="s">
        <v>4</v>
      </c>
      <c r="J1382" t="s">
        <v>5</v>
      </c>
      <c r="K1382" t="s">
        <v>6</v>
      </c>
      <c r="L1382" t="s">
        <v>1171</v>
      </c>
      <c r="M1382">
        <v>0.79</v>
      </c>
      <c r="N1382" t="s">
        <v>8</v>
      </c>
      <c r="O1382" t="s">
        <v>28</v>
      </c>
      <c r="P1382" t="s">
        <v>29</v>
      </c>
      <c r="Q1382" t="s">
        <v>1488</v>
      </c>
      <c r="R1382">
        <v>46203</v>
      </c>
      <c r="S1382" s="1">
        <v>42130</v>
      </c>
      <c r="T1382" s="1">
        <v>42131</v>
      </c>
      <c r="U1382">
        <v>-634.86540000000002</v>
      </c>
      <c r="V1382">
        <v>1</v>
      </c>
      <c r="W1382">
        <v>471.21</v>
      </c>
      <c r="X1382">
        <v>90538</v>
      </c>
      <c r="Y1382">
        <f>cleaneddata[[#This Row],[Unit Price]]-cleaneddata[[#This Row],[Discount]]</f>
        <v>417.38</v>
      </c>
      <c r="Z138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83" spans="1:26" x14ac:dyDescent="0.3">
      <c r="A1383">
        <v>2420</v>
      </c>
      <c r="B1383" t="s">
        <v>2407</v>
      </c>
      <c r="C1383" t="s">
        <v>13</v>
      </c>
      <c r="D1383">
        <v>0.04</v>
      </c>
      <c r="E1383">
        <v>9.11</v>
      </c>
      <c r="F1383">
        <v>2.15</v>
      </c>
      <c r="G1383" t="s">
        <v>14</v>
      </c>
      <c r="H1383" t="s">
        <v>15</v>
      </c>
      <c r="I1383" t="s">
        <v>24</v>
      </c>
      <c r="J1383" t="s">
        <v>64</v>
      </c>
      <c r="K1383" t="s">
        <v>26</v>
      </c>
      <c r="L1383" t="s">
        <v>65</v>
      </c>
      <c r="M1383">
        <v>0.4</v>
      </c>
      <c r="N1383" t="s">
        <v>8</v>
      </c>
      <c r="O1383" t="s">
        <v>9</v>
      </c>
      <c r="P1383" t="s">
        <v>218</v>
      </c>
      <c r="Q1383" t="s">
        <v>2408</v>
      </c>
      <c r="R1383">
        <v>23223</v>
      </c>
      <c r="S1383" s="1">
        <v>42130</v>
      </c>
      <c r="T1383" s="1">
        <v>42130</v>
      </c>
      <c r="U1383">
        <v>-23.071999999999999</v>
      </c>
      <c r="V1383">
        <v>11</v>
      </c>
      <c r="W1383">
        <v>100.87</v>
      </c>
      <c r="X1383">
        <v>86752</v>
      </c>
      <c r="Y1383">
        <f>cleaneddata[[#This Row],[Unit Price]]-cleaneddata[[#This Row],[Discount]]</f>
        <v>9.07</v>
      </c>
      <c r="Z13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84" spans="1:26" x14ac:dyDescent="0.3">
      <c r="A1384">
        <v>1986</v>
      </c>
      <c r="B1384" t="s">
        <v>2409</v>
      </c>
      <c r="C1384" t="s">
        <v>46</v>
      </c>
      <c r="D1384">
        <v>0.01</v>
      </c>
      <c r="E1384">
        <v>15.31</v>
      </c>
      <c r="F1384">
        <v>8.7799999999999994</v>
      </c>
      <c r="G1384" t="s">
        <v>14</v>
      </c>
      <c r="H1384" t="s">
        <v>47</v>
      </c>
      <c r="I1384" t="s">
        <v>24</v>
      </c>
      <c r="J1384" t="s">
        <v>54</v>
      </c>
      <c r="K1384" t="s">
        <v>49</v>
      </c>
      <c r="L1384" t="s">
        <v>2410</v>
      </c>
      <c r="M1384">
        <v>0.56999999999999995</v>
      </c>
      <c r="N1384" t="s">
        <v>8</v>
      </c>
      <c r="O1384" t="s">
        <v>28</v>
      </c>
      <c r="P1384" t="s">
        <v>163</v>
      </c>
      <c r="Q1384" t="s">
        <v>1480</v>
      </c>
      <c r="R1384">
        <v>79701</v>
      </c>
      <c r="S1384" s="1">
        <v>42130</v>
      </c>
      <c r="T1384" s="1">
        <v>42131</v>
      </c>
      <c r="U1384">
        <v>12.146000000000001</v>
      </c>
      <c r="V1384">
        <v>23</v>
      </c>
      <c r="W1384">
        <v>377</v>
      </c>
      <c r="X1384">
        <v>90888</v>
      </c>
      <c r="Y1384">
        <f>cleaneddata[[#This Row],[Unit Price]]-cleaneddata[[#This Row],[Discount]]</f>
        <v>15.3</v>
      </c>
      <c r="Z138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85" spans="1:26" x14ac:dyDescent="0.3">
      <c r="A1385">
        <v>1986</v>
      </c>
      <c r="B1385" t="s">
        <v>2409</v>
      </c>
      <c r="C1385" t="s">
        <v>46</v>
      </c>
      <c r="D1385">
        <v>0.05</v>
      </c>
      <c r="E1385">
        <v>7.99</v>
      </c>
      <c r="F1385">
        <v>5.03</v>
      </c>
      <c r="G1385" t="s">
        <v>63</v>
      </c>
      <c r="H1385" t="s">
        <v>47</v>
      </c>
      <c r="I1385" t="s">
        <v>16</v>
      </c>
      <c r="J1385" t="s">
        <v>111</v>
      </c>
      <c r="K1385" t="s">
        <v>120</v>
      </c>
      <c r="L1385" t="s">
        <v>441</v>
      </c>
      <c r="M1385">
        <v>0.6</v>
      </c>
      <c r="N1385" t="s">
        <v>8</v>
      </c>
      <c r="O1385" t="s">
        <v>28</v>
      </c>
      <c r="P1385" t="s">
        <v>163</v>
      </c>
      <c r="Q1385" t="s">
        <v>1480</v>
      </c>
      <c r="R1385">
        <v>79701</v>
      </c>
      <c r="S1385" s="1">
        <v>42130</v>
      </c>
      <c r="T1385" s="1">
        <v>42132</v>
      </c>
      <c r="U1385">
        <v>5.6870000000000003</v>
      </c>
      <c r="V1385">
        <v>4</v>
      </c>
      <c r="W1385">
        <v>42.99</v>
      </c>
      <c r="X1385">
        <v>90888</v>
      </c>
      <c r="Y1385">
        <f>cleaneddata[[#This Row],[Unit Price]]-cleaneddata[[#This Row],[Discount]]</f>
        <v>7.94</v>
      </c>
      <c r="Z138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86" spans="1:26" x14ac:dyDescent="0.3">
      <c r="A1386">
        <v>1261</v>
      </c>
      <c r="B1386" t="s">
        <v>2411</v>
      </c>
      <c r="C1386" t="s">
        <v>1</v>
      </c>
      <c r="D1386">
        <v>0.02</v>
      </c>
      <c r="E1386">
        <v>73.98</v>
      </c>
      <c r="F1386">
        <v>14.52</v>
      </c>
      <c r="G1386" t="s">
        <v>14</v>
      </c>
      <c r="H1386" t="s">
        <v>47</v>
      </c>
      <c r="I1386" t="s">
        <v>16</v>
      </c>
      <c r="J1386" t="s">
        <v>17</v>
      </c>
      <c r="K1386" t="s">
        <v>49</v>
      </c>
      <c r="L1386" t="s">
        <v>284</v>
      </c>
      <c r="M1386">
        <v>0.65</v>
      </c>
      <c r="N1386" t="s">
        <v>8</v>
      </c>
      <c r="O1386" t="s">
        <v>35</v>
      </c>
      <c r="P1386" t="s">
        <v>36</v>
      </c>
      <c r="Q1386" t="s">
        <v>2412</v>
      </c>
      <c r="R1386">
        <v>80020</v>
      </c>
      <c r="S1386" s="1">
        <v>42131</v>
      </c>
      <c r="T1386" s="1">
        <v>42134</v>
      </c>
      <c r="U1386">
        <v>43.537999999999997</v>
      </c>
      <c r="V1386">
        <v>5</v>
      </c>
      <c r="W1386">
        <v>378.23</v>
      </c>
      <c r="X1386">
        <v>89730</v>
      </c>
      <c r="Y1386">
        <f>cleaneddata[[#This Row],[Unit Price]]-cleaneddata[[#This Row],[Discount]]</f>
        <v>73.960000000000008</v>
      </c>
      <c r="Z138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87" spans="1:26" x14ac:dyDescent="0.3">
      <c r="A1387">
        <v>1502</v>
      </c>
      <c r="B1387" t="s">
        <v>2413</v>
      </c>
      <c r="C1387" t="s">
        <v>1</v>
      </c>
      <c r="D1387">
        <v>0.08</v>
      </c>
      <c r="E1387">
        <v>3.69</v>
      </c>
      <c r="F1387">
        <v>0.5</v>
      </c>
      <c r="G1387" t="s">
        <v>14</v>
      </c>
      <c r="H1387" t="s">
        <v>3</v>
      </c>
      <c r="I1387" t="s">
        <v>24</v>
      </c>
      <c r="J1387" t="s">
        <v>128</v>
      </c>
      <c r="K1387" t="s">
        <v>49</v>
      </c>
      <c r="L1387" t="s">
        <v>1870</v>
      </c>
      <c r="M1387">
        <v>0.38</v>
      </c>
      <c r="N1387" t="s">
        <v>8</v>
      </c>
      <c r="O1387" t="s">
        <v>9</v>
      </c>
      <c r="P1387" t="s">
        <v>99</v>
      </c>
      <c r="Q1387" t="s">
        <v>2414</v>
      </c>
      <c r="R1387">
        <v>33065</v>
      </c>
      <c r="S1387" s="1">
        <v>42131</v>
      </c>
      <c r="T1387" s="1">
        <v>42134</v>
      </c>
      <c r="U1387">
        <v>-3.6547000000000001</v>
      </c>
      <c r="V1387">
        <v>38</v>
      </c>
      <c r="W1387">
        <v>129.43</v>
      </c>
      <c r="X1387">
        <v>89193</v>
      </c>
      <c r="Y1387">
        <f>cleaneddata[[#This Row],[Unit Price]]-cleaneddata[[#This Row],[Discount]]</f>
        <v>3.61</v>
      </c>
      <c r="Z138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88" spans="1:26" x14ac:dyDescent="0.3">
      <c r="A1388">
        <v>1725</v>
      </c>
      <c r="B1388" t="s">
        <v>2415</v>
      </c>
      <c r="C1388" t="s">
        <v>13</v>
      </c>
      <c r="D1388">
        <v>0.05</v>
      </c>
      <c r="E1388">
        <v>35.99</v>
      </c>
      <c r="F1388">
        <v>1.1000000000000001</v>
      </c>
      <c r="G1388" t="s">
        <v>14</v>
      </c>
      <c r="H1388" t="s">
        <v>70</v>
      </c>
      <c r="I1388" t="s">
        <v>16</v>
      </c>
      <c r="J1388" t="s">
        <v>111</v>
      </c>
      <c r="K1388" t="s">
        <v>49</v>
      </c>
      <c r="L1388" t="s">
        <v>250</v>
      </c>
      <c r="M1388">
        <v>0.55000000000000004</v>
      </c>
      <c r="N1388" t="s">
        <v>8</v>
      </c>
      <c r="O1388" t="s">
        <v>87</v>
      </c>
      <c r="P1388" t="s">
        <v>293</v>
      </c>
      <c r="Q1388" t="s">
        <v>2416</v>
      </c>
      <c r="R1388">
        <v>43026</v>
      </c>
      <c r="S1388" s="1">
        <v>42131</v>
      </c>
      <c r="T1388" s="1">
        <v>42133</v>
      </c>
      <c r="U1388">
        <v>149.166</v>
      </c>
      <c r="V1388">
        <v>9</v>
      </c>
      <c r="W1388">
        <v>261.56</v>
      </c>
      <c r="X1388">
        <v>87193</v>
      </c>
      <c r="Y1388">
        <f>cleaneddata[[#This Row],[Unit Price]]-cleaneddata[[#This Row],[Discount]]</f>
        <v>35.940000000000005</v>
      </c>
      <c r="Z13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89" spans="1:26" x14ac:dyDescent="0.3">
      <c r="A1389">
        <v>2962</v>
      </c>
      <c r="B1389" t="s">
        <v>2417</v>
      </c>
      <c r="C1389" t="s">
        <v>13</v>
      </c>
      <c r="D1389">
        <v>7.0000000000000007E-2</v>
      </c>
      <c r="E1389">
        <v>4.76</v>
      </c>
      <c r="F1389">
        <v>0.88</v>
      </c>
      <c r="G1389" t="s">
        <v>63</v>
      </c>
      <c r="H1389" t="s">
        <v>15</v>
      </c>
      <c r="I1389" t="s">
        <v>24</v>
      </c>
      <c r="J1389" t="s">
        <v>64</v>
      </c>
      <c r="K1389" t="s">
        <v>26</v>
      </c>
      <c r="L1389" t="s">
        <v>2418</v>
      </c>
      <c r="M1389">
        <v>0.39</v>
      </c>
      <c r="N1389" t="s">
        <v>8</v>
      </c>
      <c r="O1389" t="s">
        <v>35</v>
      </c>
      <c r="P1389" t="s">
        <v>36</v>
      </c>
      <c r="Q1389" t="s">
        <v>1289</v>
      </c>
      <c r="R1389">
        <v>80027</v>
      </c>
      <c r="S1389" s="1">
        <v>42131</v>
      </c>
      <c r="T1389" s="1">
        <v>42133</v>
      </c>
      <c r="U1389">
        <v>33.347700000000003</v>
      </c>
      <c r="V1389">
        <v>10</v>
      </c>
      <c r="W1389">
        <v>48.33</v>
      </c>
      <c r="X1389">
        <v>88611</v>
      </c>
      <c r="Y1389">
        <f>cleaneddata[[#This Row],[Unit Price]]-cleaneddata[[#This Row],[Discount]]</f>
        <v>4.6899999999999995</v>
      </c>
      <c r="Z138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390" spans="1:26" x14ac:dyDescent="0.3">
      <c r="A1390">
        <v>3248</v>
      </c>
      <c r="B1390" t="s">
        <v>2419</v>
      </c>
      <c r="C1390" t="s">
        <v>13</v>
      </c>
      <c r="D1390">
        <v>7.0000000000000007E-2</v>
      </c>
      <c r="E1390">
        <v>2.78</v>
      </c>
      <c r="F1390">
        <v>1.49</v>
      </c>
      <c r="G1390" t="s">
        <v>14</v>
      </c>
      <c r="H1390" t="s">
        <v>3</v>
      </c>
      <c r="I1390" t="s">
        <v>24</v>
      </c>
      <c r="J1390" t="s">
        <v>48</v>
      </c>
      <c r="K1390" t="s">
        <v>49</v>
      </c>
      <c r="L1390" t="s">
        <v>2160</v>
      </c>
      <c r="M1390">
        <v>0.36</v>
      </c>
      <c r="N1390" t="s">
        <v>8</v>
      </c>
      <c r="O1390" t="s">
        <v>9</v>
      </c>
      <c r="P1390" t="s">
        <v>144</v>
      </c>
      <c r="Q1390" t="s">
        <v>2420</v>
      </c>
      <c r="R1390">
        <v>70458</v>
      </c>
      <c r="S1390" s="1">
        <v>42131</v>
      </c>
      <c r="T1390" s="1">
        <v>42132</v>
      </c>
      <c r="U1390">
        <v>-340.53109999999998</v>
      </c>
      <c r="V1390">
        <v>17</v>
      </c>
      <c r="W1390">
        <v>47.12</v>
      </c>
      <c r="X1390">
        <v>87297</v>
      </c>
      <c r="Y1390">
        <f>cleaneddata[[#This Row],[Unit Price]]-cleaneddata[[#This Row],[Discount]]</f>
        <v>2.71</v>
      </c>
      <c r="Z139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91" spans="1:26" x14ac:dyDescent="0.3">
      <c r="A1391">
        <v>3338</v>
      </c>
      <c r="B1391" t="s">
        <v>2421</v>
      </c>
      <c r="C1391" t="s">
        <v>13</v>
      </c>
      <c r="D1391">
        <v>0.08</v>
      </c>
      <c r="E1391">
        <v>6.48</v>
      </c>
      <c r="F1391">
        <v>8.4</v>
      </c>
      <c r="G1391" t="s">
        <v>14</v>
      </c>
      <c r="H1391" t="s">
        <v>15</v>
      </c>
      <c r="I1391" t="s">
        <v>24</v>
      </c>
      <c r="J1391" t="s">
        <v>64</v>
      </c>
      <c r="K1391" t="s">
        <v>49</v>
      </c>
      <c r="L1391" t="s">
        <v>1919</v>
      </c>
      <c r="M1391">
        <v>0.37</v>
      </c>
      <c r="N1391" t="s">
        <v>8</v>
      </c>
      <c r="O1391" t="s">
        <v>9</v>
      </c>
      <c r="P1391" t="s">
        <v>99</v>
      </c>
      <c r="Q1391" t="s">
        <v>2422</v>
      </c>
      <c r="R1391">
        <v>33614</v>
      </c>
      <c r="S1391" s="1">
        <v>42131</v>
      </c>
      <c r="T1391" s="1">
        <v>42131</v>
      </c>
      <c r="U1391">
        <v>58.811999999999998</v>
      </c>
      <c r="V1391">
        <v>7</v>
      </c>
      <c r="W1391">
        <v>45</v>
      </c>
      <c r="X1391">
        <v>85979</v>
      </c>
      <c r="Y1391">
        <f>cleaneddata[[#This Row],[Unit Price]]-cleaneddata[[#This Row],[Discount]]</f>
        <v>6.4</v>
      </c>
      <c r="Z139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92" spans="1:26" x14ac:dyDescent="0.3">
      <c r="A1392">
        <v>1997</v>
      </c>
      <c r="B1392" t="s">
        <v>750</v>
      </c>
      <c r="C1392" t="s">
        <v>92</v>
      </c>
      <c r="D1392">
        <v>0.01</v>
      </c>
      <c r="E1392">
        <v>16.48</v>
      </c>
      <c r="F1392">
        <v>1.99</v>
      </c>
      <c r="G1392" t="s">
        <v>14</v>
      </c>
      <c r="H1392" t="s">
        <v>15</v>
      </c>
      <c r="I1392" t="s">
        <v>16</v>
      </c>
      <c r="J1392" t="s">
        <v>17</v>
      </c>
      <c r="K1392" t="s">
        <v>18</v>
      </c>
      <c r="L1392" t="s">
        <v>577</v>
      </c>
      <c r="M1392">
        <v>0.42</v>
      </c>
      <c r="N1392" t="s">
        <v>8</v>
      </c>
      <c r="O1392" t="s">
        <v>9</v>
      </c>
      <c r="P1392" t="s">
        <v>247</v>
      </c>
      <c r="Q1392" t="s">
        <v>248</v>
      </c>
      <c r="R1392">
        <v>29915</v>
      </c>
      <c r="S1392" s="1">
        <v>42131</v>
      </c>
      <c r="T1392" s="1">
        <v>42132</v>
      </c>
      <c r="U1392">
        <v>739.67399999999998</v>
      </c>
      <c r="V1392">
        <v>7</v>
      </c>
      <c r="W1392">
        <v>122.93</v>
      </c>
      <c r="X1392">
        <v>90334</v>
      </c>
      <c r="Y1392">
        <f>cleaneddata[[#This Row],[Unit Price]]-cleaneddata[[#This Row],[Discount]]</f>
        <v>16.47</v>
      </c>
      <c r="Z139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93" spans="1:26" x14ac:dyDescent="0.3">
      <c r="A1393">
        <v>3077</v>
      </c>
      <c r="B1393" t="s">
        <v>2423</v>
      </c>
      <c r="C1393" t="s">
        <v>92</v>
      </c>
      <c r="D1393">
        <v>7.0000000000000007E-2</v>
      </c>
      <c r="E1393">
        <v>300.97000000000003</v>
      </c>
      <c r="F1393">
        <v>7.18</v>
      </c>
      <c r="G1393" t="s">
        <v>14</v>
      </c>
      <c r="H1393" t="s">
        <v>3</v>
      </c>
      <c r="I1393" t="s">
        <v>16</v>
      </c>
      <c r="J1393" t="s">
        <v>17</v>
      </c>
      <c r="K1393" t="s">
        <v>49</v>
      </c>
      <c r="L1393" t="s">
        <v>2185</v>
      </c>
      <c r="M1393">
        <v>0.48</v>
      </c>
      <c r="N1393" t="s">
        <v>8</v>
      </c>
      <c r="O1393" t="s">
        <v>87</v>
      </c>
      <c r="P1393" t="s">
        <v>293</v>
      </c>
      <c r="Q1393" t="s">
        <v>2424</v>
      </c>
      <c r="R1393">
        <v>44136</v>
      </c>
      <c r="S1393" s="1">
        <v>42131</v>
      </c>
      <c r="T1393" s="1">
        <v>42133</v>
      </c>
      <c r="U1393">
        <v>-807.59</v>
      </c>
      <c r="V1393">
        <v>2</v>
      </c>
      <c r="W1393">
        <v>582.20000000000005</v>
      </c>
      <c r="X1393">
        <v>88239</v>
      </c>
      <c r="Y1393">
        <f>cleaneddata[[#This Row],[Unit Price]]-cleaneddata[[#This Row],[Discount]]</f>
        <v>300.90000000000003</v>
      </c>
      <c r="Z139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94" spans="1:26" x14ac:dyDescent="0.3">
      <c r="A1394">
        <v>3079</v>
      </c>
      <c r="B1394" t="s">
        <v>295</v>
      </c>
      <c r="C1394" t="s">
        <v>92</v>
      </c>
      <c r="D1394">
        <v>7.0000000000000007E-2</v>
      </c>
      <c r="E1394">
        <v>300.97000000000003</v>
      </c>
      <c r="F1394">
        <v>7.18</v>
      </c>
      <c r="G1394" t="s">
        <v>14</v>
      </c>
      <c r="H1394" t="s">
        <v>3</v>
      </c>
      <c r="I1394" t="s">
        <v>16</v>
      </c>
      <c r="J1394" t="s">
        <v>17</v>
      </c>
      <c r="K1394" t="s">
        <v>49</v>
      </c>
      <c r="L1394" t="s">
        <v>2185</v>
      </c>
      <c r="M1394">
        <v>0.48</v>
      </c>
      <c r="N1394" t="s">
        <v>8</v>
      </c>
      <c r="O1394" t="s">
        <v>87</v>
      </c>
      <c r="P1394" t="s">
        <v>296</v>
      </c>
      <c r="Q1394" t="s">
        <v>297</v>
      </c>
      <c r="R1394">
        <v>19112</v>
      </c>
      <c r="S1394" s="1">
        <v>42131</v>
      </c>
      <c r="T1394" s="1">
        <v>42133</v>
      </c>
      <c r="U1394">
        <v>-807.59</v>
      </c>
      <c r="V1394">
        <v>7</v>
      </c>
      <c r="W1394">
        <v>2037.69</v>
      </c>
      <c r="X1394">
        <v>41253</v>
      </c>
      <c r="Y1394">
        <f>cleaneddata[[#This Row],[Unit Price]]-cleaneddata[[#This Row],[Discount]]</f>
        <v>300.90000000000003</v>
      </c>
      <c r="Z139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95" spans="1:26" x14ac:dyDescent="0.3">
      <c r="A1395">
        <v>2187</v>
      </c>
      <c r="B1395" t="s">
        <v>2425</v>
      </c>
      <c r="C1395" t="s">
        <v>13</v>
      </c>
      <c r="D1395">
        <v>0.09</v>
      </c>
      <c r="E1395">
        <v>16.98</v>
      </c>
      <c r="F1395">
        <v>12.39</v>
      </c>
      <c r="G1395" t="s">
        <v>14</v>
      </c>
      <c r="H1395" t="s">
        <v>70</v>
      </c>
      <c r="I1395" t="s">
        <v>24</v>
      </c>
      <c r="J1395" t="s">
        <v>321</v>
      </c>
      <c r="K1395" t="s">
        <v>49</v>
      </c>
      <c r="L1395" t="s">
        <v>2426</v>
      </c>
      <c r="M1395">
        <v>0.35</v>
      </c>
      <c r="N1395" t="s">
        <v>8</v>
      </c>
      <c r="O1395" t="s">
        <v>28</v>
      </c>
      <c r="P1395" t="s">
        <v>56</v>
      </c>
      <c r="Q1395" t="s">
        <v>2427</v>
      </c>
      <c r="R1395">
        <v>64055</v>
      </c>
      <c r="S1395" s="1">
        <v>42132</v>
      </c>
      <c r="T1395" s="1">
        <v>42134</v>
      </c>
      <c r="U1395">
        <v>-48.57</v>
      </c>
      <c r="V1395">
        <v>5</v>
      </c>
      <c r="W1395">
        <v>86.8</v>
      </c>
      <c r="X1395">
        <v>89440</v>
      </c>
      <c r="Y1395">
        <f>cleaneddata[[#This Row],[Unit Price]]-cleaneddata[[#This Row],[Discount]]</f>
        <v>16.89</v>
      </c>
      <c r="Z13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396" spans="1:26" x14ac:dyDescent="0.3">
      <c r="A1396">
        <v>2189</v>
      </c>
      <c r="B1396" t="s">
        <v>2428</v>
      </c>
      <c r="C1396" t="s">
        <v>13</v>
      </c>
      <c r="D1396">
        <v>0.09</v>
      </c>
      <c r="E1396">
        <v>16.98</v>
      </c>
      <c r="F1396">
        <v>12.39</v>
      </c>
      <c r="G1396" t="s">
        <v>14</v>
      </c>
      <c r="H1396" t="s">
        <v>70</v>
      </c>
      <c r="I1396" t="s">
        <v>24</v>
      </c>
      <c r="J1396" t="s">
        <v>321</v>
      </c>
      <c r="K1396" t="s">
        <v>49</v>
      </c>
      <c r="L1396" t="s">
        <v>2426</v>
      </c>
      <c r="M1396">
        <v>0.35</v>
      </c>
      <c r="N1396" t="s">
        <v>8</v>
      </c>
      <c r="O1396" t="s">
        <v>87</v>
      </c>
      <c r="P1396" t="s">
        <v>88</v>
      </c>
      <c r="Q1396" t="s">
        <v>89</v>
      </c>
      <c r="R1396">
        <v>10177</v>
      </c>
      <c r="S1396" s="1">
        <v>42132</v>
      </c>
      <c r="T1396" s="1">
        <v>42134</v>
      </c>
      <c r="U1396">
        <v>-48.57</v>
      </c>
      <c r="V1396">
        <v>22</v>
      </c>
      <c r="W1396">
        <v>381.91</v>
      </c>
      <c r="X1396">
        <v>7364</v>
      </c>
      <c r="Y1396">
        <f>cleaneddata[[#This Row],[Unit Price]]-cleaneddata[[#This Row],[Discount]]</f>
        <v>16.89</v>
      </c>
      <c r="Z139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397" spans="1:26" x14ac:dyDescent="0.3">
      <c r="A1397">
        <v>2063</v>
      </c>
      <c r="B1397" t="s">
        <v>2429</v>
      </c>
      <c r="C1397" t="s">
        <v>23</v>
      </c>
      <c r="D1397">
        <v>0.06</v>
      </c>
      <c r="E1397">
        <v>300.97000000000003</v>
      </c>
      <c r="F1397">
        <v>7.18</v>
      </c>
      <c r="G1397" t="s">
        <v>14</v>
      </c>
      <c r="H1397" t="s">
        <v>70</v>
      </c>
      <c r="I1397" t="s">
        <v>16</v>
      </c>
      <c r="J1397" t="s">
        <v>17</v>
      </c>
      <c r="K1397" t="s">
        <v>49</v>
      </c>
      <c r="L1397" t="s">
        <v>2185</v>
      </c>
      <c r="M1397">
        <v>0.48</v>
      </c>
      <c r="N1397" t="s">
        <v>8</v>
      </c>
      <c r="O1397" t="s">
        <v>9</v>
      </c>
      <c r="P1397" t="s">
        <v>218</v>
      </c>
      <c r="Q1397" t="s">
        <v>2430</v>
      </c>
      <c r="R1397">
        <v>23602</v>
      </c>
      <c r="S1397" s="1">
        <v>42132</v>
      </c>
      <c r="T1397" s="1">
        <v>42132</v>
      </c>
      <c r="U1397">
        <v>-729.98800000000006</v>
      </c>
      <c r="V1397">
        <v>1</v>
      </c>
      <c r="W1397">
        <v>291.39999999999998</v>
      </c>
      <c r="X1397">
        <v>87147</v>
      </c>
      <c r="Y1397">
        <f>cleaneddata[[#This Row],[Unit Price]]-cleaneddata[[#This Row],[Discount]]</f>
        <v>300.91000000000003</v>
      </c>
      <c r="Z13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98" spans="1:26" x14ac:dyDescent="0.3">
      <c r="A1398">
        <v>2880</v>
      </c>
      <c r="B1398" t="s">
        <v>1879</v>
      </c>
      <c r="C1398" t="s">
        <v>23</v>
      </c>
      <c r="D1398">
        <v>0.09</v>
      </c>
      <c r="E1398">
        <v>243.98</v>
      </c>
      <c r="F1398">
        <v>43.32</v>
      </c>
      <c r="G1398" t="s">
        <v>2</v>
      </c>
      <c r="H1398" t="s">
        <v>3</v>
      </c>
      <c r="I1398" t="s">
        <v>4</v>
      </c>
      <c r="J1398" t="s">
        <v>85</v>
      </c>
      <c r="K1398" t="s">
        <v>33</v>
      </c>
      <c r="L1398" t="s">
        <v>211</v>
      </c>
      <c r="M1398">
        <v>0.55000000000000004</v>
      </c>
      <c r="N1398" t="s">
        <v>8</v>
      </c>
      <c r="O1398" t="s">
        <v>9</v>
      </c>
      <c r="P1398" t="s">
        <v>99</v>
      </c>
      <c r="Q1398" t="s">
        <v>1880</v>
      </c>
      <c r="R1398">
        <v>33160</v>
      </c>
      <c r="S1398" s="1">
        <v>42132</v>
      </c>
      <c r="T1398" s="1">
        <v>42137</v>
      </c>
      <c r="U1398">
        <v>1059.288</v>
      </c>
      <c r="V1398">
        <v>25</v>
      </c>
      <c r="W1398">
        <v>5587.89</v>
      </c>
      <c r="X1398">
        <v>88627</v>
      </c>
      <c r="Y1398">
        <f>cleaneddata[[#This Row],[Unit Price]]-cleaneddata[[#This Row],[Discount]]</f>
        <v>243.89</v>
      </c>
      <c r="Z13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399" spans="1:26" x14ac:dyDescent="0.3">
      <c r="A1399">
        <v>2991</v>
      </c>
      <c r="B1399" t="s">
        <v>2431</v>
      </c>
      <c r="C1399" t="s">
        <v>23</v>
      </c>
      <c r="D1399">
        <v>0.05</v>
      </c>
      <c r="E1399">
        <v>70.97</v>
      </c>
      <c r="F1399">
        <v>3.5</v>
      </c>
      <c r="G1399" t="s">
        <v>14</v>
      </c>
      <c r="H1399" t="s">
        <v>47</v>
      </c>
      <c r="I1399" t="s">
        <v>24</v>
      </c>
      <c r="J1399" t="s">
        <v>71</v>
      </c>
      <c r="K1399" t="s">
        <v>49</v>
      </c>
      <c r="L1399" t="s">
        <v>2153</v>
      </c>
      <c r="M1399">
        <v>0.59</v>
      </c>
      <c r="N1399" t="s">
        <v>8</v>
      </c>
      <c r="O1399" t="s">
        <v>28</v>
      </c>
      <c r="P1399" t="s">
        <v>333</v>
      </c>
      <c r="Q1399" t="s">
        <v>2432</v>
      </c>
      <c r="R1399">
        <v>53402</v>
      </c>
      <c r="S1399" s="1">
        <v>42132</v>
      </c>
      <c r="T1399" s="1">
        <v>42137</v>
      </c>
      <c r="U1399">
        <v>18.218</v>
      </c>
      <c r="V1399">
        <v>2</v>
      </c>
      <c r="W1399">
        <v>141.59</v>
      </c>
      <c r="X1399">
        <v>91466</v>
      </c>
      <c r="Y1399">
        <f>cleaneddata[[#This Row],[Unit Price]]-cleaneddata[[#This Row],[Discount]]</f>
        <v>70.92</v>
      </c>
      <c r="Z139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00" spans="1:26" x14ac:dyDescent="0.3">
      <c r="A1400">
        <v>2992</v>
      </c>
      <c r="B1400" t="s">
        <v>2433</v>
      </c>
      <c r="C1400" t="s">
        <v>23</v>
      </c>
      <c r="D1400">
        <v>0</v>
      </c>
      <c r="E1400">
        <v>5.28</v>
      </c>
      <c r="F1400">
        <v>6.26</v>
      </c>
      <c r="G1400" t="s">
        <v>14</v>
      </c>
      <c r="H1400" t="s">
        <v>47</v>
      </c>
      <c r="I1400" t="s">
        <v>24</v>
      </c>
      <c r="J1400" t="s">
        <v>64</v>
      </c>
      <c r="K1400" t="s">
        <v>49</v>
      </c>
      <c r="L1400" t="s">
        <v>2434</v>
      </c>
      <c r="M1400">
        <v>0.4</v>
      </c>
      <c r="N1400" t="s">
        <v>8</v>
      </c>
      <c r="O1400" t="s">
        <v>28</v>
      </c>
      <c r="P1400" t="s">
        <v>333</v>
      </c>
      <c r="Q1400" t="s">
        <v>2435</v>
      </c>
      <c r="R1400">
        <v>53081</v>
      </c>
      <c r="S1400" s="1">
        <v>42132</v>
      </c>
      <c r="T1400" s="1">
        <v>42139</v>
      </c>
      <c r="U1400">
        <v>25.058</v>
      </c>
      <c r="V1400">
        <v>36</v>
      </c>
      <c r="W1400">
        <v>203.05</v>
      </c>
      <c r="X1400">
        <v>91466</v>
      </c>
      <c r="Y1400">
        <f>cleaneddata[[#This Row],[Unit Price]]-cleaneddata[[#This Row],[Discount]]</f>
        <v>5.28</v>
      </c>
      <c r="Z140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01" spans="1:26" x14ac:dyDescent="0.3">
      <c r="A1401">
        <v>453</v>
      </c>
      <c r="B1401" t="s">
        <v>2436</v>
      </c>
      <c r="C1401" t="s">
        <v>46</v>
      </c>
      <c r="D1401">
        <v>0.03</v>
      </c>
      <c r="E1401">
        <v>29.34</v>
      </c>
      <c r="F1401">
        <v>7.87</v>
      </c>
      <c r="G1401" t="s">
        <v>14</v>
      </c>
      <c r="H1401" t="s">
        <v>70</v>
      </c>
      <c r="I1401" t="s">
        <v>4</v>
      </c>
      <c r="J1401" t="s">
        <v>102</v>
      </c>
      <c r="K1401" t="s">
        <v>49</v>
      </c>
      <c r="L1401" t="s">
        <v>1636</v>
      </c>
      <c r="M1401">
        <v>0.54</v>
      </c>
      <c r="N1401" t="s">
        <v>8</v>
      </c>
      <c r="O1401" t="s">
        <v>35</v>
      </c>
      <c r="P1401" t="s">
        <v>66</v>
      </c>
      <c r="Q1401" t="s">
        <v>2437</v>
      </c>
      <c r="R1401">
        <v>95032</v>
      </c>
      <c r="S1401" s="1">
        <v>42132</v>
      </c>
      <c r="T1401" s="1">
        <v>42134</v>
      </c>
      <c r="U1401">
        <v>-41.32</v>
      </c>
      <c r="V1401">
        <v>1</v>
      </c>
      <c r="W1401">
        <v>32.4</v>
      </c>
      <c r="X1401">
        <v>86011</v>
      </c>
      <c r="Y1401">
        <f>cleaneddata[[#This Row],[Unit Price]]-cleaneddata[[#This Row],[Discount]]</f>
        <v>29.31</v>
      </c>
      <c r="Z140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02" spans="1:26" x14ac:dyDescent="0.3">
      <c r="A1402">
        <v>1028</v>
      </c>
      <c r="B1402" t="s">
        <v>1888</v>
      </c>
      <c r="C1402" t="s">
        <v>46</v>
      </c>
      <c r="D1402">
        <v>0.05</v>
      </c>
      <c r="E1402">
        <v>83.1</v>
      </c>
      <c r="F1402">
        <v>6.13</v>
      </c>
      <c r="G1402" t="s">
        <v>63</v>
      </c>
      <c r="H1402" t="s">
        <v>3</v>
      </c>
      <c r="I1402" t="s">
        <v>16</v>
      </c>
      <c r="J1402" t="s">
        <v>17</v>
      </c>
      <c r="K1402" t="s">
        <v>49</v>
      </c>
      <c r="L1402" t="s">
        <v>2438</v>
      </c>
      <c r="M1402">
        <v>0.45</v>
      </c>
      <c r="N1402" t="s">
        <v>8</v>
      </c>
      <c r="O1402" t="s">
        <v>87</v>
      </c>
      <c r="P1402" t="s">
        <v>88</v>
      </c>
      <c r="Q1402" t="s">
        <v>1890</v>
      </c>
      <c r="R1402">
        <v>11725</v>
      </c>
      <c r="S1402" s="1">
        <v>42132</v>
      </c>
      <c r="T1402" s="1">
        <v>42133</v>
      </c>
      <c r="U1402">
        <v>1152.5277000000001</v>
      </c>
      <c r="V1402">
        <v>20</v>
      </c>
      <c r="W1402">
        <v>1670.33</v>
      </c>
      <c r="X1402">
        <v>89007</v>
      </c>
      <c r="Y1402">
        <f>cleaneddata[[#This Row],[Unit Price]]-cleaneddata[[#This Row],[Discount]]</f>
        <v>83.05</v>
      </c>
      <c r="Z140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03" spans="1:26" x14ac:dyDescent="0.3">
      <c r="A1403">
        <v>1080</v>
      </c>
      <c r="B1403" t="s">
        <v>2439</v>
      </c>
      <c r="C1403" t="s">
        <v>46</v>
      </c>
      <c r="D1403">
        <v>0.08</v>
      </c>
      <c r="E1403">
        <v>13.9</v>
      </c>
      <c r="F1403">
        <v>7.59</v>
      </c>
      <c r="G1403" t="s">
        <v>14</v>
      </c>
      <c r="H1403" t="s">
        <v>70</v>
      </c>
      <c r="I1403" t="s">
        <v>24</v>
      </c>
      <c r="J1403" t="s">
        <v>544</v>
      </c>
      <c r="K1403" t="s">
        <v>18</v>
      </c>
      <c r="L1403" t="s">
        <v>2440</v>
      </c>
      <c r="M1403">
        <v>0.56000000000000005</v>
      </c>
      <c r="N1403" t="s">
        <v>8</v>
      </c>
      <c r="O1403" t="s">
        <v>28</v>
      </c>
      <c r="P1403" t="s">
        <v>79</v>
      </c>
      <c r="Q1403" t="s">
        <v>2441</v>
      </c>
      <c r="R1403">
        <v>60174</v>
      </c>
      <c r="S1403" s="1">
        <v>42132</v>
      </c>
      <c r="T1403" s="1">
        <v>42133</v>
      </c>
      <c r="U1403">
        <v>9.8620000000000001</v>
      </c>
      <c r="V1403">
        <v>14</v>
      </c>
      <c r="W1403">
        <v>196.41</v>
      </c>
      <c r="X1403">
        <v>88461</v>
      </c>
      <c r="Y1403">
        <f>cleaneddata[[#This Row],[Unit Price]]-cleaneddata[[#This Row],[Discount]]</f>
        <v>13.82</v>
      </c>
      <c r="Z140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04" spans="1:26" x14ac:dyDescent="0.3">
      <c r="A1404">
        <v>2882</v>
      </c>
      <c r="B1404" t="s">
        <v>647</v>
      </c>
      <c r="C1404" t="s">
        <v>1</v>
      </c>
      <c r="D1404">
        <v>0.05</v>
      </c>
      <c r="E1404">
        <v>6.48</v>
      </c>
      <c r="F1404">
        <v>8.73</v>
      </c>
      <c r="G1404" t="s">
        <v>14</v>
      </c>
      <c r="H1404" t="s">
        <v>15</v>
      </c>
      <c r="I1404" t="s">
        <v>24</v>
      </c>
      <c r="J1404" t="s">
        <v>64</v>
      </c>
      <c r="K1404" t="s">
        <v>49</v>
      </c>
      <c r="L1404" t="s">
        <v>134</v>
      </c>
      <c r="M1404">
        <v>0.37</v>
      </c>
      <c r="N1404" t="s">
        <v>8</v>
      </c>
      <c r="O1404" t="s">
        <v>9</v>
      </c>
      <c r="P1404" t="s">
        <v>73</v>
      </c>
      <c r="Q1404" t="s">
        <v>649</v>
      </c>
      <c r="R1404">
        <v>28206</v>
      </c>
      <c r="S1404" s="1">
        <v>42133</v>
      </c>
      <c r="T1404" s="1">
        <v>42133</v>
      </c>
      <c r="U1404">
        <v>-160.38470000000001</v>
      </c>
      <c r="V1404">
        <v>35</v>
      </c>
      <c r="W1404">
        <v>232.5</v>
      </c>
      <c r="X1404">
        <v>4839</v>
      </c>
      <c r="Y1404">
        <f>cleaneddata[[#This Row],[Unit Price]]-cleaneddata[[#This Row],[Discount]]</f>
        <v>6.4300000000000006</v>
      </c>
      <c r="Z140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05" spans="1:26" x14ac:dyDescent="0.3">
      <c r="A1405">
        <v>2883</v>
      </c>
      <c r="B1405" t="s">
        <v>2442</v>
      </c>
      <c r="C1405" t="s">
        <v>1</v>
      </c>
      <c r="D1405">
        <v>0.05</v>
      </c>
      <c r="E1405">
        <v>6.48</v>
      </c>
      <c r="F1405">
        <v>8.73</v>
      </c>
      <c r="G1405" t="s">
        <v>14</v>
      </c>
      <c r="H1405" t="s">
        <v>15</v>
      </c>
      <c r="I1405" t="s">
        <v>24</v>
      </c>
      <c r="J1405" t="s">
        <v>64</v>
      </c>
      <c r="K1405" t="s">
        <v>49</v>
      </c>
      <c r="L1405" t="s">
        <v>134</v>
      </c>
      <c r="M1405">
        <v>0.37</v>
      </c>
      <c r="N1405" t="s">
        <v>8</v>
      </c>
      <c r="O1405" t="s">
        <v>87</v>
      </c>
      <c r="P1405" t="s">
        <v>293</v>
      </c>
      <c r="Q1405" t="s">
        <v>1451</v>
      </c>
      <c r="R1405">
        <v>44070</v>
      </c>
      <c r="S1405" s="1">
        <v>42133</v>
      </c>
      <c r="T1405" s="1">
        <v>42133</v>
      </c>
      <c r="U1405">
        <v>-120.59</v>
      </c>
      <c r="V1405">
        <v>9</v>
      </c>
      <c r="W1405">
        <v>59.79</v>
      </c>
      <c r="X1405">
        <v>87632</v>
      </c>
      <c r="Y1405">
        <f>cleaneddata[[#This Row],[Unit Price]]-cleaneddata[[#This Row],[Discount]]</f>
        <v>6.4300000000000006</v>
      </c>
      <c r="Z140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06" spans="1:26" x14ac:dyDescent="0.3">
      <c r="A1406">
        <v>62</v>
      </c>
      <c r="B1406" t="s">
        <v>2443</v>
      </c>
      <c r="C1406" t="s">
        <v>13</v>
      </c>
      <c r="D1406">
        <v>0.02</v>
      </c>
      <c r="E1406">
        <v>5.98</v>
      </c>
      <c r="F1406">
        <v>5.15</v>
      </c>
      <c r="G1406" t="s">
        <v>14</v>
      </c>
      <c r="H1406" t="s">
        <v>70</v>
      </c>
      <c r="I1406" t="s">
        <v>24</v>
      </c>
      <c r="J1406" t="s">
        <v>64</v>
      </c>
      <c r="K1406" t="s">
        <v>49</v>
      </c>
      <c r="L1406" t="s">
        <v>2444</v>
      </c>
      <c r="M1406">
        <v>0.36</v>
      </c>
      <c r="N1406" t="s">
        <v>8</v>
      </c>
      <c r="O1406" t="s">
        <v>28</v>
      </c>
      <c r="P1406" t="s">
        <v>163</v>
      </c>
      <c r="Q1406" t="s">
        <v>2445</v>
      </c>
      <c r="R1406">
        <v>78664</v>
      </c>
      <c r="S1406" s="1">
        <v>42133</v>
      </c>
      <c r="T1406" s="1">
        <v>42135</v>
      </c>
      <c r="U1406">
        <v>2.14</v>
      </c>
      <c r="V1406">
        <v>3</v>
      </c>
      <c r="W1406">
        <v>22.85</v>
      </c>
      <c r="X1406">
        <v>87407</v>
      </c>
      <c r="Y1406">
        <f>cleaneddata[[#This Row],[Unit Price]]-cleaneddata[[#This Row],[Discount]]</f>
        <v>5.9600000000000009</v>
      </c>
      <c r="Z14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07" spans="1:26" x14ac:dyDescent="0.3">
      <c r="A1407">
        <v>1650</v>
      </c>
      <c r="B1407" t="s">
        <v>2446</v>
      </c>
      <c r="C1407" t="s">
        <v>13</v>
      </c>
      <c r="D1407">
        <v>0.05</v>
      </c>
      <c r="E1407">
        <v>6.48</v>
      </c>
      <c r="F1407">
        <v>2.74</v>
      </c>
      <c r="G1407" t="s">
        <v>14</v>
      </c>
      <c r="H1407" t="s">
        <v>70</v>
      </c>
      <c r="I1407" t="s">
        <v>16</v>
      </c>
      <c r="J1407" t="s">
        <v>17</v>
      </c>
      <c r="K1407" t="s">
        <v>18</v>
      </c>
      <c r="L1407" t="s">
        <v>2447</v>
      </c>
      <c r="M1407">
        <v>0.71</v>
      </c>
      <c r="N1407" t="s">
        <v>8</v>
      </c>
      <c r="O1407" t="s">
        <v>9</v>
      </c>
      <c r="P1407" t="s">
        <v>73</v>
      </c>
      <c r="Q1407" t="s">
        <v>2448</v>
      </c>
      <c r="R1407">
        <v>27203</v>
      </c>
      <c r="S1407" s="1">
        <v>42133</v>
      </c>
      <c r="T1407" s="1">
        <v>42133</v>
      </c>
      <c r="U1407">
        <v>15.096</v>
      </c>
      <c r="V1407">
        <v>15</v>
      </c>
      <c r="W1407">
        <v>94.27</v>
      </c>
      <c r="X1407">
        <v>91042</v>
      </c>
      <c r="Y1407">
        <f>cleaneddata[[#This Row],[Unit Price]]-cleaneddata[[#This Row],[Discount]]</f>
        <v>6.4300000000000006</v>
      </c>
      <c r="Z14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08" spans="1:26" x14ac:dyDescent="0.3">
      <c r="A1408">
        <v>1650</v>
      </c>
      <c r="B1408" t="s">
        <v>2446</v>
      </c>
      <c r="C1408" t="s">
        <v>13</v>
      </c>
      <c r="D1408">
        <v>0.09</v>
      </c>
      <c r="E1408">
        <v>12.53</v>
      </c>
      <c r="F1408">
        <v>0.5</v>
      </c>
      <c r="G1408" t="s">
        <v>14</v>
      </c>
      <c r="H1408" t="s">
        <v>70</v>
      </c>
      <c r="I1408" t="s">
        <v>24</v>
      </c>
      <c r="J1408" t="s">
        <v>128</v>
      </c>
      <c r="K1408" t="s">
        <v>49</v>
      </c>
      <c r="L1408" t="s">
        <v>2043</v>
      </c>
      <c r="M1408">
        <v>0.38</v>
      </c>
      <c r="N1408" t="s">
        <v>8</v>
      </c>
      <c r="O1408" t="s">
        <v>9</v>
      </c>
      <c r="P1408" t="s">
        <v>73</v>
      </c>
      <c r="Q1408" t="s">
        <v>2448</v>
      </c>
      <c r="R1408">
        <v>27203</v>
      </c>
      <c r="S1408" s="1">
        <v>42133</v>
      </c>
      <c r="T1408" s="1">
        <v>42134</v>
      </c>
      <c r="U1408">
        <v>14.9124</v>
      </c>
      <c r="V1408">
        <v>7</v>
      </c>
      <c r="W1408">
        <v>82.21</v>
      </c>
      <c r="X1408">
        <v>91042</v>
      </c>
      <c r="Y1408">
        <f>cleaneddata[[#This Row],[Unit Price]]-cleaneddata[[#This Row],[Discount]]</f>
        <v>12.44</v>
      </c>
      <c r="Z14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09" spans="1:26" x14ac:dyDescent="0.3">
      <c r="A1409">
        <v>1650</v>
      </c>
      <c r="B1409" t="s">
        <v>2446</v>
      </c>
      <c r="C1409" t="s">
        <v>13</v>
      </c>
      <c r="D1409">
        <v>0.08</v>
      </c>
      <c r="E1409">
        <v>65.989999999999995</v>
      </c>
      <c r="F1409">
        <v>8.99</v>
      </c>
      <c r="G1409" t="s">
        <v>63</v>
      </c>
      <c r="H1409" t="s">
        <v>70</v>
      </c>
      <c r="I1409" t="s">
        <v>16</v>
      </c>
      <c r="J1409" t="s">
        <v>111</v>
      </c>
      <c r="K1409" t="s">
        <v>49</v>
      </c>
      <c r="L1409" t="s">
        <v>1588</v>
      </c>
      <c r="M1409">
        <v>0.55000000000000004</v>
      </c>
      <c r="N1409" t="s">
        <v>8</v>
      </c>
      <c r="O1409" t="s">
        <v>9</v>
      </c>
      <c r="P1409" t="s">
        <v>73</v>
      </c>
      <c r="Q1409" t="s">
        <v>2448</v>
      </c>
      <c r="R1409">
        <v>27203</v>
      </c>
      <c r="S1409" s="1">
        <v>42133</v>
      </c>
      <c r="T1409" s="1">
        <v>42135</v>
      </c>
      <c r="U1409">
        <v>-135.226</v>
      </c>
      <c r="V1409">
        <v>8</v>
      </c>
      <c r="W1409">
        <v>417.47</v>
      </c>
      <c r="X1409">
        <v>91042</v>
      </c>
      <c r="Y1409">
        <f>cleaneddata[[#This Row],[Unit Price]]-cleaneddata[[#This Row],[Discount]]</f>
        <v>65.91</v>
      </c>
      <c r="Z140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10" spans="1:26" x14ac:dyDescent="0.3">
      <c r="A1410">
        <v>43</v>
      </c>
      <c r="B1410" t="s">
        <v>2449</v>
      </c>
      <c r="C1410" t="s">
        <v>13</v>
      </c>
      <c r="D1410">
        <v>0</v>
      </c>
      <c r="E1410">
        <v>99.99</v>
      </c>
      <c r="F1410">
        <v>19.989999999999998</v>
      </c>
      <c r="G1410" t="s">
        <v>14</v>
      </c>
      <c r="H1410" t="s">
        <v>15</v>
      </c>
      <c r="I1410" t="s">
        <v>16</v>
      </c>
      <c r="J1410" t="s">
        <v>32</v>
      </c>
      <c r="K1410" t="s">
        <v>49</v>
      </c>
      <c r="L1410" t="s">
        <v>1538</v>
      </c>
      <c r="M1410">
        <v>0.52</v>
      </c>
      <c r="N1410" t="s">
        <v>8</v>
      </c>
      <c r="O1410" t="s">
        <v>35</v>
      </c>
      <c r="P1410" t="s">
        <v>42</v>
      </c>
      <c r="Q1410" t="s">
        <v>818</v>
      </c>
      <c r="R1410">
        <v>98052</v>
      </c>
      <c r="S1410" s="1">
        <v>42134</v>
      </c>
      <c r="T1410" s="1">
        <v>42135</v>
      </c>
      <c r="U1410">
        <v>25.913820000000001</v>
      </c>
      <c r="V1410">
        <v>6</v>
      </c>
      <c r="W1410">
        <v>647.07000000000005</v>
      </c>
      <c r="X1410">
        <v>91454</v>
      </c>
      <c r="Y1410">
        <f>cleaneddata[[#This Row],[Unit Price]]-cleaneddata[[#This Row],[Discount]]</f>
        <v>99.99</v>
      </c>
      <c r="Z141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11" spans="1:26" x14ac:dyDescent="0.3">
      <c r="A1411">
        <v>1778</v>
      </c>
      <c r="B1411" t="s">
        <v>2450</v>
      </c>
      <c r="C1411" t="s">
        <v>13</v>
      </c>
      <c r="D1411">
        <v>0.06</v>
      </c>
      <c r="E1411">
        <v>13.99</v>
      </c>
      <c r="F1411">
        <v>7.51</v>
      </c>
      <c r="G1411" t="s">
        <v>14</v>
      </c>
      <c r="H1411" t="s">
        <v>15</v>
      </c>
      <c r="I1411" t="s">
        <v>16</v>
      </c>
      <c r="J1411" t="s">
        <v>32</v>
      </c>
      <c r="K1411" t="s">
        <v>120</v>
      </c>
      <c r="L1411" t="s">
        <v>1052</v>
      </c>
      <c r="M1411">
        <v>0.39</v>
      </c>
      <c r="N1411" t="s">
        <v>8</v>
      </c>
      <c r="O1411" t="s">
        <v>28</v>
      </c>
      <c r="P1411" t="s">
        <v>29</v>
      </c>
      <c r="Q1411" t="s">
        <v>2451</v>
      </c>
      <c r="R1411">
        <v>47906</v>
      </c>
      <c r="S1411" s="1">
        <v>42134</v>
      </c>
      <c r="T1411" s="1">
        <v>42136</v>
      </c>
      <c r="U1411">
        <v>6.4832400000000003</v>
      </c>
      <c r="V1411">
        <v>21</v>
      </c>
      <c r="W1411">
        <v>287.99</v>
      </c>
      <c r="X1411">
        <v>89943</v>
      </c>
      <c r="Y1411">
        <f>cleaneddata[[#This Row],[Unit Price]]-cleaneddata[[#This Row],[Discount]]</f>
        <v>13.93</v>
      </c>
      <c r="Z141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12" spans="1:26" x14ac:dyDescent="0.3">
      <c r="A1412">
        <v>1778</v>
      </c>
      <c r="B1412" t="s">
        <v>2450</v>
      </c>
      <c r="C1412" t="s">
        <v>13</v>
      </c>
      <c r="D1412">
        <v>0.06</v>
      </c>
      <c r="E1412">
        <v>15.04</v>
      </c>
      <c r="F1412">
        <v>1.97</v>
      </c>
      <c r="G1412" t="s">
        <v>14</v>
      </c>
      <c r="H1412" t="s">
        <v>15</v>
      </c>
      <c r="I1412" t="s">
        <v>24</v>
      </c>
      <c r="J1412" t="s">
        <v>64</v>
      </c>
      <c r="K1412" t="s">
        <v>26</v>
      </c>
      <c r="L1412" t="s">
        <v>68</v>
      </c>
      <c r="M1412">
        <v>0.39</v>
      </c>
      <c r="N1412" t="s">
        <v>8</v>
      </c>
      <c r="O1412" t="s">
        <v>28</v>
      </c>
      <c r="P1412" t="s">
        <v>29</v>
      </c>
      <c r="Q1412" t="s">
        <v>2451</v>
      </c>
      <c r="R1412">
        <v>47906</v>
      </c>
      <c r="S1412" s="1">
        <v>42134</v>
      </c>
      <c r="T1412" s="1">
        <v>42134</v>
      </c>
      <c r="U1412">
        <v>2.3319999999999999</v>
      </c>
      <c r="V1412">
        <v>3</v>
      </c>
      <c r="W1412">
        <v>46.86</v>
      </c>
      <c r="X1412">
        <v>89943</v>
      </c>
      <c r="Y1412">
        <f>cleaneddata[[#This Row],[Unit Price]]-cleaneddata[[#This Row],[Discount]]</f>
        <v>14.979999999999999</v>
      </c>
      <c r="Z141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13" spans="1:26" x14ac:dyDescent="0.3">
      <c r="A1413">
        <v>3283</v>
      </c>
      <c r="B1413" t="s">
        <v>2220</v>
      </c>
      <c r="C1413" t="s">
        <v>13</v>
      </c>
      <c r="D1413">
        <v>0.03</v>
      </c>
      <c r="E1413">
        <v>17.48</v>
      </c>
      <c r="F1413">
        <v>1.99</v>
      </c>
      <c r="G1413" t="s">
        <v>14</v>
      </c>
      <c r="H1413" t="s">
        <v>70</v>
      </c>
      <c r="I1413" t="s">
        <v>16</v>
      </c>
      <c r="J1413" t="s">
        <v>17</v>
      </c>
      <c r="K1413" t="s">
        <v>18</v>
      </c>
      <c r="L1413" t="s">
        <v>98</v>
      </c>
      <c r="M1413">
        <v>0.45</v>
      </c>
      <c r="N1413" t="s">
        <v>8</v>
      </c>
      <c r="O1413" t="s">
        <v>9</v>
      </c>
      <c r="P1413" t="s">
        <v>99</v>
      </c>
      <c r="Q1413" t="s">
        <v>2221</v>
      </c>
      <c r="R1413">
        <v>33156</v>
      </c>
      <c r="S1413" s="1">
        <v>42134</v>
      </c>
      <c r="T1413" s="1">
        <v>42135</v>
      </c>
      <c r="U1413">
        <v>710.80740000000003</v>
      </c>
      <c r="V1413">
        <v>31</v>
      </c>
      <c r="W1413">
        <v>537.79999999999995</v>
      </c>
      <c r="X1413">
        <v>90753</v>
      </c>
      <c r="Y1413">
        <f>cleaneddata[[#This Row],[Unit Price]]-cleaneddata[[#This Row],[Discount]]</f>
        <v>17.45</v>
      </c>
      <c r="Z141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14" spans="1:26" x14ac:dyDescent="0.3">
      <c r="A1414">
        <v>995</v>
      </c>
      <c r="B1414" t="s">
        <v>2452</v>
      </c>
      <c r="C1414" t="s">
        <v>23</v>
      </c>
      <c r="D1414">
        <v>0.09</v>
      </c>
      <c r="E1414">
        <v>7.64</v>
      </c>
      <c r="F1414">
        <v>5.83</v>
      </c>
      <c r="G1414" t="s">
        <v>14</v>
      </c>
      <c r="H1414" t="s">
        <v>3</v>
      </c>
      <c r="I1414" t="s">
        <v>24</v>
      </c>
      <c r="J1414" t="s">
        <v>64</v>
      </c>
      <c r="K1414" t="s">
        <v>26</v>
      </c>
      <c r="L1414" t="s">
        <v>208</v>
      </c>
      <c r="M1414">
        <v>0.36</v>
      </c>
      <c r="N1414" t="s">
        <v>8</v>
      </c>
      <c r="O1414" t="s">
        <v>87</v>
      </c>
      <c r="P1414" t="s">
        <v>307</v>
      </c>
      <c r="Q1414" t="s">
        <v>2453</v>
      </c>
      <c r="R1414">
        <v>4070</v>
      </c>
      <c r="S1414" s="1">
        <v>42134</v>
      </c>
      <c r="T1414" s="1">
        <v>42139</v>
      </c>
      <c r="U1414">
        <v>4.032</v>
      </c>
      <c r="V1414">
        <v>9</v>
      </c>
      <c r="W1414">
        <v>72.83</v>
      </c>
      <c r="X1414">
        <v>89434</v>
      </c>
      <c r="Y1414">
        <f>cleaneddata[[#This Row],[Unit Price]]-cleaneddata[[#This Row],[Discount]]</f>
        <v>7.55</v>
      </c>
      <c r="Z14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15" spans="1:26" x14ac:dyDescent="0.3">
      <c r="A1415">
        <v>2820</v>
      </c>
      <c r="B1415" t="s">
        <v>471</v>
      </c>
      <c r="C1415" t="s">
        <v>23</v>
      </c>
      <c r="D1415">
        <v>0.08</v>
      </c>
      <c r="E1415">
        <v>6.48</v>
      </c>
      <c r="F1415">
        <v>2.74</v>
      </c>
      <c r="G1415" t="s">
        <v>14</v>
      </c>
      <c r="H1415" t="s">
        <v>47</v>
      </c>
      <c r="I1415" t="s">
        <v>16</v>
      </c>
      <c r="J1415" t="s">
        <v>17</v>
      </c>
      <c r="K1415" t="s">
        <v>18</v>
      </c>
      <c r="L1415" t="s">
        <v>2447</v>
      </c>
      <c r="M1415">
        <v>0.71</v>
      </c>
      <c r="N1415" t="s">
        <v>8</v>
      </c>
      <c r="O1415" t="s">
        <v>28</v>
      </c>
      <c r="P1415" t="s">
        <v>56</v>
      </c>
      <c r="Q1415" t="s">
        <v>473</v>
      </c>
      <c r="R1415">
        <v>63129</v>
      </c>
      <c r="S1415" s="1">
        <v>42134</v>
      </c>
      <c r="T1415" s="1">
        <v>42136</v>
      </c>
      <c r="U1415">
        <v>-82.64</v>
      </c>
      <c r="V1415">
        <v>18</v>
      </c>
      <c r="W1415">
        <v>113.68</v>
      </c>
      <c r="X1415">
        <v>87899</v>
      </c>
      <c r="Y1415">
        <f>cleaneddata[[#This Row],[Unit Price]]-cleaneddata[[#This Row],[Discount]]</f>
        <v>6.4</v>
      </c>
      <c r="Z14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16" spans="1:26" x14ac:dyDescent="0.3">
      <c r="A1416">
        <v>1709</v>
      </c>
      <c r="B1416" t="s">
        <v>660</v>
      </c>
      <c r="C1416" t="s">
        <v>92</v>
      </c>
      <c r="D1416">
        <v>0.04</v>
      </c>
      <c r="E1416">
        <v>95.43</v>
      </c>
      <c r="F1416">
        <v>19.989999999999998</v>
      </c>
      <c r="G1416" t="s">
        <v>14</v>
      </c>
      <c r="H1416" t="s">
        <v>3</v>
      </c>
      <c r="I1416" t="s">
        <v>24</v>
      </c>
      <c r="J1416" t="s">
        <v>54</v>
      </c>
      <c r="K1416" t="s">
        <v>49</v>
      </c>
      <c r="L1416" t="s">
        <v>1413</v>
      </c>
      <c r="M1416">
        <v>0.79</v>
      </c>
      <c r="N1416" t="s">
        <v>8</v>
      </c>
      <c r="O1416" t="s">
        <v>87</v>
      </c>
      <c r="P1416" t="s">
        <v>296</v>
      </c>
      <c r="Q1416" t="s">
        <v>662</v>
      </c>
      <c r="R1416">
        <v>19464</v>
      </c>
      <c r="S1416" s="1">
        <v>42134</v>
      </c>
      <c r="T1416" s="1">
        <v>42136</v>
      </c>
      <c r="U1416">
        <v>13.536</v>
      </c>
      <c r="V1416">
        <v>33</v>
      </c>
      <c r="W1416">
        <v>3251.76</v>
      </c>
      <c r="X1416">
        <v>88783</v>
      </c>
      <c r="Y1416">
        <f>cleaneddata[[#This Row],[Unit Price]]-cleaneddata[[#This Row],[Discount]]</f>
        <v>95.39</v>
      </c>
      <c r="Z141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17" spans="1:26" x14ac:dyDescent="0.3">
      <c r="A1417">
        <v>1595</v>
      </c>
      <c r="B1417" t="s">
        <v>2454</v>
      </c>
      <c r="C1417" t="s">
        <v>13</v>
      </c>
      <c r="D1417">
        <v>0.01</v>
      </c>
      <c r="E1417">
        <v>500.98</v>
      </c>
      <c r="F1417">
        <v>26</v>
      </c>
      <c r="G1417" t="s">
        <v>2</v>
      </c>
      <c r="H1417" t="s">
        <v>70</v>
      </c>
      <c r="I1417" t="s">
        <v>4</v>
      </c>
      <c r="J1417" t="s">
        <v>85</v>
      </c>
      <c r="K1417" t="s">
        <v>33</v>
      </c>
      <c r="L1417" t="s">
        <v>2272</v>
      </c>
      <c r="M1417">
        <v>0.6</v>
      </c>
      <c r="N1417" t="s">
        <v>8</v>
      </c>
      <c r="O1417" t="s">
        <v>87</v>
      </c>
      <c r="P1417" t="s">
        <v>879</v>
      </c>
      <c r="Q1417" t="s">
        <v>2455</v>
      </c>
      <c r="R1417">
        <v>25705</v>
      </c>
      <c r="S1417" s="1">
        <v>42135</v>
      </c>
      <c r="T1417" s="1">
        <v>42136</v>
      </c>
      <c r="U1417">
        <v>5078.5379999999996</v>
      </c>
      <c r="V1417">
        <v>14</v>
      </c>
      <c r="W1417">
        <v>7360.2</v>
      </c>
      <c r="X1417">
        <v>90796</v>
      </c>
      <c r="Y1417">
        <f>cleaneddata[[#This Row],[Unit Price]]-cleaneddata[[#This Row],[Discount]]</f>
        <v>500.97</v>
      </c>
      <c r="Z141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18" spans="1:26" x14ac:dyDescent="0.3">
      <c r="A1418">
        <v>1595</v>
      </c>
      <c r="B1418" t="s">
        <v>2454</v>
      </c>
      <c r="C1418" t="s">
        <v>13</v>
      </c>
      <c r="D1418">
        <v>0.08</v>
      </c>
      <c r="E1418">
        <v>9.77</v>
      </c>
      <c r="F1418">
        <v>6.02</v>
      </c>
      <c r="G1418" t="s">
        <v>14</v>
      </c>
      <c r="H1418" t="s">
        <v>70</v>
      </c>
      <c r="I1418" t="s">
        <v>4</v>
      </c>
      <c r="J1418" t="s">
        <v>102</v>
      </c>
      <c r="K1418" t="s">
        <v>120</v>
      </c>
      <c r="L1418" t="s">
        <v>2095</v>
      </c>
      <c r="M1418">
        <v>0.48</v>
      </c>
      <c r="N1418" t="s">
        <v>8</v>
      </c>
      <c r="O1418" t="s">
        <v>87</v>
      </c>
      <c r="P1418" t="s">
        <v>879</v>
      </c>
      <c r="Q1418" t="s">
        <v>2455</v>
      </c>
      <c r="R1418">
        <v>25705</v>
      </c>
      <c r="S1418" s="1">
        <v>42135</v>
      </c>
      <c r="T1418" s="1">
        <v>42136</v>
      </c>
      <c r="U1418">
        <v>23.276</v>
      </c>
      <c r="V1418">
        <v>9</v>
      </c>
      <c r="W1418">
        <v>89.06</v>
      </c>
      <c r="X1418">
        <v>90796</v>
      </c>
      <c r="Y1418">
        <f>cleaneddata[[#This Row],[Unit Price]]-cleaneddata[[#This Row],[Discount]]</f>
        <v>9.69</v>
      </c>
      <c r="Z14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19" spans="1:26" x14ac:dyDescent="0.3">
      <c r="A1419">
        <v>1595</v>
      </c>
      <c r="B1419" t="s">
        <v>2454</v>
      </c>
      <c r="C1419" t="s">
        <v>13</v>
      </c>
      <c r="D1419">
        <v>0.09</v>
      </c>
      <c r="E1419">
        <v>3.28</v>
      </c>
      <c r="F1419">
        <v>0.98</v>
      </c>
      <c r="G1419" t="s">
        <v>14</v>
      </c>
      <c r="H1419" t="s">
        <v>70</v>
      </c>
      <c r="I1419" t="s">
        <v>24</v>
      </c>
      <c r="J1419" t="s">
        <v>25</v>
      </c>
      <c r="K1419" t="s">
        <v>26</v>
      </c>
      <c r="L1419" t="s">
        <v>2456</v>
      </c>
      <c r="M1419">
        <v>0.59</v>
      </c>
      <c r="N1419" t="s">
        <v>8</v>
      </c>
      <c r="O1419" t="s">
        <v>87</v>
      </c>
      <c r="P1419" t="s">
        <v>879</v>
      </c>
      <c r="Q1419" t="s">
        <v>2455</v>
      </c>
      <c r="R1419">
        <v>25705</v>
      </c>
      <c r="S1419" s="1">
        <v>42135</v>
      </c>
      <c r="T1419" s="1">
        <v>42137</v>
      </c>
      <c r="U1419">
        <v>17.754000000000001</v>
      </c>
      <c r="V1419">
        <v>42</v>
      </c>
      <c r="W1419">
        <v>134.97</v>
      </c>
      <c r="X1419">
        <v>90796</v>
      </c>
      <c r="Y1419">
        <f>cleaneddata[[#This Row],[Unit Price]]-cleaneddata[[#This Row],[Discount]]</f>
        <v>3.19</v>
      </c>
      <c r="Z14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20" spans="1:26" x14ac:dyDescent="0.3">
      <c r="A1420">
        <v>1609</v>
      </c>
      <c r="B1420" t="s">
        <v>2457</v>
      </c>
      <c r="C1420" t="s">
        <v>13</v>
      </c>
      <c r="D1420">
        <v>0.03</v>
      </c>
      <c r="E1420">
        <v>2.16</v>
      </c>
      <c r="F1420">
        <v>6.05</v>
      </c>
      <c r="G1420" t="s">
        <v>14</v>
      </c>
      <c r="H1420" t="s">
        <v>15</v>
      </c>
      <c r="I1420" t="s">
        <v>24</v>
      </c>
      <c r="J1420" t="s">
        <v>48</v>
      </c>
      <c r="K1420" t="s">
        <v>49</v>
      </c>
      <c r="L1420" t="s">
        <v>872</v>
      </c>
      <c r="M1420">
        <v>0.37</v>
      </c>
      <c r="N1420" t="s">
        <v>8</v>
      </c>
      <c r="O1420" t="s">
        <v>35</v>
      </c>
      <c r="P1420" t="s">
        <v>66</v>
      </c>
      <c r="Q1420" t="s">
        <v>2458</v>
      </c>
      <c r="R1420">
        <v>95823</v>
      </c>
      <c r="S1420" s="1">
        <v>42135</v>
      </c>
      <c r="T1420" s="1">
        <v>42136</v>
      </c>
      <c r="U1420">
        <v>-90.585499999999996</v>
      </c>
      <c r="V1420">
        <v>7</v>
      </c>
      <c r="W1420">
        <v>17.309999999999999</v>
      </c>
      <c r="X1420">
        <v>87824</v>
      </c>
      <c r="Y1420">
        <f>cleaneddata[[#This Row],[Unit Price]]-cleaneddata[[#This Row],[Discount]]</f>
        <v>2.1300000000000003</v>
      </c>
      <c r="Z142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21" spans="1:26" x14ac:dyDescent="0.3">
      <c r="A1421">
        <v>1609</v>
      </c>
      <c r="B1421" t="s">
        <v>2457</v>
      </c>
      <c r="C1421" t="s">
        <v>13</v>
      </c>
      <c r="D1421">
        <v>0.03</v>
      </c>
      <c r="E1421">
        <v>9.7100000000000009</v>
      </c>
      <c r="F1421">
        <v>9.4499999999999993</v>
      </c>
      <c r="G1421" t="s">
        <v>14</v>
      </c>
      <c r="H1421" t="s">
        <v>15</v>
      </c>
      <c r="I1421" t="s">
        <v>24</v>
      </c>
      <c r="J1421" t="s">
        <v>54</v>
      </c>
      <c r="K1421" t="s">
        <v>49</v>
      </c>
      <c r="L1421" t="s">
        <v>1179</v>
      </c>
      <c r="M1421">
        <v>0.6</v>
      </c>
      <c r="N1421" t="s">
        <v>8</v>
      </c>
      <c r="O1421" t="s">
        <v>35</v>
      </c>
      <c r="P1421" t="s">
        <v>66</v>
      </c>
      <c r="Q1421" t="s">
        <v>2458</v>
      </c>
      <c r="R1421">
        <v>95823</v>
      </c>
      <c r="S1421" s="1">
        <v>42135</v>
      </c>
      <c r="T1421" s="1">
        <v>42135</v>
      </c>
      <c r="U1421">
        <v>-36.9</v>
      </c>
      <c r="V1421">
        <v>2</v>
      </c>
      <c r="W1421">
        <v>23.56</v>
      </c>
      <c r="X1421">
        <v>87824</v>
      </c>
      <c r="Y1421">
        <f>cleaneddata[[#This Row],[Unit Price]]-cleaneddata[[#This Row],[Discount]]</f>
        <v>9.6800000000000015</v>
      </c>
      <c r="Z142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22" spans="1:26" x14ac:dyDescent="0.3">
      <c r="A1422">
        <v>2464</v>
      </c>
      <c r="B1422" t="s">
        <v>631</v>
      </c>
      <c r="C1422" t="s">
        <v>13</v>
      </c>
      <c r="D1422">
        <v>0.09</v>
      </c>
      <c r="E1422">
        <v>1.74</v>
      </c>
      <c r="F1422">
        <v>4.08</v>
      </c>
      <c r="G1422" t="s">
        <v>63</v>
      </c>
      <c r="H1422" t="s">
        <v>15</v>
      </c>
      <c r="I1422" t="s">
        <v>4</v>
      </c>
      <c r="J1422" t="s">
        <v>102</v>
      </c>
      <c r="K1422" t="s">
        <v>18</v>
      </c>
      <c r="L1422" t="s">
        <v>746</v>
      </c>
      <c r="M1422">
        <v>0.53</v>
      </c>
      <c r="N1422" t="s">
        <v>8</v>
      </c>
      <c r="O1422" t="s">
        <v>9</v>
      </c>
      <c r="P1422" t="s">
        <v>144</v>
      </c>
      <c r="Q1422" t="s">
        <v>633</v>
      </c>
      <c r="R1422">
        <v>71111</v>
      </c>
      <c r="S1422" s="1">
        <v>42135</v>
      </c>
      <c r="T1422" s="1">
        <v>42137</v>
      </c>
      <c r="U1422">
        <v>608.26199999999994</v>
      </c>
      <c r="V1422">
        <v>4</v>
      </c>
      <c r="W1422">
        <v>10.41</v>
      </c>
      <c r="X1422">
        <v>88713</v>
      </c>
      <c r="Y1422">
        <f>cleaneddata[[#This Row],[Unit Price]]-cleaneddata[[#This Row],[Discount]]</f>
        <v>1.65</v>
      </c>
      <c r="Z142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23" spans="1:26" x14ac:dyDescent="0.3">
      <c r="A1423">
        <v>2464</v>
      </c>
      <c r="B1423" t="s">
        <v>631</v>
      </c>
      <c r="C1423" t="s">
        <v>13</v>
      </c>
      <c r="D1423">
        <v>0.08</v>
      </c>
      <c r="E1423">
        <v>227.55</v>
      </c>
      <c r="F1423">
        <v>32.479999999999997</v>
      </c>
      <c r="G1423" t="s">
        <v>2</v>
      </c>
      <c r="H1423" t="s">
        <v>15</v>
      </c>
      <c r="I1423" t="s">
        <v>4</v>
      </c>
      <c r="J1423" t="s">
        <v>5</v>
      </c>
      <c r="K1423" t="s">
        <v>6</v>
      </c>
      <c r="L1423" t="s">
        <v>2459</v>
      </c>
      <c r="M1423">
        <v>0.68</v>
      </c>
      <c r="N1423" t="s">
        <v>8</v>
      </c>
      <c r="O1423" t="s">
        <v>9</v>
      </c>
      <c r="P1423" t="s">
        <v>144</v>
      </c>
      <c r="Q1423" t="s">
        <v>633</v>
      </c>
      <c r="R1423">
        <v>71111</v>
      </c>
      <c r="S1423" s="1">
        <v>42135</v>
      </c>
      <c r="T1423" s="1">
        <v>42135</v>
      </c>
      <c r="U1423">
        <v>-570.16959999999995</v>
      </c>
      <c r="V1423">
        <v>16</v>
      </c>
      <c r="W1423">
        <v>2849.64</v>
      </c>
      <c r="X1423">
        <v>88713</v>
      </c>
      <c r="Y1423">
        <f>cleaneddata[[#This Row],[Unit Price]]-cleaneddata[[#This Row],[Discount]]</f>
        <v>227.47</v>
      </c>
      <c r="Z14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24" spans="1:26" x14ac:dyDescent="0.3">
      <c r="A1424">
        <v>1693</v>
      </c>
      <c r="B1424" t="s">
        <v>714</v>
      </c>
      <c r="C1424" t="s">
        <v>23</v>
      </c>
      <c r="D1424">
        <v>0.01</v>
      </c>
      <c r="E1424">
        <v>15.67</v>
      </c>
      <c r="F1424">
        <v>1.39</v>
      </c>
      <c r="G1424" t="s">
        <v>63</v>
      </c>
      <c r="H1424" t="s">
        <v>15</v>
      </c>
      <c r="I1424" t="s">
        <v>24</v>
      </c>
      <c r="J1424" t="s">
        <v>321</v>
      </c>
      <c r="K1424" t="s">
        <v>49</v>
      </c>
      <c r="L1424" t="s">
        <v>2460</v>
      </c>
      <c r="M1424">
        <v>0.38</v>
      </c>
      <c r="N1424" t="s">
        <v>8</v>
      </c>
      <c r="O1424" t="s">
        <v>9</v>
      </c>
      <c r="P1424" t="s">
        <v>218</v>
      </c>
      <c r="Q1424" t="s">
        <v>716</v>
      </c>
      <c r="R1424">
        <v>20190</v>
      </c>
      <c r="S1424" s="1">
        <v>42135</v>
      </c>
      <c r="T1424" s="1">
        <v>42135</v>
      </c>
      <c r="U1424">
        <v>-273.98</v>
      </c>
      <c r="V1424">
        <v>11</v>
      </c>
      <c r="W1424">
        <v>188.09</v>
      </c>
      <c r="X1424">
        <v>90190</v>
      </c>
      <c r="Y1424">
        <f>cleaneddata[[#This Row],[Unit Price]]-cleaneddata[[#This Row],[Discount]]</f>
        <v>15.66</v>
      </c>
      <c r="Z142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25" spans="1:26" x14ac:dyDescent="0.3">
      <c r="A1425">
        <v>2935</v>
      </c>
      <c r="B1425" t="s">
        <v>2461</v>
      </c>
      <c r="C1425" t="s">
        <v>23</v>
      </c>
      <c r="D1425">
        <v>0.02</v>
      </c>
      <c r="E1425">
        <v>3.8</v>
      </c>
      <c r="F1425">
        <v>1.49</v>
      </c>
      <c r="G1425" t="s">
        <v>14</v>
      </c>
      <c r="H1425" t="s">
        <v>3</v>
      </c>
      <c r="I1425" t="s">
        <v>24</v>
      </c>
      <c r="J1425" t="s">
        <v>48</v>
      </c>
      <c r="K1425" t="s">
        <v>49</v>
      </c>
      <c r="L1425" t="s">
        <v>1168</v>
      </c>
      <c r="M1425">
        <v>0.38</v>
      </c>
      <c r="N1425" t="s">
        <v>8</v>
      </c>
      <c r="O1425" t="s">
        <v>87</v>
      </c>
      <c r="P1425" t="s">
        <v>379</v>
      </c>
      <c r="Q1425" t="s">
        <v>764</v>
      </c>
      <c r="R1425">
        <v>2215</v>
      </c>
      <c r="S1425" s="1">
        <v>42135</v>
      </c>
      <c r="T1425" s="1">
        <v>42139</v>
      </c>
      <c r="U1425">
        <v>7.31</v>
      </c>
      <c r="V1425">
        <v>5</v>
      </c>
      <c r="W1425">
        <v>20.46</v>
      </c>
      <c r="X1425">
        <v>87617</v>
      </c>
      <c r="Y1425">
        <f>cleaneddata[[#This Row],[Unit Price]]-cleaneddata[[#This Row],[Discount]]</f>
        <v>3.78</v>
      </c>
      <c r="Z142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26" spans="1:26" x14ac:dyDescent="0.3">
      <c r="A1426">
        <v>1671</v>
      </c>
      <c r="B1426" t="s">
        <v>1042</v>
      </c>
      <c r="C1426" t="s">
        <v>1</v>
      </c>
      <c r="D1426">
        <v>0.03</v>
      </c>
      <c r="E1426">
        <v>223.98</v>
      </c>
      <c r="F1426">
        <v>15.01</v>
      </c>
      <c r="G1426" t="s">
        <v>14</v>
      </c>
      <c r="H1426" t="s">
        <v>3</v>
      </c>
      <c r="I1426" t="s">
        <v>24</v>
      </c>
      <c r="J1426" t="s">
        <v>48</v>
      </c>
      <c r="K1426" t="s">
        <v>49</v>
      </c>
      <c r="L1426" t="s">
        <v>2462</v>
      </c>
      <c r="M1426">
        <v>0.38</v>
      </c>
      <c r="N1426" t="s">
        <v>8</v>
      </c>
      <c r="O1426" t="s">
        <v>9</v>
      </c>
      <c r="P1426" t="s">
        <v>218</v>
      </c>
      <c r="Q1426" t="s">
        <v>1043</v>
      </c>
      <c r="R1426">
        <v>22015</v>
      </c>
      <c r="S1426" s="1">
        <v>42136</v>
      </c>
      <c r="T1426" s="1">
        <v>42137</v>
      </c>
      <c r="U1426">
        <v>0.69599999999999995</v>
      </c>
      <c r="V1426">
        <v>21</v>
      </c>
      <c r="W1426">
        <v>4881.84</v>
      </c>
      <c r="X1426">
        <v>86725</v>
      </c>
      <c r="Y1426">
        <f>cleaneddata[[#This Row],[Unit Price]]-cleaneddata[[#This Row],[Discount]]</f>
        <v>223.95</v>
      </c>
      <c r="Z142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27" spans="1:26" x14ac:dyDescent="0.3">
      <c r="A1427">
        <v>14</v>
      </c>
      <c r="B1427" t="s">
        <v>2463</v>
      </c>
      <c r="C1427" t="s">
        <v>92</v>
      </c>
      <c r="D1427">
        <v>0.09</v>
      </c>
      <c r="E1427">
        <v>78.69</v>
      </c>
      <c r="F1427">
        <v>19.989999999999998</v>
      </c>
      <c r="G1427" t="s">
        <v>14</v>
      </c>
      <c r="H1427" t="s">
        <v>3</v>
      </c>
      <c r="I1427" t="s">
        <v>4</v>
      </c>
      <c r="J1427" t="s">
        <v>102</v>
      </c>
      <c r="K1427" t="s">
        <v>49</v>
      </c>
      <c r="L1427" t="s">
        <v>1189</v>
      </c>
      <c r="M1427">
        <v>0.43</v>
      </c>
      <c r="N1427" t="s">
        <v>8</v>
      </c>
      <c r="O1427" t="s">
        <v>28</v>
      </c>
      <c r="P1427" t="s">
        <v>60</v>
      </c>
      <c r="Q1427" t="s">
        <v>61</v>
      </c>
      <c r="R1427">
        <v>55372</v>
      </c>
      <c r="S1427" s="1">
        <v>42136</v>
      </c>
      <c r="T1427" s="1">
        <v>42138</v>
      </c>
      <c r="U1427">
        <v>803.47050000000002</v>
      </c>
      <c r="V1427">
        <v>16</v>
      </c>
      <c r="W1427">
        <v>1164.45</v>
      </c>
      <c r="X1427">
        <v>86838</v>
      </c>
      <c r="Y1427">
        <f>cleaneddata[[#This Row],[Unit Price]]-cleaneddata[[#This Row],[Discount]]</f>
        <v>78.599999999999994</v>
      </c>
      <c r="Z142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28" spans="1:26" x14ac:dyDescent="0.3">
      <c r="A1428">
        <v>14</v>
      </c>
      <c r="B1428" t="s">
        <v>2463</v>
      </c>
      <c r="C1428" t="s">
        <v>92</v>
      </c>
      <c r="D1428">
        <v>0.08</v>
      </c>
      <c r="E1428">
        <v>3.28</v>
      </c>
      <c r="F1428">
        <v>2.31</v>
      </c>
      <c r="G1428" t="s">
        <v>14</v>
      </c>
      <c r="H1428" t="s">
        <v>3</v>
      </c>
      <c r="I1428" t="s">
        <v>24</v>
      </c>
      <c r="J1428" t="s">
        <v>25</v>
      </c>
      <c r="K1428" t="s">
        <v>26</v>
      </c>
      <c r="L1428" t="s">
        <v>2464</v>
      </c>
      <c r="M1428">
        <v>0.56000000000000005</v>
      </c>
      <c r="N1428" t="s">
        <v>8</v>
      </c>
      <c r="O1428" t="s">
        <v>28</v>
      </c>
      <c r="P1428" t="s">
        <v>60</v>
      </c>
      <c r="Q1428" t="s">
        <v>61</v>
      </c>
      <c r="R1428">
        <v>55372</v>
      </c>
      <c r="S1428" s="1">
        <v>42136</v>
      </c>
      <c r="T1428" s="1">
        <v>42137</v>
      </c>
      <c r="U1428">
        <v>-24.03</v>
      </c>
      <c r="V1428">
        <v>7</v>
      </c>
      <c r="W1428">
        <v>22.23</v>
      </c>
      <c r="X1428">
        <v>86838</v>
      </c>
      <c r="Y1428">
        <f>cleaneddata[[#This Row],[Unit Price]]-cleaneddata[[#This Row],[Discount]]</f>
        <v>3.1999999999999997</v>
      </c>
      <c r="Z14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29" spans="1:26" x14ac:dyDescent="0.3">
      <c r="A1429">
        <v>14</v>
      </c>
      <c r="B1429" t="s">
        <v>2463</v>
      </c>
      <c r="C1429" t="s">
        <v>92</v>
      </c>
      <c r="D1429">
        <v>0.05</v>
      </c>
      <c r="E1429">
        <v>3.28</v>
      </c>
      <c r="F1429">
        <v>4.2</v>
      </c>
      <c r="G1429" t="s">
        <v>14</v>
      </c>
      <c r="H1429" t="s">
        <v>3</v>
      </c>
      <c r="I1429" t="s">
        <v>24</v>
      </c>
      <c r="J1429" t="s">
        <v>25</v>
      </c>
      <c r="K1429" t="s">
        <v>26</v>
      </c>
      <c r="L1429" t="s">
        <v>2465</v>
      </c>
      <c r="M1429">
        <v>0.56000000000000005</v>
      </c>
      <c r="N1429" t="s">
        <v>8</v>
      </c>
      <c r="O1429" t="s">
        <v>28</v>
      </c>
      <c r="P1429" t="s">
        <v>60</v>
      </c>
      <c r="Q1429" t="s">
        <v>61</v>
      </c>
      <c r="R1429">
        <v>55372</v>
      </c>
      <c r="S1429" s="1">
        <v>42136</v>
      </c>
      <c r="T1429" s="1">
        <v>42137</v>
      </c>
      <c r="U1429">
        <v>-37.03</v>
      </c>
      <c r="V1429">
        <v>4</v>
      </c>
      <c r="W1429">
        <v>13.99</v>
      </c>
      <c r="X1429">
        <v>86838</v>
      </c>
      <c r="Y1429">
        <f>cleaneddata[[#This Row],[Unit Price]]-cleaneddata[[#This Row],[Discount]]</f>
        <v>3.23</v>
      </c>
      <c r="Z14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30" spans="1:26" x14ac:dyDescent="0.3">
      <c r="A1430">
        <v>14</v>
      </c>
      <c r="B1430" t="s">
        <v>2463</v>
      </c>
      <c r="C1430" t="s">
        <v>92</v>
      </c>
      <c r="D1430">
        <v>0.05</v>
      </c>
      <c r="E1430">
        <v>3.58</v>
      </c>
      <c r="F1430">
        <v>1.63</v>
      </c>
      <c r="G1430" t="s">
        <v>14</v>
      </c>
      <c r="H1430" t="s">
        <v>3</v>
      </c>
      <c r="I1430" t="s">
        <v>24</v>
      </c>
      <c r="J1430" t="s">
        <v>152</v>
      </c>
      <c r="K1430" t="s">
        <v>26</v>
      </c>
      <c r="L1430" t="s">
        <v>2197</v>
      </c>
      <c r="M1430">
        <v>0.36</v>
      </c>
      <c r="N1430" t="s">
        <v>8</v>
      </c>
      <c r="O1430" t="s">
        <v>28</v>
      </c>
      <c r="P1430" t="s">
        <v>60</v>
      </c>
      <c r="Q1430" t="s">
        <v>61</v>
      </c>
      <c r="R1430">
        <v>55372</v>
      </c>
      <c r="S1430" s="1">
        <v>42136</v>
      </c>
      <c r="T1430" s="1">
        <v>42137</v>
      </c>
      <c r="U1430">
        <v>-0.71</v>
      </c>
      <c r="V1430">
        <v>4</v>
      </c>
      <c r="W1430">
        <v>14.26</v>
      </c>
      <c r="X1430">
        <v>86838</v>
      </c>
      <c r="Y1430">
        <f>cleaneddata[[#This Row],[Unit Price]]-cleaneddata[[#This Row],[Discount]]</f>
        <v>3.5300000000000002</v>
      </c>
      <c r="Z14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31" spans="1:26" x14ac:dyDescent="0.3">
      <c r="A1431">
        <v>1826</v>
      </c>
      <c r="B1431" t="s">
        <v>2180</v>
      </c>
      <c r="C1431" t="s">
        <v>92</v>
      </c>
      <c r="D1431">
        <v>0</v>
      </c>
      <c r="E1431">
        <v>9.27</v>
      </c>
      <c r="F1431">
        <v>4.3899999999999997</v>
      </c>
      <c r="G1431" t="s">
        <v>14</v>
      </c>
      <c r="H1431" t="s">
        <v>70</v>
      </c>
      <c r="I1431" t="s">
        <v>24</v>
      </c>
      <c r="J1431" t="s">
        <v>64</v>
      </c>
      <c r="K1431" t="s">
        <v>26</v>
      </c>
      <c r="L1431" t="s">
        <v>2466</v>
      </c>
      <c r="M1431">
        <v>0.38</v>
      </c>
      <c r="N1431" t="s">
        <v>8</v>
      </c>
      <c r="O1431" t="s">
        <v>28</v>
      </c>
      <c r="P1431" t="s">
        <v>189</v>
      </c>
      <c r="Q1431" t="s">
        <v>2182</v>
      </c>
      <c r="R1431">
        <v>52722</v>
      </c>
      <c r="S1431" s="1">
        <v>42136</v>
      </c>
      <c r="T1431" s="1">
        <v>42138</v>
      </c>
      <c r="U1431">
        <v>-7.61</v>
      </c>
      <c r="V1431">
        <v>1</v>
      </c>
      <c r="W1431">
        <v>10.65</v>
      </c>
      <c r="X1431">
        <v>86959</v>
      </c>
      <c r="Y1431">
        <f>cleaneddata[[#This Row],[Unit Price]]-cleaneddata[[#This Row],[Discount]]</f>
        <v>9.27</v>
      </c>
      <c r="Z14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32" spans="1:26" x14ac:dyDescent="0.3">
      <c r="A1432">
        <v>1267</v>
      </c>
      <c r="B1432" t="s">
        <v>1051</v>
      </c>
      <c r="C1432" t="s">
        <v>46</v>
      </c>
      <c r="D1432">
        <v>0.04</v>
      </c>
      <c r="E1432">
        <v>5.98</v>
      </c>
      <c r="F1432">
        <v>4.38</v>
      </c>
      <c r="G1432" t="s">
        <v>14</v>
      </c>
      <c r="H1432" t="s">
        <v>70</v>
      </c>
      <c r="I1432" t="s">
        <v>16</v>
      </c>
      <c r="J1432" t="s">
        <v>17</v>
      </c>
      <c r="K1432" t="s">
        <v>18</v>
      </c>
      <c r="L1432" t="s">
        <v>2467</v>
      </c>
      <c r="M1432">
        <v>0.75</v>
      </c>
      <c r="N1432" t="s">
        <v>8</v>
      </c>
      <c r="O1432" t="s">
        <v>9</v>
      </c>
      <c r="P1432" t="s">
        <v>99</v>
      </c>
      <c r="Q1432" t="s">
        <v>1053</v>
      </c>
      <c r="R1432">
        <v>33433</v>
      </c>
      <c r="S1432" s="1">
        <v>42136</v>
      </c>
      <c r="T1432" s="1">
        <v>42138</v>
      </c>
      <c r="U1432">
        <v>-1522.3040000000001</v>
      </c>
      <c r="V1432">
        <v>11</v>
      </c>
      <c r="W1432">
        <v>69.75</v>
      </c>
      <c r="X1432">
        <v>89515</v>
      </c>
      <c r="Y1432">
        <f>cleaneddata[[#This Row],[Unit Price]]-cleaneddata[[#This Row],[Discount]]</f>
        <v>5.94</v>
      </c>
      <c r="Z143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33" spans="1:26" x14ac:dyDescent="0.3">
      <c r="A1433">
        <v>1389</v>
      </c>
      <c r="B1433" t="s">
        <v>745</v>
      </c>
      <c r="C1433" t="s">
        <v>13</v>
      </c>
      <c r="D1433">
        <v>0.08</v>
      </c>
      <c r="E1433">
        <v>2.62</v>
      </c>
      <c r="F1433">
        <v>0.8</v>
      </c>
      <c r="G1433" t="s">
        <v>63</v>
      </c>
      <c r="H1433" t="s">
        <v>3</v>
      </c>
      <c r="I1433" t="s">
        <v>24</v>
      </c>
      <c r="J1433" t="s">
        <v>152</v>
      </c>
      <c r="K1433" t="s">
        <v>26</v>
      </c>
      <c r="L1433" t="s">
        <v>2100</v>
      </c>
      <c r="M1433">
        <v>0.39</v>
      </c>
      <c r="N1433" t="s">
        <v>8</v>
      </c>
      <c r="O1433" t="s">
        <v>35</v>
      </c>
      <c r="P1433" t="s">
        <v>66</v>
      </c>
      <c r="Q1433" t="s">
        <v>747</v>
      </c>
      <c r="R1433">
        <v>94025</v>
      </c>
      <c r="S1433" s="1">
        <v>42137</v>
      </c>
      <c r="T1433" s="1">
        <v>42139</v>
      </c>
      <c r="U1433">
        <v>21.769500000000001</v>
      </c>
      <c r="V1433">
        <v>12</v>
      </c>
      <c r="W1433">
        <v>31.55</v>
      </c>
      <c r="X1433">
        <v>88728</v>
      </c>
      <c r="Y1433">
        <f>cleaneddata[[#This Row],[Unit Price]]-cleaneddata[[#This Row],[Discount]]</f>
        <v>2.54</v>
      </c>
      <c r="Z143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34" spans="1:26" x14ac:dyDescent="0.3">
      <c r="A1434">
        <v>578</v>
      </c>
      <c r="B1434" t="s">
        <v>2468</v>
      </c>
      <c r="C1434" t="s">
        <v>92</v>
      </c>
      <c r="D1434">
        <v>0.03</v>
      </c>
      <c r="E1434">
        <v>162.93</v>
      </c>
      <c r="F1434">
        <v>19.989999999999998</v>
      </c>
      <c r="G1434" t="s">
        <v>14</v>
      </c>
      <c r="H1434" t="s">
        <v>70</v>
      </c>
      <c r="I1434" t="s">
        <v>24</v>
      </c>
      <c r="J1434" t="s">
        <v>321</v>
      </c>
      <c r="K1434" t="s">
        <v>49</v>
      </c>
      <c r="L1434" t="s">
        <v>2469</v>
      </c>
      <c r="M1434">
        <v>0.39</v>
      </c>
      <c r="N1434" t="s">
        <v>8</v>
      </c>
      <c r="O1434" t="s">
        <v>87</v>
      </c>
      <c r="P1434" t="s">
        <v>224</v>
      </c>
      <c r="Q1434" t="s">
        <v>2470</v>
      </c>
      <c r="R1434">
        <v>6770</v>
      </c>
      <c r="S1434" s="1">
        <v>42137</v>
      </c>
      <c r="T1434" s="1">
        <v>42138</v>
      </c>
      <c r="U1434">
        <v>293.14</v>
      </c>
      <c r="V1434">
        <v>3</v>
      </c>
      <c r="W1434">
        <v>515.88</v>
      </c>
      <c r="X1434">
        <v>88644</v>
      </c>
      <c r="Y1434">
        <f>cleaneddata[[#This Row],[Unit Price]]-cleaneddata[[#This Row],[Discount]]</f>
        <v>162.9</v>
      </c>
      <c r="Z14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35" spans="1:26" x14ac:dyDescent="0.3">
      <c r="A1435">
        <v>579</v>
      </c>
      <c r="B1435" t="s">
        <v>2471</v>
      </c>
      <c r="C1435" t="s">
        <v>92</v>
      </c>
      <c r="D1435">
        <v>0.01</v>
      </c>
      <c r="E1435">
        <v>11.58</v>
      </c>
      <c r="F1435">
        <v>5.72</v>
      </c>
      <c r="G1435" t="s">
        <v>14</v>
      </c>
      <c r="H1435" t="s">
        <v>70</v>
      </c>
      <c r="I1435" t="s">
        <v>24</v>
      </c>
      <c r="J1435" t="s">
        <v>321</v>
      </c>
      <c r="K1435" t="s">
        <v>49</v>
      </c>
      <c r="L1435" t="s">
        <v>600</v>
      </c>
      <c r="M1435">
        <v>0.35</v>
      </c>
      <c r="N1435" t="s">
        <v>8</v>
      </c>
      <c r="O1435" t="s">
        <v>87</v>
      </c>
      <c r="P1435" t="s">
        <v>224</v>
      </c>
      <c r="Q1435" t="s">
        <v>1724</v>
      </c>
      <c r="R1435">
        <v>6478</v>
      </c>
      <c r="S1435" s="1">
        <v>42137</v>
      </c>
      <c r="T1435" s="1">
        <v>42139</v>
      </c>
      <c r="U1435">
        <v>-6.61</v>
      </c>
      <c r="V1435">
        <v>2</v>
      </c>
      <c r="W1435">
        <v>25.06</v>
      </c>
      <c r="X1435">
        <v>88644</v>
      </c>
      <c r="Y1435">
        <f>cleaneddata[[#This Row],[Unit Price]]-cleaneddata[[#This Row],[Discount]]</f>
        <v>11.57</v>
      </c>
      <c r="Z14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36" spans="1:26" x14ac:dyDescent="0.3">
      <c r="A1436">
        <v>580</v>
      </c>
      <c r="B1436" t="s">
        <v>2472</v>
      </c>
      <c r="C1436" t="s">
        <v>92</v>
      </c>
      <c r="D1436">
        <v>0.01</v>
      </c>
      <c r="E1436">
        <v>55.99</v>
      </c>
      <c r="F1436">
        <v>5</v>
      </c>
      <c r="G1436" t="s">
        <v>14</v>
      </c>
      <c r="H1436" t="s">
        <v>70</v>
      </c>
      <c r="I1436" t="s">
        <v>16</v>
      </c>
      <c r="J1436" t="s">
        <v>111</v>
      </c>
      <c r="K1436" t="s">
        <v>18</v>
      </c>
      <c r="L1436" t="s">
        <v>1907</v>
      </c>
      <c r="M1436">
        <v>0.8</v>
      </c>
      <c r="N1436" t="s">
        <v>8</v>
      </c>
      <c r="O1436" t="s">
        <v>87</v>
      </c>
      <c r="P1436" t="s">
        <v>307</v>
      </c>
      <c r="Q1436" t="s">
        <v>1180</v>
      </c>
      <c r="R1436">
        <v>4210</v>
      </c>
      <c r="S1436" s="1">
        <v>42137</v>
      </c>
      <c r="T1436" s="1">
        <v>42138</v>
      </c>
      <c r="U1436">
        <v>-57.540999999999997</v>
      </c>
      <c r="V1436">
        <v>12</v>
      </c>
      <c r="W1436">
        <v>578.24</v>
      </c>
      <c r="X1436">
        <v>88644</v>
      </c>
      <c r="Y1436">
        <f>cleaneddata[[#This Row],[Unit Price]]-cleaneddata[[#This Row],[Discount]]</f>
        <v>55.980000000000004</v>
      </c>
      <c r="Z14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37" spans="1:26" x14ac:dyDescent="0.3">
      <c r="A1437">
        <v>585</v>
      </c>
      <c r="B1437" t="s">
        <v>2473</v>
      </c>
      <c r="C1437" t="s">
        <v>92</v>
      </c>
      <c r="D1437">
        <v>0.06</v>
      </c>
      <c r="E1437">
        <v>13.9</v>
      </c>
      <c r="F1437">
        <v>7.59</v>
      </c>
      <c r="G1437" t="s">
        <v>14</v>
      </c>
      <c r="H1437" t="s">
        <v>70</v>
      </c>
      <c r="I1437" t="s">
        <v>24</v>
      </c>
      <c r="J1437" t="s">
        <v>544</v>
      </c>
      <c r="K1437" t="s">
        <v>18</v>
      </c>
      <c r="L1437" t="s">
        <v>2440</v>
      </c>
      <c r="M1437">
        <v>0.56000000000000005</v>
      </c>
      <c r="N1437" t="s">
        <v>8</v>
      </c>
      <c r="O1437" t="s">
        <v>87</v>
      </c>
      <c r="P1437" t="s">
        <v>1332</v>
      </c>
      <c r="Q1437" t="s">
        <v>429</v>
      </c>
      <c r="R1437">
        <v>3301</v>
      </c>
      <c r="S1437" s="1">
        <v>42137</v>
      </c>
      <c r="T1437" s="1">
        <v>42138</v>
      </c>
      <c r="U1437">
        <v>-67.59</v>
      </c>
      <c r="V1437">
        <v>12</v>
      </c>
      <c r="W1437">
        <v>170.45</v>
      </c>
      <c r="X1437">
        <v>88644</v>
      </c>
      <c r="Y1437">
        <f>cleaneddata[[#This Row],[Unit Price]]-cleaneddata[[#This Row],[Discount]]</f>
        <v>13.84</v>
      </c>
      <c r="Z14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38" spans="1:26" x14ac:dyDescent="0.3">
      <c r="A1438">
        <v>3257</v>
      </c>
      <c r="B1438" t="s">
        <v>2474</v>
      </c>
      <c r="C1438" t="s">
        <v>92</v>
      </c>
      <c r="D1438">
        <v>0</v>
      </c>
      <c r="E1438">
        <v>25.38</v>
      </c>
      <c r="F1438">
        <v>8.99</v>
      </c>
      <c r="G1438" t="s">
        <v>14</v>
      </c>
      <c r="H1438" t="s">
        <v>15</v>
      </c>
      <c r="I1438" t="s">
        <v>4</v>
      </c>
      <c r="J1438" t="s">
        <v>102</v>
      </c>
      <c r="K1438" t="s">
        <v>18</v>
      </c>
      <c r="L1438" t="s">
        <v>2361</v>
      </c>
      <c r="M1438">
        <v>0.5</v>
      </c>
      <c r="N1438" t="s">
        <v>8</v>
      </c>
      <c r="O1438" t="s">
        <v>35</v>
      </c>
      <c r="P1438" t="s">
        <v>42</v>
      </c>
      <c r="Q1438" t="s">
        <v>2475</v>
      </c>
      <c r="R1438">
        <v>98632</v>
      </c>
      <c r="S1438" s="1">
        <v>42137</v>
      </c>
      <c r="T1438" s="1">
        <v>42139</v>
      </c>
      <c r="U1438">
        <v>470.33800000000002</v>
      </c>
      <c r="V1438">
        <v>26</v>
      </c>
      <c r="W1438">
        <v>700.41</v>
      </c>
      <c r="X1438">
        <v>88826</v>
      </c>
      <c r="Y1438">
        <f>cleaneddata[[#This Row],[Unit Price]]-cleaneddata[[#This Row],[Discount]]</f>
        <v>25.38</v>
      </c>
      <c r="Z143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39" spans="1:26" x14ac:dyDescent="0.3">
      <c r="A1439">
        <v>1085</v>
      </c>
      <c r="B1439" t="s">
        <v>207</v>
      </c>
      <c r="C1439" t="s">
        <v>46</v>
      </c>
      <c r="D1439">
        <v>0.06</v>
      </c>
      <c r="E1439">
        <v>30.42</v>
      </c>
      <c r="F1439">
        <v>8.65</v>
      </c>
      <c r="G1439" t="s">
        <v>14</v>
      </c>
      <c r="H1439" t="s">
        <v>70</v>
      </c>
      <c r="I1439" t="s">
        <v>16</v>
      </c>
      <c r="J1439" t="s">
        <v>17</v>
      </c>
      <c r="K1439" t="s">
        <v>49</v>
      </c>
      <c r="L1439" t="s">
        <v>360</v>
      </c>
      <c r="M1439">
        <v>0.74</v>
      </c>
      <c r="N1439" t="s">
        <v>8</v>
      </c>
      <c r="O1439" t="s">
        <v>87</v>
      </c>
      <c r="P1439" t="s">
        <v>88</v>
      </c>
      <c r="Q1439" t="s">
        <v>209</v>
      </c>
      <c r="R1439">
        <v>11729</v>
      </c>
      <c r="S1439" s="1">
        <v>42137</v>
      </c>
      <c r="T1439" s="1">
        <v>42139</v>
      </c>
      <c r="U1439">
        <v>-159.25</v>
      </c>
      <c r="V1439">
        <v>10</v>
      </c>
      <c r="W1439">
        <v>309.05</v>
      </c>
      <c r="X1439">
        <v>86124</v>
      </c>
      <c r="Y1439">
        <f>cleaneddata[[#This Row],[Unit Price]]-cleaneddata[[#This Row],[Discount]]</f>
        <v>30.360000000000003</v>
      </c>
      <c r="Z143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40" spans="1:26" x14ac:dyDescent="0.3">
      <c r="A1440">
        <v>1085</v>
      </c>
      <c r="B1440" t="s">
        <v>207</v>
      </c>
      <c r="C1440" t="s">
        <v>46</v>
      </c>
      <c r="D1440">
        <v>0.02</v>
      </c>
      <c r="E1440">
        <v>37.94</v>
      </c>
      <c r="F1440">
        <v>5.08</v>
      </c>
      <c r="G1440" t="s">
        <v>14</v>
      </c>
      <c r="H1440" t="s">
        <v>70</v>
      </c>
      <c r="I1440" t="s">
        <v>24</v>
      </c>
      <c r="J1440" t="s">
        <v>64</v>
      </c>
      <c r="K1440" t="s">
        <v>26</v>
      </c>
      <c r="L1440" t="s">
        <v>1089</v>
      </c>
      <c r="M1440">
        <v>0.38</v>
      </c>
      <c r="N1440" t="s">
        <v>8</v>
      </c>
      <c r="O1440" t="s">
        <v>87</v>
      </c>
      <c r="P1440" t="s">
        <v>88</v>
      </c>
      <c r="Q1440" t="s">
        <v>209</v>
      </c>
      <c r="R1440">
        <v>11729</v>
      </c>
      <c r="S1440" s="1">
        <v>42137</v>
      </c>
      <c r="T1440" s="1">
        <v>42138</v>
      </c>
      <c r="U1440">
        <v>206.517</v>
      </c>
      <c r="V1440">
        <v>8</v>
      </c>
      <c r="W1440">
        <v>299.3</v>
      </c>
      <c r="X1440">
        <v>86124</v>
      </c>
      <c r="Y1440">
        <f>cleaneddata[[#This Row],[Unit Price]]-cleaneddata[[#This Row],[Discount]]</f>
        <v>37.919999999999995</v>
      </c>
      <c r="Z14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41" spans="1:26" x14ac:dyDescent="0.3">
      <c r="A1441">
        <v>156</v>
      </c>
      <c r="B1441" t="s">
        <v>748</v>
      </c>
      <c r="C1441" t="s">
        <v>1</v>
      </c>
      <c r="D1441">
        <v>0.01</v>
      </c>
      <c r="E1441">
        <v>95.99</v>
      </c>
      <c r="F1441">
        <v>4.9000000000000004</v>
      </c>
      <c r="G1441" t="s">
        <v>14</v>
      </c>
      <c r="H1441" t="s">
        <v>70</v>
      </c>
      <c r="I1441" t="s">
        <v>16</v>
      </c>
      <c r="J1441" t="s">
        <v>111</v>
      </c>
      <c r="K1441" t="s">
        <v>49</v>
      </c>
      <c r="L1441" t="s">
        <v>744</v>
      </c>
      <c r="M1441">
        <v>0.56000000000000005</v>
      </c>
      <c r="N1441" t="s">
        <v>8</v>
      </c>
      <c r="O1441" t="s">
        <v>35</v>
      </c>
      <c r="P1441" t="s">
        <v>36</v>
      </c>
      <c r="Q1441" t="s">
        <v>37</v>
      </c>
      <c r="R1441">
        <v>80525</v>
      </c>
      <c r="S1441" s="1">
        <v>42138</v>
      </c>
      <c r="T1441" s="1">
        <v>42139</v>
      </c>
      <c r="U1441">
        <v>713.88</v>
      </c>
      <c r="V1441">
        <v>13</v>
      </c>
      <c r="W1441">
        <v>1050.08</v>
      </c>
      <c r="X1441">
        <v>87671</v>
      </c>
      <c r="Y1441">
        <f>cleaneddata[[#This Row],[Unit Price]]-cleaneddata[[#This Row],[Discount]]</f>
        <v>95.97999999999999</v>
      </c>
      <c r="Z144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42" spans="1:26" x14ac:dyDescent="0.3">
      <c r="A1442">
        <v>497</v>
      </c>
      <c r="B1442" t="s">
        <v>2476</v>
      </c>
      <c r="C1442" t="s">
        <v>1</v>
      </c>
      <c r="D1442">
        <v>7.0000000000000007E-2</v>
      </c>
      <c r="E1442">
        <v>152.47999999999999</v>
      </c>
      <c r="F1442">
        <v>6.5</v>
      </c>
      <c r="G1442" t="s">
        <v>14</v>
      </c>
      <c r="H1442" t="s">
        <v>3</v>
      </c>
      <c r="I1442" t="s">
        <v>16</v>
      </c>
      <c r="J1442" t="s">
        <v>17</v>
      </c>
      <c r="K1442" t="s">
        <v>49</v>
      </c>
      <c r="L1442" t="s">
        <v>1769</v>
      </c>
      <c r="M1442">
        <v>0.74</v>
      </c>
      <c r="N1442" t="s">
        <v>8</v>
      </c>
      <c r="O1442" t="s">
        <v>9</v>
      </c>
      <c r="P1442" t="s">
        <v>376</v>
      </c>
      <c r="Q1442" t="s">
        <v>528</v>
      </c>
      <c r="R1442">
        <v>37130</v>
      </c>
      <c r="S1442" s="1">
        <v>42138</v>
      </c>
      <c r="T1442" s="1">
        <v>42140</v>
      </c>
      <c r="U1442">
        <v>171.83879999999999</v>
      </c>
      <c r="V1442">
        <v>35</v>
      </c>
      <c r="W1442">
        <v>5062.49</v>
      </c>
      <c r="X1442">
        <v>90706</v>
      </c>
      <c r="Y1442">
        <f>cleaneddata[[#This Row],[Unit Price]]-cleaneddata[[#This Row],[Discount]]</f>
        <v>152.41</v>
      </c>
      <c r="Z14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43" spans="1:26" x14ac:dyDescent="0.3">
      <c r="A1443">
        <v>910</v>
      </c>
      <c r="B1443" t="s">
        <v>2477</v>
      </c>
      <c r="C1443" t="s">
        <v>1</v>
      </c>
      <c r="D1443">
        <v>0</v>
      </c>
      <c r="E1443">
        <v>5.28</v>
      </c>
      <c r="F1443">
        <v>5.61</v>
      </c>
      <c r="G1443" t="s">
        <v>14</v>
      </c>
      <c r="H1443" t="s">
        <v>70</v>
      </c>
      <c r="I1443" t="s">
        <v>24</v>
      </c>
      <c r="J1443" t="s">
        <v>64</v>
      </c>
      <c r="K1443" t="s">
        <v>49</v>
      </c>
      <c r="L1443" t="s">
        <v>2251</v>
      </c>
      <c r="M1443">
        <v>0.4</v>
      </c>
      <c r="N1443" t="s">
        <v>8</v>
      </c>
      <c r="O1443" t="s">
        <v>9</v>
      </c>
      <c r="P1443" t="s">
        <v>20</v>
      </c>
      <c r="Q1443" t="s">
        <v>1291</v>
      </c>
      <c r="R1443">
        <v>71854</v>
      </c>
      <c r="S1443" s="1">
        <v>42138</v>
      </c>
      <c r="T1443" s="1">
        <v>42138</v>
      </c>
      <c r="U1443">
        <v>-149.21199999999999</v>
      </c>
      <c r="V1443">
        <v>15</v>
      </c>
      <c r="W1443">
        <v>85.26</v>
      </c>
      <c r="X1443">
        <v>90187</v>
      </c>
      <c r="Y1443">
        <f>cleaneddata[[#This Row],[Unit Price]]-cleaneddata[[#This Row],[Discount]]</f>
        <v>5.28</v>
      </c>
      <c r="Z144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44" spans="1:26" x14ac:dyDescent="0.3">
      <c r="A1444">
        <v>353</v>
      </c>
      <c r="B1444" t="s">
        <v>2478</v>
      </c>
      <c r="C1444" t="s">
        <v>23</v>
      </c>
      <c r="D1444">
        <v>0.08</v>
      </c>
      <c r="E1444">
        <v>4.8899999999999997</v>
      </c>
      <c r="F1444">
        <v>4.93</v>
      </c>
      <c r="G1444" t="s">
        <v>63</v>
      </c>
      <c r="H1444" t="s">
        <v>47</v>
      </c>
      <c r="I1444" t="s">
        <v>16</v>
      </c>
      <c r="J1444" t="s">
        <v>17</v>
      </c>
      <c r="K1444" t="s">
        <v>18</v>
      </c>
      <c r="L1444" t="s">
        <v>999</v>
      </c>
      <c r="M1444">
        <v>0.66</v>
      </c>
      <c r="N1444" t="s">
        <v>8</v>
      </c>
      <c r="O1444" t="s">
        <v>35</v>
      </c>
      <c r="P1444" t="s">
        <v>564</v>
      </c>
      <c r="Q1444" t="s">
        <v>2479</v>
      </c>
      <c r="R1444">
        <v>85301</v>
      </c>
      <c r="S1444" s="1">
        <v>42138</v>
      </c>
      <c r="T1444" s="1">
        <v>42138</v>
      </c>
      <c r="U1444">
        <v>-165.45</v>
      </c>
      <c r="V1444">
        <v>17</v>
      </c>
      <c r="W1444">
        <v>84.76</v>
      </c>
      <c r="X1444">
        <v>89647</v>
      </c>
      <c r="Y1444">
        <f>cleaneddata[[#This Row],[Unit Price]]-cleaneddata[[#This Row],[Discount]]</f>
        <v>4.8099999999999996</v>
      </c>
      <c r="Z14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45" spans="1:26" x14ac:dyDescent="0.3">
      <c r="A1445">
        <v>353</v>
      </c>
      <c r="B1445" t="s">
        <v>2478</v>
      </c>
      <c r="C1445" t="s">
        <v>23</v>
      </c>
      <c r="D1445">
        <v>7.0000000000000007E-2</v>
      </c>
      <c r="E1445">
        <v>6.68</v>
      </c>
      <c r="F1445">
        <v>6.92</v>
      </c>
      <c r="G1445" t="s">
        <v>14</v>
      </c>
      <c r="H1445" t="s">
        <v>47</v>
      </c>
      <c r="I1445" t="s">
        <v>24</v>
      </c>
      <c r="J1445" t="s">
        <v>64</v>
      </c>
      <c r="K1445" t="s">
        <v>49</v>
      </c>
      <c r="L1445" t="s">
        <v>2480</v>
      </c>
      <c r="M1445">
        <v>0.37</v>
      </c>
      <c r="N1445" t="s">
        <v>8</v>
      </c>
      <c r="O1445" t="s">
        <v>35</v>
      </c>
      <c r="P1445" t="s">
        <v>564</v>
      </c>
      <c r="Q1445" t="s">
        <v>2479</v>
      </c>
      <c r="R1445">
        <v>85301</v>
      </c>
      <c r="S1445" s="1">
        <v>42138</v>
      </c>
      <c r="T1445" s="1">
        <v>42145</v>
      </c>
      <c r="U1445">
        <v>-141.12</v>
      </c>
      <c r="V1445">
        <v>16</v>
      </c>
      <c r="W1445">
        <v>104.84</v>
      </c>
      <c r="X1445">
        <v>89647</v>
      </c>
      <c r="Y1445">
        <f>cleaneddata[[#This Row],[Unit Price]]-cleaneddata[[#This Row],[Discount]]</f>
        <v>6.6099999999999994</v>
      </c>
      <c r="Z144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46" spans="1:26" x14ac:dyDescent="0.3">
      <c r="A1446">
        <v>539</v>
      </c>
      <c r="B1446" t="s">
        <v>2481</v>
      </c>
      <c r="C1446" t="s">
        <v>92</v>
      </c>
      <c r="D1446">
        <v>0.05</v>
      </c>
      <c r="E1446">
        <v>59.78</v>
      </c>
      <c r="F1446">
        <v>10.29</v>
      </c>
      <c r="G1446" t="s">
        <v>14</v>
      </c>
      <c r="H1446" t="s">
        <v>3</v>
      </c>
      <c r="I1446" t="s">
        <v>24</v>
      </c>
      <c r="J1446" t="s">
        <v>48</v>
      </c>
      <c r="K1446" t="s">
        <v>49</v>
      </c>
      <c r="L1446" t="s">
        <v>2482</v>
      </c>
      <c r="M1446">
        <v>0.39</v>
      </c>
      <c r="N1446" t="s">
        <v>8</v>
      </c>
      <c r="O1446" t="s">
        <v>28</v>
      </c>
      <c r="P1446" t="s">
        <v>79</v>
      </c>
      <c r="Q1446" t="s">
        <v>2483</v>
      </c>
      <c r="R1446">
        <v>61801</v>
      </c>
      <c r="S1446" s="1">
        <v>42138</v>
      </c>
      <c r="T1446" s="1">
        <v>42139</v>
      </c>
      <c r="U1446">
        <v>159.52969999999999</v>
      </c>
      <c r="V1446">
        <v>7</v>
      </c>
      <c r="W1446">
        <v>414.49</v>
      </c>
      <c r="X1446">
        <v>91174</v>
      </c>
      <c r="Y1446">
        <f>cleaneddata[[#This Row],[Unit Price]]-cleaneddata[[#This Row],[Discount]]</f>
        <v>59.730000000000004</v>
      </c>
      <c r="Z144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47" spans="1:26" x14ac:dyDescent="0.3">
      <c r="A1447">
        <v>540</v>
      </c>
      <c r="B1447" t="s">
        <v>2484</v>
      </c>
      <c r="C1447" t="s">
        <v>92</v>
      </c>
      <c r="D1447">
        <v>0.08</v>
      </c>
      <c r="E1447">
        <v>20.99</v>
      </c>
      <c r="F1447">
        <v>1.25</v>
      </c>
      <c r="G1447" t="s">
        <v>14</v>
      </c>
      <c r="H1447" t="s">
        <v>3</v>
      </c>
      <c r="I1447" t="s">
        <v>16</v>
      </c>
      <c r="J1447" t="s">
        <v>111</v>
      </c>
      <c r="K1447" t="s">
        <v>18</v>
      </c>
      <c r="L1447" t="s">
        <v>2485</v>
      </c>
      <c r="M1447">
        <v>0.83</v>
      </c>
      <c r="N1447" t="s">
        <v>8</v>
      </c>
      <c r="O1447" t="s">
        <v>28</v>
      </c>
      <c r="P1447" t="s">
        <v>79</v>
      </c>
      <c r="Q1447" t="s">
        <v>2486</v>
      </c>
      <c r="R1447">
        <v>60061</v>
      </c>
      <c r="S1447" s="1">
        <v>42138</v>
      </c>
      <c r="T1447" s="1">
        <v>42140</v>
      </c>
      <c r="U1447">
        <v>15.3714</v>
      </c>
      <c r="V1447">
        <v>28</v>
      </c>
      <c r="W1447">
        <v>469.69</v>
      </c>
      <c r="X1447">
        <v>91174</v>
      </c>
      <c r="Y1447">
        <f>cleaneddata[[#This Row],[Unit Price]]-cleaneddata[[#This Row],[Discount]]</f>
        <v>20.91</v>
      </c>
      <c r="Z144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48" spans="1:26" x14ac:dyDescent="0.3">
      <c r="A1448">
        <v>1069</v>
      </c>
      <c r="B1448" t="s">
        <v>2487</v>
      </c>
      <c r="C1448" t="s">
        <v>92</v>
      </c>
      <c r="D1448">
        <v>0.02</v>
      </c>
      <c r="E1448">
        <v>15.94</v>
      </c>
      <c r="F1448">
        <v>5.45</v>
      </c>
      <c r="G1448" t="s">
        <v>14</v>
      </c>
      <c r="H1448" t="s">
        <v>47</v>
      </c>
      <c r="I1448" t="s">
        <v>24</v>
      </c>
      <c r="J1448" t="s">
        <v>25</v>
      </c>
      <c r="K1448" t="s">
        <v>18</v>
      </c>
      <c r="L1448" t="s">
        <v>2488</v>
      </c>
      <c r="M1448">
        <v>0.55000000000000004</v>
      </c>
      <c r="N1448" t="s">
        <v>8</v>
      </c>
      <c r="O1448" t="s">
        <v>28</v>
      </c>
      <c r="P1448" t="s">
        <v>79</v>
      </c>
      <c r="Q1448" t="s">
        <v>2489</v>
      </c>
      <c r="R1448">
        <v>62901</v>
      </c>
      <c r="S1448" s="1">
        <v>42138</v>
      </c>
      <c r="T1448" s="1">
        <v>42139</v>
      </c>
      <c r="U1448">
        <v>139.61199999999999</v>
      </c>
      <c r="V1448">
        <v>41</v>
      </c>
      <c r="W1448">
        <v>664.34</v>
      </c>
      <c r="X1448">
        <v>87110</v>
      </c>
      <c r="Y1448">
        <f>cleaneddata[[#This Row],[Unit Price]]-cleaneddata[[#This Row],[Discount]]</f>
        <v>15.92</v>
      </c>
      <c r="Z144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49" spans="1:26" x14ac:dyDescent="0.3">
      <c r="A1449">
        <v>1023</v>
      </c>
      <c r="B1449" t="s">
        <v>2490</v>
      </c>
      <c r="C1449" t="s">
        <v>1</v>
      </c>
      <c r="D1449">
        <v>0.02</v>
      </c>
      <c r="E1449">
        <v>39.06</v>
      </c>
      <c r="F1449">
        <v>10.55</v>
      </c>
      <c r="G1449" t="s">
        <v>14</v>
      </c>
      <c r="H1449" t="s">
        <v>3</v>
      </c>
      <c r="I1449" t="s">
        <v>24</v>
      </c>
      <c r="J1449" t="s">
        <v>48</v>
      </c>
      <c r="K1449" t="s">
        <v>49</v>
      </c>
      <c r="L1449" t="s">
        <v>231</v>
      </c>
      <c r="M1449">
        <v>0.37</v>
      </c>
      <c r="N1449" t="s">
        <v>8</v>
      </c>
      <c r="O1449" t="s">
        <v>87</v>
      </c>
      <c r="P1449" t="s">
        <v>296</v>
      </c>
      <c r="Q1449" t="s">
        <v>2491</v>
      </c>
      <c r="R1449">
        <v>15221</v>
      </c>
      <c r="S1449" s="1">
        <v>42139</v>
      </c>
      <c r="T1449" s="1">
        <v>42139</v>
      </c>
      <c r="U1449">
        <v>442.0899</v>
      </c>
      <c r="V1449">
        <v>16</v>
      </c>
      <c r="W1449">
        <v>640.71</v>
      </c>
      <c r="X1449">
        <v>88633</v>
      </c>
      <c r="Y1449">
        <f>cleaneddata[[#This Row],[Unit Price]]-cleaneddata[[#This Row],[Discount]]</f>
        <v>39.04</v>
      </c>
      <c r="Z144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50" spans="1:26" x14ac:dyDescent="0.3">
      <c r="A1450">
        <v>1023</v>
      </c>
      <c r="B1450" t="s">
        <v>2490</v>
      </c>
      <c r="C1450" t="s">
        <v>1</v>
      </c>
      <c r="D1450">
        <v>0.1</v>
      </c>
      <c r="E1450">
        <v>37.700000000000003</v>
      </c>
      <c r="F1450">
        <v>2.99</v>
      </c>
      <c r="G1450" t="s">
        <v>14</v>
      </c>
      <c r="H1450" t="s">
        <v>3</v>
      </c>
      <c r="I1450" t="s">
        <v>24</v>
      </c>
      <c r="J1450" t="s">
        <v>48</v>
      </c>
      <c r="K1450" t="s">
        <v>49</v>
      </c>
      <c r="L1450" t="s">
        <v>2492</v>
      </c>
      <c r="M1450">
        <v>0.35</v>
      </c>
      <c r="N1450" t="s">
        <v>8</v>
      </c>
      <c r="O1450" t="s">
        <v>87</v>
      </c>
      <c r="P1450" t="s">
        <v>296</v>
      </c>
      <c r="Q1450" t="s">
        <v>2491</v>
      </c>
      <c r="R1450">
        <v>15221</v>
      </c>
      <c r="S1450" s="1">
        <v>42139</v>
      </c>
      <c r="T1450" s="1">
        <v>42140</v>
      </c>
      <c r="U1450">
        <v>455.12400000000002</v>
      </c>
      <c r="V1450">
        <v>18</v>
      </c>
      <c r="W1450">
        <v>659.6</v>
      </c>
      <c r="X1450">
        <v>88633</v>
      </c>
      <c r="Y1450">
        <f>cleaneddata[[#This Row],[Unit Price]]-cleaneddata[[#This Row],[Discount]]</f>
        <v>37.6</v>
      </c>
      <c r="Z145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51" spans="1:26" x14ac:dyDescent="0.3">
      <c r="A1451">
        <v>18</v>
      </c>
      <c r="B1451" t="s">
        <v>2493</v>
      </c>
      <c r="C1451" t="s">
        <v>13</v>
      </c>
      <c r="D1451">
        <v>0.05</v>
      </c>
      <c r="E1451">
        <v>26.48</v>
      </c>
      <c r="F1451">
        <v>6.93</v>
      </c>
      <c r="G1451" t="s">
        <v>14</v>
      </c>
      <c r="H1451" t="s">
        <v>3</v>
      </c>
      <c r="I1451" t="s">
        <v>4</v>
      </c>
      <c r="J1451" t="s">
        <v>102</v>
      </c>
      <c r="K1451" t="s">
        <v>49</v>
      </c>
      <c r="L1451" t="s">
        <v>2494</v>
      </c>
      <c r="M1451">
        <v>0.49</v>
      </c>
      <c r="N1451" t="s">
        <v>8</v>
      </c>
      <c r="O1451" t="s">
        <v>35</v>
      </c>
      <c r="P1451" t="s">
        <v>253</v>
      </c>
      <c r="Q1451" t="s">
        <v>2495</v>
      </c>
      <c r="R1451">
        <v>59601</v>
      </c>
      <c r="S1451" s="1">
        <v>42139</v>
      </c>
      <c r="T1451" s="1">
        <v>42140</v>
      </c>
      <c r="U1451">
        <v>314.48129999999998</v>
      </c>
      <c r="V1451">
        <v>17</v>
      </c>
      <c r="W1451">
        <v>455.77</v>
      </c>
      <c r="X1451">
        <v>90031</v>
      </c>
      <c r="Y1451">
        <f>cleaneddata[[#This Row],[Unit Price]]-cleaneddata[[#This Row],[Discount]]</f>
        <v>26.43</v>
      </c>
      <c r="Z145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52" spans="1:26" x14ac:dyDescent="0.3">
      <c r="A1452">
        <v>21</v>
      </c>
      <c r="B1452" t="s">
        <v>2496</v>
      </c>
      <c r="C1452" t="s">
        <v>13</v>
      </c>
      <c r="D1452">
        <v>0.05</v>
      </c>
      <c r="E1452">
        <v>26.48</v>
      </c>
      <c r="F1452">
        <v>6.93</v>
      </c>
      <c r="G1452" t="s">
        <v>14</v>
      </c>
      <c r="H1452" t="s">
        <v>3</v>
      </c>
      <c r="I1452" t="s">
        <v>4</v>
      </c>
      <c r="J1452" t="s">
        <v>102</v>
      </c>
      <c r="K1452" t="s">
        <v>49</v>
      </c>
      <c r="L1452" t="s">
        <v>2494</v>
      </c>
      <c r="M1452">
        <v>0.49</v>
      </c>
      <c r="N1452" t="s">
        <v>8</v>
      </c>
      <c r="O1452" t="s">
        <v>87</v>
      </c>
      <c r="P1452" t="s">
        <v>88</v>
      </c>
      <c r="Q1452" t="s">
        <v>89</v>
      </c>
      <c r="R1452">
        <v>10012</v>
      </c>
      <c r="S1452" s="1">
        <v>42139</v>
      </c>
      <c r="T1452" s="1">
        <v>42140</v>
      </c>
      <c r="U1452">
        <v>384.38</v>
      </c>
      <c r="V1452">
        <v>70</v>
      </c>
      <c r="W1452">
        <v>1876.69</v>
      </c>
      <c r="X1452">
        <v>41793</v>
      </c>
      <c r="Y1452">
        <f>cleaneddata[[#This Row],[Unit Price]]-cleaneddata[[#This Row],[Discount]]</f>
        <v>26.43</v>
      </c>
      <c r="Z145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53" spans="1:26" x14ac:dyDescent="0.3">
      <c r="A1453">
        <v>1989</v>
      </c>
      <c r="B1453" t="s">
        <v>669</v>
      </c>
      <c r="C1453" t="s">
        <v>13</v>
      </c>
      <c r="D1453">
        <v>0.01</v>
      </c>
      <c r="E1453">
        <v>30.98</v>
      </c>
      <c r="F1453">
        <v>6.5</v>
      </c>
      <c r="G1453" t="s">
        <v>14</v>
      </c>
      <c r="H1453" t="s">
        <v>70</v>
      </c>
      <c r="I1453" t="s">
        <v>16</v>
      </c>
      <c r="J1453" t="s">
        <v>17</v>
      </c>
      <c r="K1453" t="s">
        <v>49</v>
      </c>
      <c r="L1453" t="s">
        <v>2497</v>
      </c>
      <c r="M1453">
        <v>0.64</v>
      </c>
      <c r="N1453" t="s">
        <v>8</v>
      </c>
      <c r="O1453" t="s">
        <v>35</v>
      </c>
      <c r="P1453" t="s">
        <v>122</v>
      </c>
      <c r="Q1453" t="s">
        <v>671</v>
      </c>
      <c r="R1453">
        <v>84117</v>
      </c>
      <c r="S1453" s="1">
        <v>42139</v>
      </c>
      <c r="T1453" s="1">
        <v>42140</v>
      </c>
      <c r="U1453">
        <v>46.29</v>
      </c>
      <c r="V1453">
        <v>11</v>
      </c>
      <c r="W1453">
        <v>363.37</v>
      </c>
      <c r="X1453">
        <v>90001</v>
      </c>
      <c r="Y1453">
        <f>cleaneddata[[#This Row],[Unit Price]]-cleaneddata[[#This Row],[Discount]]</f>
        <v>30.97</v>
      </c>
      <c r="Z145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54" spans="1:26" x14ac:dyDescent="0.3">
      <c r="A1454">
        <v>1989</v>
      </c>
      <c r="B1454" t="s">
        <v>669</v>
      </c>
      <c r="C1454" t="s">
        <v>13</v>
      </c>
      <c r="D1454">
        <v>0.01</v>
      </c>
      <c r="E1454">
        <v>40.99</v>
      </c>
      <c r="F1454">
        <v>19.989999999999998</v>
      </c>
      <c r="G1454" t="s">
        <v>14</v>
      </c>
      <c r="H1454" t="s">
        <v>70</v>
      </c>
      <c r="I1454" t="s">
        <v>24</v>
      </c>
      <c r="J1454" t="s">
        <v>64</v>
      </c>
      <c r="K1454" t="s">
        <v>49</v>
      </c>
      <c r="L1454" t="s">
        <v>1210</v>
      </c>
      <c r="M1454">
        <v>0.36</v>
      </c>
      <c r="N1454" t="s">
        <v>8</v>
      </c>
      <c r="O1454" t="s">
        <v>35</v>
      </c>
      <c r="P1454" t="s">
        <v>122</v>
      </c>
      <c r="Q1454" t="s">
        <v>671</v>
      </c>
      <c r="R1454">
        <v>84117</v>
      </c>
      <c r="S1454" s="1">
        <v>42139</v>
      </c>
      <c r="T1454" s="1">
        <v>42142</v>
      </c>
      <c r="U1454">
        <v>177.79</v>
      </c>
      <c r="V1454">
        <v>11</v>
      </c>
      <c r="W1454">
        <v>480.75</v>
      </c>
      <c r="X1454">
        <v>90001</v>
      </c>
      <c r="Y1454">
        <f>cleaneddata[[#This Row],[Unit Price]]-cleaneddata[[#This Row],[Discount]]</f>
        <v>40.980000000000004</v>
      </c>
      <c r="Z145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55" spans="1:26" x14ac:dyDescent="0.3">
      <c r="A1455">
        <v>266</v>
      </c>
      <c r="B1455" t="s">
        <v>2498</v>
      </c>
      <c r="C1455" t="s">
        <v>92</v>
      </c>
      <c r="D1455">
        <v>0.08</v>
      </c>
      <c r="E1455">
        <v>6.48</v>
      </c>
      <c r="F1455">
        <v>7.03</v>
      </c>
      <c r="G1455" t="s">
        <v>14</v>
      </c>
      <c r="H1455" t="s">
        <v>70</v>
      </c>
      <c r="I1455" t="s">
        <v>24</v>
      </c>
      <c r="J1455" t="s">
        <v>64</v>
      </c>
      <c r="K1455" t="s">
        <v>49</v>
      </c>
      <c r="L1455" t="s">
        <v>2499</v>
      </c>
      <c r="M1455">
        <v>0.37</v>
      </c>
      <c r="N1455" t="s">
        <v>8</v>
      </c>
      <c r="O1455" t="s">
        <v>28</v>
      </c>
      <c r="P1455" t="s">
        <v>163</v>
      </c>
      <c r="Q1455" t="s">
        <v>2500</v>
      </c>
      <c r="R1455">
        <v>78207</v>
      </c>
      <c r="S1455" s="1">
        <v>42139</v>
      </c>
      <c r="T1455" s="1">
        <v>42140</v>
      </c>
      <c r="U1455">
        <v>8.9320000000000004</v>
      </c>
      <c r="V1455">
        <v>10</v>
      </c>
      <c r="W1455">
        <v>67.86</v>
      </c>
      <c r="X1455">
        <v>90594</v>
      </c>
      <c r="Y1455">
        <f>cleaneddata[[#This Row],[Unit Price]]-cleaneddata[[#This Row],[Discount]]</f>
        <v>6.4</v>
      </c>
      <c r="Z14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56" spans="1:26" x14ac:dyDescent="0.3">
      <c r="A1456">
        <v>266</v>
      </c>
      <c r="B1456" t="s">
        <v>2498</v>
      </c>
      <c r="C1456" t="s">
        <v>92</v>
      </c>
      <c r="D1456">
        <v>0.01</v>
      </c>
      <c r="E1456">
        <v>20.34</v>
      </c>
      <c r="F1456">
        <v>35</v>
      </c>
      <c r="G1456" t="s">
        <v>14</v>
      </c>
      <c r="H1456" t="s">
        <v>70</v>
      </c>
      <c r="I1456" t="s">
        <v>24</v>
      </c>
      <c r="J1456" t="s">
        <v>54</v>
      </c>
      <c r="K1456" t="s">
        <v>40</v>
      </c>
      <c r="L1456" t="s">
        <v>236</v>
      </c>
      <c r="M1456">
        <v>0.84</v>
      </c>
      <c r="N1456" t="s">
        <v>8</v>
      </c>
      <c r="O1456" t="s">
        <v>28</v>
      </c>
      <c r="P1456" t="s">
        <v>163</v>
      </c>
      <c r="Q1456" t="s">
        <v>2500</v>
      </c>
      <c r="R1456">
        <v>78207</v>
      </c>
      <c r="S1456" s="1">
        <v>42139</v>
      </c>
      <c r="T1456" s="1">
        <v>42140</v>
      </c>
      <c r="U1456">
        <v>229.63800000000001</v>
      </c>
      <c r="V1456">
        <v>33</v>
      </c>
      <c r="W1456">
        <v>747.28</v>
      </c>
      <c r="X1456">
        <v>90594</v>
      </c>
      <c r="Y1456">
        <f>cleaneddata[[#This Row],[Unit Price]]-cleaneddata[[#This Row],[Discount]]</f>
        <v>20.329999999999998</v>
      </c>
      <c r="Z14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57" spans="1:26" x14ac:dyDescent="0.3">
      <c r="A1457">
        <v>491</v>
      </c>
      <c r="B1457" t="s">
        <v>1049</v>
      </c>
      <c r="C1457" t="s">
        <v>92</v>
      </c>
      <c r="D1457">
        <v>0.08</v>
      </c>
      <c r="E1457">
        <v>2.94</v>
      </c>
      <c r="F1457">
        <v>0.96</v>
      </c>
      <c r="G1457" t="s">
        <v>14</v>
      </c>
      <c r="H1457" t="s">
        <v>15</v>
      </c>
      <c r="I1457" t="s">
        <v>24</v>
      </c>
      <c r="J1457" t="s">
        <v>25</v>
      </c>
      <c r="K1457" t="s">
        <v>26</v>
      </c>
      <c r="L1457" t="s">
        <v>805</v>
      </c>
      <c r="M1457">
        <v>0.57999999999999996</v>
      </c>
      <c r="N1457" t="s">
        <v>8</v>
      </c>
      <c r="O1457" t="s">
        <v>87</v>
      </c>
      <c r="P1457" t="s">
        <v>88</v>
      </c>
      <c r="Q1457" t="s">
        <v>89</v>
      </c>
      <c r="R1457">
        <v>10154</v>
      </c>
      <c r="S1457" s="1">
        <v>42139</v>
      </c>
      <c r="T1457" s="1">
        <v>42141</v>
      </c>
      <c r="U1457">
        <v>-2.12</v>
      </c>
      <c r="V1457">
        <v>23</v>
      </c>
      <c r="W1457">
        <v>66.7</v>
      </c>
      <c r="X1457">
        <v>8353</v>
      </c>
      <c r="Y1457">
        <f>cleaneddata[[#This Row],[Unit Price]]-cleaneddata[[#This Row],[Discount]]</f>
        <v>2.86</v>
      </c>
      <c r="Z145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58" spans="1:26" x14ac:dyDescent="0.3">
      <c r="A1458">
        <v>494</v>
      </c>
      <c r="B1458" t="s">
        <v>1050</v>
      </c>
      <c r="C1458" t="s">
        <v>92</v>
      </c>
      <c r="D1458">
        <v>0.06</v>
      </c>
      <c r="E1458">
        <v>8.32</v>
      </c>
      <c r="F1458">
        <v>2.38</v>
      </c>
      <c r="G1458" t="s">
        <v>14</v>
      </c>
      <c r="H1458" t="s">
        <v>15</v>
      </c>
      <c r="I1458" t="s">
        <v>16</v>
      </c>
      <c r="J1458" t="s">
        <v>17</v>
      </c>
      <c r="K1458" t="s">
        <v>18</v>
      </c>
      <c r="L1458" t="s">
        <v>1401</v>
      </c>
      <c r="M1458">
        <v>0.74</v>
      </c>
      <c r="N1458" t="s">
        <v>8</v>
      </c>
      <c r="O1458" t="s">
        <v>35</v>
      </c>
      <c r="P1458" t="s">
        <v>42</v>
      </c>
      <c r="Q1458" t="s">
        <v>118</v>
      </c>
      <c r="R1458">
        <v>98115</v>
      </c>
      <c r="S1458" s="1">
        <v>42139</v>
      </c>
      <c r="T1458" s="1">
        <v>42141</v>
      </c>
      <c r="U1458">
        <v>-36.630000000000003</v>
      </c>
      <c r="V1458">
        <v>12</v>
      </c>
      <c r="W1458">
        <v>101.26</v>
      </c>
      <c r="X1458">
        <v>88905</v>
      </c>
      <c r="Y1458">
        <f>cleaneddata[[#This Row],[Unit Price]]-cleaneddata[[#This Row],[Discount]]</f>
        <v>8.26</v>
      </c>
      <c r="Z145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59" spans="1:26" x14ac:dyDescent="0.3">
      <c r="A1459">
        <v>494</v>
      </c>
      <c r="B1459" t="s">
        <v>1050</v>
      </c>
      <c r="C1459" t="s">
        <v>92</v>
      </c>
      <c r="D1459">
        <v>0.08</v>
      </c>
      <c r="E1459">
        <v>2.94</v>
      </c>
      <c r="F1459">
        <v>0.96</v>
      </c>
      <c r="G1459" t="s">
        <v>14</v>
      </c>
      <c r="H1459" t="s">
        <v>15</v>
      </c>
      <c r="I1459" t="s">
        <v>24</v>
      </c>
      <c r="J1459" t="s">
        <v>25</v>
      </c>
      <c r="K1459" t="s">
        <v>26</v>
      </c>
      <c r="L1459" t="s">
        <v>805</v>
      </c>
      <c r="M1459">
        <v>0.57999999999999996</v>
      </c>
      <c r="N1459" t="s">
        <v>8</v>
      </c>
      <c r="O1459" t="s">
        <v>35</v>
      </c>
      <c r="P1459" t="s">
        <v>42</v>
      </c>
      <c r="Q1459" t="s">
        <v>118</v>
      </c>
      <c r="R1459">
        <v>98115</v>
      </c>
      <c r="S1459" s="1">
        <v>42139</v>
      </c>
      <c r="T1459" s="1">
        <v>42141</v>
      </c>
      <c r="U1459">
        <v>-2.12</v>
      </c>
      <c r="V1459">
        <v>6</v>
      </c>
      <c r="W1459">
        <v>17.399999999999999</v>
      </c>
      <c r="X1459">
        <v>88905</v>
      </c>
      <c r="Y1459">
        <f>cleaneddata[[#This Row],[Unit Price]]-cleaneddata[[#This Row],[Discount]]</f>
        <v>2.86</v>
      </c>
      <c r="Z14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60" spans="1:26" x14ac:dyDescent="0.3">
      <c r="A1460">
        <v>3041</v>
      </c>
      <c r="B1460" t="s">
        <v>2501</v>
      </c>
      <c r="C1460" t="s">
        <v>46</v>
      </c>
      <c r="D1460">
        <v>0.08</v>
      </c>
      <c r="E1460">
        <v>73.98</v>
      </c>
      <c r="F1460">
        <v>4</v>
      </c>
      <c r="G1460" t="s">
        <v>14</v>
      </c>
      <c r="H1460" t="s">
        <v>70</v>
      </c>
      <c r="I1460" t="s">
        <v>16</v>
      </c>
      <c r="J1460" t="s">
        <v>17</v>
      </c>
      <c r="K1460" t="s">
        <v>49</v>
      </c>
      <c r="L1460" t="s">
        <v>709</v>
      </c>
      <c r="M1460">
        <v>0.77</v>
      </c>
      <c r="N1460" t="s">
        <v>8</v>
      </c>
      <c r="O1460" t="s">
        <v>28</v>
      </c>
      <c r="P1460" t="s">
        <v>513</v>
      </c>
      <c r="Q1460" t="s">
        <v>2041</v>
      </c>
      <c r="R1460">
        <v>67846</v>
      </c>
      <c r="S1460" s="1">
        <v>42139</v>
      </c>
      <c r="T1460" s="1">
        <v>42142</v>
      </c>
      <c r="U1460">
        <v>97.16</v>
      </c>
      <c r="V1460">
        <v>17</v>
      </c>
      <c r="W1460">
        <v>1181.67</v>
      </c>
      <c r="X1460">
        <v>86102</v>
      </c>
      <c r="Y1460">
        <f>cleaneddata[[#This Row],[Unit Price]]-cleaneddata[[#This Row],[Discount]]</f>
        <v>73.900000000000006</v>
      </c>
      <c r="Z146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61" spans="1:26" x14ac:dyDescent="0.3">
      <c r="A1461">
        <v>3041</v>
      </c>
      <c r="B1461" t="s">
        <v>2501</v>
      </c>
      <c r="C1461" t="s">
        <v>46</v>
      </c>
      <c r="D1461">
        <v>0.02</v>
      </c>
      <c r="E1461">
        <v>3.68</v>
      </c>
      <c r="F1461">
        <v>1.32</v>
      </c>
      <c r="G1461" t="s">
        <v>14</v>
      </c>
      <c r="H1461" t="s">
        <v>70</v>
      </c>
      <c r="I1461" t="s">
        <v>24</v>
      </c>
      <c r="J1461" t="s">
        <v>544</v>
      </c>
      <c r="K1461" t="s">
        <v>26</v>
      </c>
      <c r="L1461" t="s">
        <v>2502</v>
      </c>
      <c r="M1461">
        <v>0.83</v>
      </c>
      <c r="N1461" t="s">
        <v>8</v>
      </c>
      <c r="O1461" t="s">
        <v>28</v>
      </c>
      <c r="P1461" t="s">
        <v>513</v>
      </c>
      <c r="Q1461" t="s">
        <v>2041</v>
      </c>
      <c r="R1461">
        <v>67846</v>
      </c>
      <c r="S1461" s="1">
        <v>42139</v>
      </c>
      <c r="T1461" s="1">
        <v>42141</v>
      </c>
      <c r="U1461">
        <v>-20.65</v>
      </c>
      <c r="V1461">
        <v>8</v>
      </c>
      <c r="W1461">
        <v>29.93</v>
      </c>
      <c r="X1461">
        <v>86102</v>
      </c>
      <c r="Y1461">
        <f>cleaneddata[[#This Row],[Unit Price]]-cleaneddata[[#This Row],[Discount]]</f>
        <v>3.66</v>
      </c>
      <c r="Z146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62" spans="1:26" x14ac:dyDescent="0.3">
      <c r="A1462">
        <v>136</v>
      </c>
      <c r="B1462" t="s">
        <v>2503</v>
      </c>
      <c r="C1462" t="s">
        <v>1</v>
      </c>
      <c r="D1462">
        <v>0.04</v>
      </c>
      <c r="E1462">
        <v>18.97</v>
      </c>
      <c r="F1462">
        <v>9.5399999999999991</v>
      </c>
      <c r="G1462" t="s">
        <v>14</v>
      </c>
      <c r="H1462" t="s">
        <v>3</v>
      </c>
      <c r="I1462" t="s">
        <v>24</v>
      </c>
      <c r="J1462" t="s">
        <v>64</v>
      </c>
      <c r="K1462" t="s">
        <v>49</v>
      </c>
      <c r="L1462" t="s">
        <v>455</v>
      </c>
      <c r="M1462">
        <v>0.37</v>
      </c>
      <c r="N1462" t="s">
        <v>8</v>
      </c>
      <c r="O1462" t="s">
        <v>35</v>
      </c>
      <c r="P1462" t="s">
        <v>66</v>
      </c>
      <c r="Q1462" t="s">
        <v>2504</v>
      </c>
      <c r="R1462">
        <v>94952</v>
      </c>
      <c r="S1462" s="1">
        <v>42140</v>
      </c>
      <c r="T1462" s="1">
        <v>42141</v>
      </c>
      <c r="U1462">
        <v>3.04</v>
      </c>
      <c r="V1462">
        <v>5</v>
      </c>
      <c r="W1462">
        <v>101.74</v>
      </c>
      <c r="X1462">
        <v>88534</v>
      </c>
      <c r="Y1462">
        <f>cleaneddata[[#This Row],[Unit Price]]-cleaneddata[[#This Row],[Discount]]</f>
        <v>18.93</v>
      </c>
      <c r="Z14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63" spans="1:26" x14ac:dyDescent="0.3">
      <c r="A1463">
        <v>136</v>
      </c>
      <c r="B1463" t="s">
        <v>2503</v>
      </c>
      <c r="C1463" t="s">
        <v>1</v>
      </c>
      <c r="D1463">
        <v>0.09</v>
      </c>
      <c r="E1463">
        <v>10.98</v>
      </c>
      <c r="F1463">
        <v>3.37</v>
      </c>
      <c r="G1463" t="s">
        <v>14</v>
      </c>
      <c r="H1463" t="s">
        <v>3</v>
      </c>
      <c r="I1463" t="s">
        <v>24</v>
      </c>
      <c r="J1463" t="s">
        <v>544</v>
      </c>
      <c r="K1463" t="s">
        <v>18</v>
      </c>
      <c r="L1463" t="s">
        <v>2105</v>
      </c>
      <c r="M1463">
        <v>0.56999999999999995</v>
      </c>
      <c r="N1463" t="s">
        <v>8</v>
      </c>
      <c r="O1463" t="s">
        <v>35</v>
      </c>
      <c r="P1463" t="s">
        <v>66</v>
      </c>
      <c r="Q1463" t="s">
        <v>2504</v>
      </c>
      <c r="R1463">
        <v>94952</v>
      </c>
      <c r="S1463" s="1">
        <v>42140</v>
      </c>
      <c r="T1463" s="1">
        <v>42141</v>
      </c>
      <c r="U1463">
        <v>2.706</v>
      </c>
      <c r="V1463">
        <v>8</v>
      </c>
      <c r="W1463">
        <v>84.52</v>
      </c>
      <c r="X1463">
        <v>88534</v>
      </c>
      <c r="Y1463">
        <f>cleaneddata[[#This Row],[Unit Price]]-cleaneddata[[#This Row],[Discount]]</f>
        <v>10.89</v>
      </c>
      <c r="Z14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64" spans="1:26" x14ac:dyDescent="0.3">
      <c r="A1464">
        <v>688</v>
      </c>
      <c r="B1464" t="s">
        <v>1497</v>
      </c>
      <c r="C1464" t="s">
        <v>1</v>
      </c>
      <c r="D1464">
        <v>7.0000000000000007E-2</v>
      </c>
      <c r="E1464">
        <v>279.48</v>
      </c>
      <c r="F1464">
        <v>35</v>
      </c>
      <c r="G1464" t="s">
        <v>14</v>
      </c>
      <c r="H1464" t="s">
        <v>3</v>
      </c>
      <c r="I1464" t="s">
        <v>24</v>
      </c>
      <c r="J1464" t="s">
        <v>54</v>
      </c>
      <c r="K1464" t="s">
        <v>40</v>
      </c>
      <c r="L1464" t="s">
        <v>201</v>
      </c>
      <c r="M1464">
        <v>0.8</v>
      </c>
      <c r="N1464" t="s">
        <v>8</v>
      </c>
      <c r="O1464" t="s">
        <v>28</v>
      </c>
      <c r="P1464" t="s">
        <v>56</v>
      </c>
      <c r="Q1464" t="s">
        <v>1499</v>
      </c>
      <c r="R1464">
        <v>63116</v>
      </c>
      <c r="S1464" s="1">
        <v>42140</v>
      </c>
      <c r="T1464" s="1">
        <v>42140</v>
      </c>
      <c r="U1464">
        <v>-207.28</v>
      </c>
      <c r="V1464">
        <v>10</v>
      </c>
      <c r="W1464">
        <v>2716.09</v>
      </c>
      <c r="X1464">
        <v>88503</v>
      </c>
      <c r="Y1464">
        <f>cleaneddata[[#This Row],[Unit Price]]-cleaneddata[[#This Row],[Discount]]</f>
        <v>279.41000000000003</v>
      </c>
      <c r="Z14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65" spans="1:26" x14ac:dyDescent="0.3">
      <c r="A1465">
        <v>1042</v>
      </c>
      <c r="B1465" t="s">
        <v>2505</v>
      </c>
      <c r="C1465" t="s">
        <v>1</v>
      </c>
      <c r="D1465">
        <v>0</v>
      </c>
      <c r="E1465">
        <v>14.42</v>
      </c>
      <c r="F1465">
        <v>6.75</v>
      </c>
      <c r="G1465" t="s">
        <v>63</v>
      </c>
      <c r="H1465" t="s">
        <v>3</v>
      </c>
      <c r="I1465" t="s">
        <v>24</v>
      </c>
      <c r="J1465" t="s">
        <v>71</v>
      </c>
      <c r="K1465" t="s">
        <v>120</v>
      </c>
      <c r="L1465" t="s">
        <v>385</v>
      </c>
      <c r="M1465">
        <v>0.52</v>
      </c>
      <c r="N1465" t="s">
        <v>8</v>
      </c>
      <c r="O1465" t="s">
        <v>35</v>
      </c>
      <c r="P1465" t="s">
        <v>66</v>
      </c>
      <c r="Q1465" t="s">
        <v>2506</v>
      </c>
      <c r="R1465">
        <v>95991</v>
      </c>
      <c r="S1465" s="1">
        <v>42140</v>
      </c>
      <c r="T1465" s="1">
        <v>42141</v>
      </c>
      <c r="U1465">
        <v>9.33</v>
      </c>
      <c r="V1465">
        <v>6</v>
      </c>
      <c r="W1465">
        <v>98.96</v>
      </c>
      <c r="X1465">
        <v>87847</v>
      </c>
      <c r="Y1465">
        <f>cleaneddata[[#This Row],[Unit Price]]-cleaneddata[[#This Row],[Discount]]</f>
        <v>14.42</v>
      </c>
      <c r="Z146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66" spans="1:26" x14ac:dyDescent="0.3">
      <c r="A1466">
        <v>1390</v>
      </c>
      <c r="B1466" t="s">
        <v>2507</v>
      </c>
      <c r="C1466" t="s">
        <v>1</v>
      </c>
      <c r="D1466">
        <v>0.1</v>
      </c>
      <c r="E1466">
        <v>8.17</v>
      </c>
      <c r="F1466">
        <v>1.69</v>
      </c>
      <c r="G1466" t="s">
        <v>14</v>
      </c>
      <c r="H1466" t="s">
        <v>70</v>
      </c>
      <c r="I1466" t="s">
        <v>24</v>
      </c>
      <c r="J1466" t="s">
        <v>64</v>
      </c>
      <c r="K1466" t="s">
        <v>26</v>
      </c>
      <c r="L1466" t="s">
        <v>2508</v>
      </c>
      <c r="M1466">
        <v>0.38</v>
      </c>
      <c r="N1466" t="s">
        <v>8</v>
      </c>
      <c r="O1466" t="s">
        <v>35</v>
      </c>
      <c r="P1466" t="s">
        <v>66</v>
      </c>
      <c r="Q1466" t="s">
        <v>2509</v>
      </c>
      <c r="R1466">
        <v>95207</v>
      </c>
      <c r="S1466" s="1">
        <v>42140</v>
      </c>
      <c r="T1466" s="1">
        <v>42140</v>
      </c>
      <c r="U1466">
        <v>100.2984</v>
      </c>
      <c r="V1466">
        <v>19</v>
      </c>
      <c r="W1466">
        <v>145.36000000000001</v>
      </c>
      <c r="X1466">
        <v>88731</v>
      </c>
      <c r="Y1466">
        <f>cleaneddata[[#This Row],[Unit Price]]-cleaneddata[[#This Row],[Discount]]</f>
        <v>8.07</v>
      </c>
      <c r="Z146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67" spans="1:26" x14ac:dyDescent="0.3">
      <c r="A1467">
        <v>1390</v>
      </c>
      <c r="B1467" t="s">
        <v>2507</v>
      </c>
      <c r="C1467" t="s">
        <v>1</v>
      </c>
      <c r="D1467">
        <v>0.03</v>
      </c>
      <c r="E1467">
        <v>110.99</v>
      </c>
      <c r="F1467">
        <v>2.5</v>
      </c>
      <c r="G1467" t="s">
        <v>14</v>
      </c>
      <c r="H1467" t="s">
        <v>70</v>
      </c>
      <c r="I1467" t="s">
        <v>16</v>
      </c>
      <c r="J1467" t="s">
        <v>111</v>
      </c>
      <c r="K1467" t="s">
        <v>49</v>
      </c>
      <c r="L1467" t="s">
        <v>112</v>
      </c>
      <c r="M1467">
        <v>0.56999999999999995</v>
      </c>
      <c r="N1467" t="s">
        <v>8</v>
      </c>
      <c r="O1467" t="s">
        <v>35</v>
      </c>
      <c r="P1467" t="s">
        <v>66</v>
      </c>
      <c r="Q1467" t="s">
        <v>2509</v>
      </c>
      <c r="R1467">
        <v>95207</v>
      </c>
      <c r="S1467" s="1">
        <v>42140</v>
      </c>
      <c r="T1467" s="1">
        <v>42142</v>
      </c>
      <c r="U1467">
        <v>2495.3987999999999</v>
      </c>
      <c r="V1467">
        <v>38</v>
      </c>
      <c r="W1467">
        <v>3616.52</v>
      </c>
      <c r="X1467">
        <v>88731</v>
      </c>
      <c r="Y1467">
        <f>cleaneddata[[#This Row],[Unit Price]]-cleaneddata[[#This Row],[Discount]]</f>
        <v>110.96</v>
      </c>
      <c r="Z146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68" spans="1:26" x14ac:dyDescent="0.3">
      <c r="A1468">
        <v>1721</v>
      </c>
      <c r="B1468" t="s">
        <v>2510</v>
      </c>
      <c r="C1468" t="s">
        <v>13</v>
      </c>
      <c r="D1468">
        <v>0.04</v>
      </c>
      <c r="E1468">
        <v>12.44</v>
      </c>
      <c r="F1468">
        <v>6.27</v>
      </c>
      <c r="G1468" t="s">
        <v>14</v>
      </c>
      <c r="H1468" t="s">
        <v>70</v>
      </c>
      <c r="I1468" t="s">
        <v>24</v>
      </c>
      <c r="J1468" t="s">
        <v>54</v>
      </c>
      <c r="K1468" t="s">
        <v>120</v>
      </c>
      <c r="L1468" t="s">
        <v>2511</v>
      </c>
      <c r="M1468">
        <v>0.56999999999999995</v>
      </c>
      <c r="N1468" t="s">
        <v>8</v>
      </c>
      <c r="O1468" t="s">
        <v>9</v>
      </c>
      <c r="P1468" t="s">
        <v>20</v>
      </c>
      <c r="Q1468" t="s">
        <v>2512</v>
      </c>
      <c r="R1468">
        <v>72401</v>
      </c>
      <c r="S1468" s="1">
        <v>42140</v>
      </c>
      <c r="T1468" s="1">
        <v>42141</v>
      </c>
      <c r="U1468">
        <v>-258.56599999999997</v>
      </c>
      <c r="V1468">
        <v>37</v>
      </c>
      <c r="W1468">
        <v>464.94</v>
      </c>
      <c r="X1468">
        <v>90787</v>
      </c>
      <c r="Y1468">
        <f>cleaneddata[[#This Row],[Unit Price]]-cleaneddata[[#This Row],[Discount]]</f>
        <v>12.4</v>
      </c>
      <c r="Z146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69" spans="1:26" x14ac:dyDescent="0.3">
      <c r="A1469">
        <v>1723</v>
      </c>
      <c r="B1469" t="s">
        <v>864</v>
      </c>
      <c r="C1469" t="s">
        <v>13</v>
      </c>
      <c r="D1469">
        <v>0.04</v>
      </c>
      <c r="E1469">
        <v>12.44</v>
      </c>
      <c r="F1469">
        <v>6.27</v>
      </c>
      <c r="G1469" t="s">
        <v>14</v>
      </c>
      <c r="H1469" t="s">
        <v>70</v>
      </c>
      <c r="I1469" t="s">
        <v>24</v>
      </c>
      <c r="J1469" t="s">
        <v>54</v>
      </c>
      <c r="K1469" t="s">
        <v>120</v>
      </c>
      <c r="L1469" t="s">
        <v>2511</v>
      </c>
      <c r="M1469">
        <v>0.56999999999999995</v>
      </c>
      <c r="N1469" t="s">
        <v>8</v>
      </c>
      <c r="O1469" t="s">
        <v>35</v>
      </c>
      <c r="P1469" t="s">
        <v>66</v>
      </c>
      <c r="Q1469" t="s">
        <v>866</v>
      </c>
      <c r="R1469">
        <v>92037</v>
      </c>
      <c r="S1469" s="1">
        <v>42140</v>
      </c>
      <c r="T1469" s="1">
        <v>42141</v>
      </c>
      <c r="U1469">
        <v>-59.06</v>
      </c>
      <c r="V1469">
        <v>146</v>
      </c>
      <c r="W1469">
        <v>1834.61</v>
      </c>
      <c r="X1469">
        <v>32710</v>
      </c>
      <c r="Y1469">
        <f>cleaneddata[[#This Row],[Unit Price]]-cleaneddata[[#This Row],[Discount]]</f>
        <v>12.4</v>
      </c>
      <c r="Z146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70" spans="1:26" x14ac:dyDescent="0.3">
      <c r="A1470">
        <v>2610</v>
      </c>
      <c r="B1470" t="s">
        <v>2513</v>
      </c>
      <c r="C1470" t="s">
        <v>13</v>
      </c>
      <c r="D1470">
        <v>0.09</v>
      </c>
      <c r="E1470">
        <v>5.4</v>
      </c>
      <c r="F1470">
        <v>7.78</v>
      </c>
      <c r="G1470" t="s">
        <v>14</v>
      </c>
      <c r="H1470" t="s">
        <v>70</v>
      </c>
      <c r="I1470" t="s">
        <v>24</v>
      </c>
      <c r="J1470" t="s">
        <v>48</v>
      </c>
      <c r="K1470" t="s">
        <v>49</v>
      </c>
      <c r="L1470" t="s">
        <v>1460</v>
      </c>
      <c r="M1470">
        <v>0.37</v>
      </c>
      <c r="N1470" t="s">
        <v>8</v>
      </c>
      <c r="O1470" t="s">
        <v>35</v>
      </c>
      <c r="P1470" t="s">
        <v>66</v>
      </c>
      <c r="Q1470" t="s">
        <v>2271</v>
      </c>
      <c r="R1470">
        <v>95616</v>
      </c>
      <c r="S1470" s="1">
        <v>42140</v>
      </c>
      <c r="T1470" s="1">
        <v>42141</v>
      </c>
      <c r="U1470">
        <v>-136.25200000000001</v>
      </c>
      <c r="V1470">
        <v>9</v>
      </c>
      <c r="W1470">
        <v>49.24</v>
      </c>
      <c r="X1470">
        <v>86118</v>
      </c>
      <c r="Y1470">
        <f>cleaneddata[[#This Row],[Unit Price]]-cleaneddata[[#This Row],[Discount]]</f>
        <v>5.3100000000000005</v>
      </c>
      <c r="Z147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71" spans="1:26" x14ac:dyDescent="0.3">
      <c r="A1471">
        <v>3354</v>
      </c>
      <c r="B1471" t="s">
        <v>1869</v>
      </c>
      <c r="C1471" t="s">
        <v>13</v>
      </c>
      <c r="D1471">
        <v>0.03</v>
      </c>
      <c r="E1471">
        <v>28.53</v>
      </c>
      <c r="F1471">
        <v>1.49</v>
      </c>
      <c r="G1471" t="s">
        <v>14</v>
      </c>
      <c r="H1471" t="s">
        <v>70</v>
      </c>
      <c r="I1471" t="s">
        <v>24</v>
      </c>
      <c r="J1471" t="s">
        <v>48</v>
      </c>
      <c r="K1471" t="s">
        <v>49</v>
      </c>
      <c r="L1471" t="s">
        <v>1808</v>
      </c>
      <c r="M1471">
        <v>0.38</v>
      </c>
      <c r="N1471" t="s">
        <v>8</v>
      </c>
      <c r="O1471" t="s">
        <v>35</v>
      </c>
      <c r="P1471" t="s">
        <v>66</v>
      </c>
      <c r="Q1471" t="s">
        <v>1871</v>
      </c>
      <c r="R1471">
        <v>92231</v>
      </c>
      <c r="S1471" s="1">
        <v>42140</v>
      </c>
      <c r="T1471" s="1">
        <v>42141</v>
      </c>
      <c r="U1471">
        <v>137.67570000000001</v>
      </c>
      <c r="V1471">
        <v>7</v>
      </c>
      <c r="W1471">
        <v>199.53</v>
      </c>
      <c r="X1471">
        <v>88589</v>
      </c>
      <c r="Y1471">
        <f>cleaneddata[[#This Row],[Unit Price]]-cleaneddata[[#This Row],[Discount]]</f>
        <v>28.5</v>
      </c>
      <c r="Z14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72" spans="1:26" x14ac:dyDescent="0.3">
      <c r="A1472">
        <v>3354</v>
      </c>
      <c r="B1472" t="s">
        <v>1869</v>
      </c>
      <c r="C1472" t="s">
        <v>13</v>
      </c>
      <c r="D1472">
        <v>7.0000000000000007E-2</v>
      </c>
      <c r="E1472">
        <v>5.98</v>
      </c>
      <c r="F1472">
        <v>7.15</v>
      </c>
      <c r="G1472" t="s">
        <v>14</v>
      </c>
      <c r="H1472" t="s">
        <v>70</v>
      </c>
      <c r="I1472" t="s">
        <v>24</v>
      </c>
      <c r="J1472" t="s">
        <v>64</v>
      </c>
      <c r="K1472" t="s">
        <v>49</v>
      </c>
      <c r="L1472" t="s">
        <v>2514</v>
      </c>
      <c r="M1472">
        <v>0.36</v>
      </c>
      <c r="N1472" t="s">
        <v>8</v>
      </c>
      <c r="O1472" t="s">
        <v>35</v>
      </c>
      <c r="P1472" t="s">
        <v>66</v>
      </c>
      <c r="Q1472" t="s">
        <v>1871</v>
      </c>
      <c r="R1472">
        <v>92231</v>
      </c>
      <c r="S1472" s="1">
        <v>42140</v>
      </c>
      <c r="T1472" s="1">
        <v>42142</v>
      </c>
      <c r="U1472">
        <v>-62</v>
      </c>
      <c r="V1472">
        <v>6</v>
      </c>
      <c r="W1472">
        <v>37.049999999999997</v>
      </c>
      <c r="X1472">
        <v>88589</v>
      </c>
      <c r="Y1472">
        <f>cleaneddata[[#This Row],[Unit Price]]-cleaneddata[[#This Row],[Discount]]</f>
        <v>5.91</v>
      </c>
      <c r="Z147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73" spans="1:26" x14ac:dyDescent="0.3">
      <c r="A1473">
        <v>2070</v>
      </c>
      <c r="B1473" t="s">
        <v>2515</v>
      </c>
      <c r="C1473" t="s">
        <v>23</v>
      </c>
      <c r="D1473">
        <v>7.0000000000000007E-2</v>
      </c>
      <c r="E1473">
        <v>35.99</v>
      </c>
      <c r="F1473">
        <v>5.99</v>
      </c>
      <c r="G1473" t="s">
        <v>14</v>
      </c>
      <c r="H1473" t="s">
        <v>70</v>
      </c>
      <c r="I1473" t="s">
        <v>16</v>
      </c>
      <c r="J1473" t="s">
        <v>111</v>
      </c>
      <c r="K1473" t="s">
        <v>26</v>
      </c>
      <c r="L1473" t="s">
        <v>1348</v>
      </c>
      <c r="M1473">
        <v>0.38</v>
      </c>
      <c r="N1473" t="s">
        <v>8</v>
      </c>
      <c r="O1473" t="s">
        <v>28</v>
      </c>
      <c r="P1473" t="s">
        <v>265</v>
      </c>
      <c r="Q1473" t="s">
        <v>2516</v>
      </c>
      <c r="R1473">
        <v>48021</v>
      </c>
      <c r="S1473" s="1">
        <v>42140</v>
      </c>
      <c r="T1473" s="1">
        <v>42144</v>
      </c>
      <c r="U1473">
        <v>17.8398</v>
      </c>
      <c r="V1473">
        <v>5</v>
      </c>
      <c r="W1473">
        <v>153.61000000000001</v>
      </c>
      <c r="X1473">
        <v>88558</v>
      </c>
      <c r="Y1473">
        <f>cleaneddata[[#This Row],[Unit Price]]-cleaneddata[[#This Row],[Discount]]</f>
        <v>35.92</v>
      </c>
      <c r="Z14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74" spans="1:26" x14ac:dyDescent="0.3">
      <c r="A1474">
        <v>2071</v>
      </c>
      <c r="B1474" t="s">
        <v>893</v>
      </c>
      <c r="C1474" t="s">
        <v>23</v>
      </c>
      <c r="D1474">
        <v>0.08</v>
      </c>
      <c r="E1474">
        <v>65.989999999999995</v>
      </c>
      <c r="F1474">
        <v>5.92</v>
      </c>
      <c r="G1474" t="s">
        <v>63</v>
      </c>
      <c r="H1474" t="s">
        <v>70</v>
      </c>
      <c r="I1474" t="s">
        <v>16</v>
      </c>
      <c r="J1474" t="s">
        <v>111</v>
      </c>
      <c r="K1474" t="s">
        <v>49</v>
      </c>
      <c r="L1474" t="s">
        <v>1032</v>
      </c>
      <c r="M1474">
        <v>0.57999999999999996</v>
      </c>
      <c r="N1474" t="s">
        <v>8</v>
      </c>
      <c r="O1474" t="s">
        <v>28</v>
      </c>
      <c r="P1474" t="s">
        <v>265</v>
      </c>
      <c r="Q1474" t="s">
        <v>895</v>
      </c>
      <c r="R1474">
        <v>48336</v>
      </c>
      <c r="S1474" s="1">
        <v>42140</v>
      </c>
      <c r="T1474" s="1">
        <v>42147</v>
      </c>
      <c r="U1474">
        <v>183.84299999999999</v>
      </c>
      <c r="V1474">
        <v>20</v>
      </c>
      <c r="W1474">
        <v>1063.81</v>
      </c>
      <c r="X1474">
        <v>88558</v>
      </c>
      <c r="Y1474">
        <f>cleaneddata[[#This Row],[Unit Price]]-cleaneddata[[#This Row],[Discount]]</f>
        <v>65.91</v>
      </c>
      <c r="Z14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75" spans="1:26" x14ac:dyDescent="0.3">
      <c r="A1475">
        <v>1984</v>
      </c>
      <c r="B1475" t="s">
        <v>2517</v>
      </c>
      <c r="C1475" t="s">
        <v>46</v>
      </c>
      <c r="D1475">
        <v>0.1</v>
      </c>
      <c r="E1475">
        <v>7.37</v>
      </c>
      <c r="F1475">
        <v>5.53</v>
      </c>
      <c r="G1475" t="s">
        <v>14</v>
      </c>
      <c r="H1475" t="s">
        <v>15</v>
      </c>
      <c r="I1475" t="s">
        <v>16</v>
      </c>
      <c r="J1475" t="s">
        <v>17</v>
      </c>
      <c r="K1475" t="s">
        <v>18</v>
      </c>
      <c r="L1475" t="s">
        <v>525</v>
      </c>
      <c r="M1475">
        <v>0.69</v>
      </c>
      <c r="N1475" t="s">
        <v>8</v>
      </c>
      <c r="O1475" t="s">
        <v>9</v>
      </c>
      <c r="P1475" t="s">
        <v>247</v>
      </c>
      <c r="Q1475" t="s">
        <v>248</v>
      </c>
      <c r="R1475">
        <v>29915</v>
      </c>
      <c r="S1475" s="1">
        <v>42140</v>
      </c>
      <c r="T1475" s="1">
        <v>42140</v>
      </c>
      <c r="U1475">
        <v>290.202</v>
      </c>
      <c r="V1475">
        <v>38</v>
      </c>
      <c r="W1475">
        <v>269.33</v>
      </c>
      <c r="X1475">
        <v>91258</v>
      </c>
      <c r="Y1475">
        <f>cleaneddata[[#This Row],[Unit Price]]-cleaneddata[[#This Row],[Discount]]</f>
        <v>7.2700000000000005</v>
      </c>
      <c r="Z147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76" spans="1:26" x14ac:dyDescent="0.3">
      <c r="A1476">
        <v>91</v>
      </c>
      <c r="B1476" t="s">
        <v>1222</v>
      </c>
      <c r="C1476" t="s">
        <v>13</v>
      </c>
      <c r="D1476">
        <v>7.0000000000000007E-2</v>
      </c>
      <c r="E1476">
        <v>19.84</v>
      </c>
      <c r="F1476">
        <v>4.0999999999999996</v>
      </c>
      <c r="G1476" t="s">
        <v>14</v>
      </c>
      <c r="H1476" t="s">
        <v>47</v>
      </c>
      <c r="I1476" t="s">
        <v>24</v>
      </c>
      <c r="J1476" t="s">
        <v>25</v>
      </c>
      <c r="K1476" t="s">
        <v>26</v>
      </c>
      <c r="L1476" t="s">
        <v>2518</v>
      </c>
      <c r="M1476">
        <v>0.44</v>
      </c>
      <c r="N1476" t="s">
        <v>8</v>
      </c>
      <c r="O1476" t="s">
        <v>35</v>
      </c>
      <c r="P1476" t="s">
        <v>66</v>
      </c>
      <c r="Q1476" t="s">
        <v>1223</v>
      </c>
      <c r="R1476">
        <v>94591</v>
      </c>
      <c r="S1476" s="1">
        <v>42141</v>
      </c>
      <c r="T1476" s="1">
        <v>42142</v>
      </c>
      <c r="U1476">
        <v>117.852</v>
      </c>
      <c r="V1476">
        <v>9</v>
      </c>
      <c r="W1476">
        <v>170.8</v>
      </c>
      <c r="X1476">
        <v>87175</v>
      </c>
      <c r="Y1476">
        <f>cleaneddata[[#This Row],[Unit Price]]-cleaneddata[[#This Row],[Discount]]</f>
        <v>19.77</v>
      </c>
      <c r="Z14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77" spans="1:26" x14ac:dyDescent="0.3">
      <c r="A1477">
        <v>92</v>
      </c>
      <c r="B1477" t="s">
        <v>2519</v>
      </c>
      <c r="C1477" t="s">
        <v>13</v>
      </c>
      <c r="D1477">
        <v>7.0000000000000007E-2</v>
      </c>
      <c r="E1477">
        <v>8.34</v>
      </c>
      <c r="F1477">
        <v>1.43</v>
      </c>
      <c r="G1477" t="s">
        <v>14</v>
      </c>
      <c r="H1477" t="s">
        <v>47</v>
      </c>
      <c r="I1477" t="s">
        <v>24</v>
      </c>
      <c r="J1477" t="s">
        <v>64</v>
      </c>
      <c r="K1477" t="s">
        <v>26</v>
      </c>
      <c r="L1477" t="s">
        <v>2520</v>
      </c>
      <c r="M1477">
        <v>0.35</v>
      </c>
      <c r="N1477" t="s">
        <v>8</v>
      </c>
      <c r="O1477" t="s">
        <v>9</v>
      </c>
      <c r="P1477" t="s">
        <v>144</v>
      </c>
      <c r="Q1477" t="s">
        <v>2521</v>
      </c>
      <c r="R1477">
        <v>70056</v>
      </c>
      <c r="S1477" s="1">
        <v>42141</v>
      </c>
      <c r="T1477" s="1">
        <v>42143</v>
      </c>
      <c r="U1477">
        <v>-190.68</v>
      </c>
      <c r="V1477">
        <v>16</v>
      </c>
      <c r="W1477">
        <v>132.08000000000001</v>
      </c>
      <c r="X1477">
        <v>87175</v>
      </c>
      <c r="Y1477">
        <f>cleaneddata[[#This Row],[Unit Price]]-cleaneddata[[#This Row],[Discount]]</f>
        <v>8.27</v>
      </c>
      <c r="Z14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78" spans="1:26" x14ac:dyDescent="0.3">
      <c r="A1478">
        <v>92</v>
      </c>
      <c r="B1478" t="s">
        <v>2519</v>
      </c>
      <c r="C1478" t="s">
        <v>13</v>
      </c>
      <c r="D1478">
        <v>0.09</v>
      </c>
      <c r="E1478">
        <v>4.9800000000000004</v>
      </c>
      <c r="F1478">
        <v>6.07</v>
      </c>
      <c r="G1478" t="s">
        <v>14</v>
      </c>
      <c r="H1478" t="s">
        <v>47</v>
      </c>
      <c r="I1478" t="s">
        <v>24</v>
      </c>
      <c r="J1478" t="s">
        <v>64</v>
      </c>
      <c r="K1478" t="s">
        <v>49</v>
      </c>
      <c r="L1478" t="s">
        <v>763</v>
      </c>
      <c r="M1478">
        <v>0.36</v>
      </c>
      <c r="N1478" t="s">
        <v>8</v>
      </c>
      <c r="O1478" t="s">
        <v>9</v>
      </c>
      <c r="P1478" t="s">
        <v>144</v>
      </c>
      <c r="Q1478" t="s">
        <v>2521</v>
      </c>
      <c r="R1478">
        <v>70056</v>
      </c>
      <c r="S1478" s="1">
        <v>42141</v>
      </c>
      <c r="T1478" s="1">
        <v>42142</v>
      </c>
      <c r="U1478">
        <v>325.39800000000002</v>
      </c>
      <c r="V1478">
        <v>9</v>
      </c>
      <c r="W1478">
        <v>45.34</v>
      </c>
      <c r="X1478">
        <v>87175</v>
      </c>
      <c r="Y1478">
        <f>cleaneddata[[#This Row],[Unit Price]]-cleaneddata[[#This Row],[Discount]]</f>
        <v>4.8900000000000006</v>
      </c>
      <c r="Z14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79" spans="1:26" x14ac:dyDescent="0.3">
      <c r="A1479">
        <v>772</v>
      </c>
      <c r="B1479" t="s">
        <v>452</v>
      </c>
      <c r="C1479" t="s">
        <v>23</v>
      </c>
      <c r="D1479">
        <v>0.02</v>
      </c>
      <c r="E1479">
        <v>4.0599999999999996</v>
      </c>
      <c r="F1479">
        <v>6.89</v>
      </c>
      <c r="G1479" t="s">
        <v>63</v>
      </c>
      <c r="H1479" t="s">
        <v>3</v>
      </c>
      <c r="I1479" t="s">
        <v>24</v>
      </c>
      <c r="J1479" t="s">
        <v>71</v>
      </c>
      <c r="K1479" t="s">
        <v>49</v>
      </c>
      <c r="L1479" t="s">
        <v>1247</v>
      </c>
      <c r="M1479">
        <v>0.6</v>
      </c>
      <c r="N1479" t="s">
        <v>8</v>
      </c>
      <c r="O1479" t="s">
        <v>87</v>
      </c>
      <c r="P1479" t="s">
        <v>296</v>
      </c>
      <c r="Q1479" t="s">
        <v>454</v>
      </c>
      <c r="R1479">
        <v>18103</v>
      </c>
      <c r="S1479" s="1">
        <v>42141</v>
      </c>
      <c r="T1479" s="1">
        <v>42145</v>
      </c>
      <c r="U1479">
        <v>12.706</v>
      </c>
      <c r="V1479">
        <v>12</v>
      </c>
      <c r="W1479">
        <v>64.41</v>
      </c>
      <c r="X1479">
        <v>88668</v>
      </c>
      <c r="Y1479">
        <f>cleaneddata[[#This Row],[Unit Price]]-cleaneddata[[#This Row],[Discount]]</f>
        <v>4.04</v>
      </c>
      <c r="Z147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80" spans="1:26" x14ac:dyDescent="0.3">
      <c r="A1480">
        <v>772</v>
      </c>
      <c r="B1480" t="s">
        <v>452</v>
      </c>
      <c r="C1480" t="s">
        <v>23</v>
      </c>
      <c r="D1480">
        <v>7.0000000000000007E-2</v>
      </c>
      <c r="E1480">
        <v>9.49</v>
      </c>
      <c r="F1480">
        <v>5.76</v>
      </c>
      <c r="G1480" t="s">
        <v>14</v>
      </c>
      <c r="H1480" t="s">
        <v>3</v>
      </c>
      <c r="I1480" t="s">
        <v>16</v>
      </c>
      <c r="J1480" t="s">
        <v>32</v>
      </c>
      <c r="K1480" t="s">
        <v>120</v>
      </c>
      <c r="L1480" t="s">
        <v>2522</v>
      </c>
      <c r="M1480">
        <v>0.39</v>
      </c>
      <c r="N1480" t="s">
        <v>8</v>
      </c>
      <c r="O1480" t="s">
        <v>87</v>
      </c>
      <c r="P1480" t="s">
        <v>296</v>
      </c>
      <c r="Q1480" t="s">
        <v>454</v>
      </c>
      <c r="R1480">
        <v>18103</v>
      </c>
      <c r="S1480" s="1">
        <v>42141</v>
      </c>
      <c r="T1480" s="1">
        <v>42145</v>
      </c>
      <c r="U1480">
        <v>7.71516</v>
      </c>
      <c r="V1480">
        <v>37</v>
      </c>
      <c r="W1480">
        <v>344.57</v>
      </c>
      <c r="X1480">
        <v>88668</v>
      </c>
      <c r="Y1480">
        <f>cleaneddata[[#This Row],[Unit Price]]-cleaneddata[[#This Row],[Discount]]</f>
        <v>9.42</v>
      </c>
      <c r="Z148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81" spans="1:26" x14ac:dyDescent="0.3">
      <c r="A1481">
        <v>1906</v>
      </c>
      <c r="B1481" t="s">
        <v>2523</v>
      </c>
      <c r="C1481" t="s">
        <v>23</v>
      </c>
      <c r="D1481">
        <v>7.0000000000000007E-2</v>
      </c>
      <c r="E1481">
        <v>172.99</v>
      </c>
      <c r="F1481">
        <v>19.989999999999998</v>
      </c>
      <c r="G1481" t="s">
        <v>14</v>
      </c>
      <c r="H1481" t="s">
        <v>70</v>
      </c>
      <c r="I1481" t="s">
        <v>24</v>
      </c>
      <c r="J1481" t="s">
        <v>48</v>
      </c>
      <c r="K1481" t="s">
        <v>49</v>
      </c>
      <c r="L1481" t="s">
        <v>2524</v>
      </c>
      <c r="M1481">
        <v>0.39</v>
      </c>
      <c r="N1481" t="s">
        <v>8</v>
      </c>
      <c r="O1481" t="s">
        <v>87</v>
      </c>
      <c r="P1481" t="s">
        <v>293</v>
      </c>
      <c r="Q1481" t="s">
        <v>1995</v>
      </c>
      <c r="R1481">
        <v>45801</v>
      </c>
      <c r="S1481" s="1">
        <v>42141</v>
      </c>
      <c r="T1481" s="1">
        <v>42141</v>
      </c>
      <c r="U1481">
        <v>2502.6851999999999</v>
      </c>
      <c r="V1481">
        <v>22</v>
      </c>
      <c r="W1481">
        <v>3627.08</v>
      </c>
      <c r="X1481">
        <v>86500</v>
      </c>
      <c r="Y1481">
        <f>cleaneddata[[#This Row],[Unit Price]]-cleaneddata[[#This Row],[Discount]]</f>
        <v>172.92000000000002</v>
      </c>
      <c r="Z148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82" spans="1:26" x14ac:dyDescent="0.3">
      <c r="A1482">
        <v>1907</v>
      </c>
      <c r="B1482" t="s">
        <v>2525</v>
      </c>
      <c r="C1482" t="s">
        <v>23</v>
      </c>
      <c r="D1482">
        <v>0.09</v>
      </c>
      <c r="E1482">
        <v>7.64</v>
      </c>
      <c r="F1482">
        <v>1.39</v>
      </c>
      <c r="G1482" t="s">
        <v>14</v>
      </c>
      <c r="H1482" t="s">
        <v>70</v>
      </c>
      <c r="I1482" t="s">
        <v>24</v>
      </c>
      <c r="J1482" t="s">
        <v>321</v>
      </c>
      <c r="K1482" t="s">
        <v>49</v>
      </c>
      <c r="L1482" t="s">
        <v>1534</v>
      </c>
      <c r="M1482">
        <v>0.36</v>
      </c>
      <c r="N1482" t="s">
        <v>8</v>
      </c>
      <c r="O1482" t="s">
        <v>87</v>
      </c>
      <c r="P1482" t="s">
        <v>293</v>
      </c>
      <c r="Q1482" t="s">
        <v>2526</v>
      </c>
      <c r="R1482">
        <v>44052</v>
      </c>
      <c r="S1482" s="1">
        <v>42141</v>
      </c>
      <c r="T1482" s="1">
        <v>42150</v>
      </c>
      <c r="U1482">
        <v>0.68799999999999994</v>
      </c>
      <c r="V1482">
        <v>1</v>
      </c>
      <c r="W1482">
        <v>8.34</v>
      </c>
      <c r="X1482">
        <v>86500</v>
      </c>
      <c r="Y1482">
        <f>cleaneddata[[#This Row],[Unit Price]]-cleaneddata[[#This Row],[Discount]]</f>
        <v>7.55</v>
      </c>
      <c r="Z148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83" spans="1:26" x14ac:dyDescent="0.3">
      <c r="A1483">
        <v>2858</v>
      </c>
      <c r="B1483" t="s">
        <v>2527</v>
      </c>
      <c r="C1483" t="s">
        <v>92</v>
      </c>
      <c r="D1483">
        <v>0.06</v>
      </c>
      <c r="E1483">
        <v>2.94</v>
      </c>
      <c r="F1483">
        <v>0.96</v>
      </c>
      <c r="G1483" t="s">
        <v>14</v>
      </c>
      <c r="H1483" t="s">
        <v>70</v>
      </c>
      <c r="I1483" t="s">
        <v>24</v>
      </c>
      <c r="J1483" t="s">
        <v>25</v>
      </c>
      <c r="K1483" t="s">
        <v>26</v>
      </c>
      <c r="L1483" t="s">
        <v>805</v>
      </c>
      <c r="M1483">
        <v>0.57999999999999996</v>
      </c>
      <c r="N1483" t="s">
        <v>8</v>
      </c>
      <c r="O1483" t="s">
        <v>9</v>
      </c>
      <c r="P1483" t="s">
        <v>99</v>
      </c>
      <c r="Q1483" t="s">
        <v>1339</v>
      </c>
      <c r="R1483">
        <v>32259</v>
      </c>
      <c r="S1483" s="1">
        <v>42141</v>
      </c>
      <c r="T1483" s="1">
        <v>42142</v>
      </c>
      <c r="U1483">
        <v>-8.8759999999999994</v>
      </c>
      <c r="V1483">
        <v>3</v>
      </c>
      <c r="W1483">
        <v>8.7899999999999991</v>
      </c>
      <c r="X1483">
        <v>88279</v>
      </c>
      <c r="Y1483">
        <f>cleaneddata[[#This Row],[Unit Price]]-cleaneddata[[#This Row],[Discount]]</f>
        <v>2.88</v>
      </c>
      <c r="Z14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84" spans="1:26" x14ac:dyDescent="0.3">
      <c r="A1484">
        <v>3132</v>
      </c>
      <c r="B1484" t="s">
        <v>2528</v>
      </c>
      <c r="C1484" t="s">
        <v>92</v>
      </c>
      <c r="D1484">
        <v>0.04</v>
      </c>
      <c r="E1484">
        <v>62.05</v>
      </c>
      <c r="F1484">
        <v>3.99</v>
      </c>
      <c r="G1484" t="s">
        <v>14</v>
      </c>
      <c r="H1484" t="s">
        <v>70</v>
      </c>
      <c r="I1484" t="s">
        <v>24</v>
      </c>
      <c r="J1484" t="s">
        <v>71</v>
      </c>
      <c r="K1484" t="s">
        <v>49</v>
      </c>
      <c r="L1484" t="s">
        <v>2529</v>
      </c>
      <c r="M1484">
        <v>0.55000000000000004</v>
      </c>
      <c r="N1484" t="s">
        <v>8</v>
      </c>
      <c r="O1484" t="s">
        <v>28</v>
      </c>
      <c r="P1484" t="s">
        <v>79</v>
      </c>
      <c r="Q1484" t="s">
        <v>2530</v>
      </c>
      <c r="R1484">
        <v>60060</v>
      </c>
      <c r="S1484" s="1">
        <v>42141</v>
      </c>
      <c r="T1484" s="1">
        <v>42142</v>
      </c>
      <c r="U1484">
        <v>1644.0768</v>
      </c>
      <c r="V1484">
        <v>40</v>
      </c>
      <c r="W1484">
        <v>2382.7199999999998</v>
      </c>
      <c r="X1484">
        <v>86794</v>
      </c>
      <c r="Y1484">
        <f>cleaneddata[[#This Row],[Unit Price]]-cleaneddata[[#This Row],[Discount]]</f>
        <v>62.01</v>
      </c>
      <c r="Z148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85" spans="1:26" x14ac:dyDescent="0.3">
      <c r="A1485">
        <v>3113</v>
      </c>
      <c r="B1485" t="s">
        <v>2531</v>
      </c>
      <c r="C1485" t="s">
        <v>46</v>
      </c>
      <c r="D1485">
        <v>7.0000000000000007E-2</v>
      </c>
      <c r="E1485">
        <v>34.54</v>
      </c>
      <c r="F1485">
        <v>14.72</v>
      </c>
      <c r="G1485" t="s">
        <v>14</v>
      </c>
      <c r="H1485" t="s">
        <v>70</v>
      </c>
      <c r="I1485" t="s">
        <v>24</v>
      </c>
      <c r="J1485" t="s">
        <v>48</v>
      </c>
      <c r="K1485" t="s">
        <v>49</v>
      </c>
      <c r="L1485" t="s">
        <v>2532</v>
      </c>
      <c r="M1485">
        <v>0.37</v>
      </c>
      <c r="N1485" t="s">
        <v>8</v>
      </c>
      <c r="O1485" t="s">
        <v>9</v>
      </c>
      <c r="P1485" t="s">
        <v>144</v>
      </c>
      <c r="Q1485" t="s">
        <v>2533</v>
      </c>
      <c r="R1485">
        <v>70560</v>
      </c>
      <c r="S1485" s="1">
        <v>42141</v>
      </c>
      <c r="T1485" s="1">
        <v>42142</v>
      </c>
      <c r="U1485">
        <v>-20.182259999999999</v>
      </c>
      <c r="V1485">
        <v>17</v>
      </c>
      <c r="W1485">
        <v>574.97</v>
      </c>
      <c r="X1485">
        <v>86860</v>
      </c>
      <c r="Y1485">
        <f>cleaneddata[[#This Row],[Unit Price]]-cleaneddata[[#This Row],[Discount]]</f>
        <v>34.47</v>
      </c>
      <c r="Z148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86" spans="1:26" x14ac:dyDescent="0.3">
      <c r="A1486">
        <v>3113</v>
      </c>
      <c r="B1486" t="s">
        <v>2531</v>
      </c>
      <c r="C1486" t="s">
        <v>46</v>
      </c>
      <c r="D1486">
        <v>0.02</v>
      </c>
      <c r="E1486">
        <v>12.28</v>
      </c>
      <c r="F1486">
        <v>6.47</v>
      </c>
      <c r="G1486" t="s">
        <v>14</v>
      </c>
      <c r="H1486" t="s">
        <v>70</v>
      </c>
      <c r="I1486" t="s">
        <v>24</v>
      </c>
      <c r="J1486" t="s">
        <v>64</v>
      </c>
      <c r="K1486" t="s">
        <v>49</v>
      </c>
      <c r="L1486" t="s">
        <v>2534</v>
      </c>
      <c r="M1486">
        <v>0.38</v>
      </c>
      <c r="N1486" t="s">
        <v>8</v>
      </c>
      <c r="O1486" t="s">
        <v>9</v>
      </c>
      <c r="P1486" t="s">
        <v>144</v>
      </c>
      <c r="Q1486" t="s">
        <v>2533</v>
      </c>
      <c r="R1486">
        <v>70560</v>
      </c>
      <c r="S1486" s="1">
        <v>42141</v>
      </c>
      <c r="T1486" s="1">
        <v>42141</v>
      </c>
      <c r="U1486">
        <v>-156.97219999999999</v>
      </c>
      <c r="V1486">
        <v>9</v>
      </c>
      <c r="W1486">
        <v>115.22</v>
      </c>
      <c r="X1486">
        <v>86860</v>
      </c>
      <c r="Y1486">
        <f>cleaneddata[[#This Row],[Unit Price]]-cleaneddata[[#This Row],[Discount]]</f>
        <v>12.26</v>
      </c>
      <c r="Z148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87" spans="1:26" x14ac:dyDescent="0.3">
      <c r="A1487">
        <v>3113</v>
      </c>
      <c r="B1487" t="s">
        <v>2531</v>
      </c>
      <c r="C1487" t="s">
        <v>46</v>
      </c>
      <c r="D1487">
        <v>0.06</v>
      </c>
      <c r="E1487">
        <v>34.58</v>
      </c>
      <c r="F1487">
        <v>8.99</v>
      </c>
      <c r="G1487" t="s">
        <v>63</v>
      </c>
      <c r="H1487" t="s">
        <v>70</v>
      </c>
      <c r="I1487" t="s">
        <v>24</v>
      </c>
      <c r="J1487" t="s">
        <v>25</v>
      </c>
      <c r="K1487" t="s">
        <v>18</v>
      </c>
      <c r="L1487" t="s">
        <v>2535</v>
      </c>
      <c r="M1487">
        <v>0.56000000000000005</v>
      </c>
      <c r="N1487" t="s">
        <v>8</v>
      </c>
      <c r="O1487" t="s">
        <v>9</v>
      </c>
      <c r="P1487" t="s">
        <v>144</v>
      </c>
      <c r="Q1487" t="s">
        <v>2533</v>
      </c>
      <c r="R1487">
        <v>70560</v>
      </c>
      <c r="S1487" s="1">
        <v>42141</v>
      </c>
      <c r="T1487" s="1">
        <v>42143</v>
      </c>
      <c r="U1487">
        <v>384.5043</v>
      </c>
      <c r="V1487">
        <v>13</v>
      </c>
      <c r="W1487">
        <v>456.58</v>
      </c>
      <c r="X1487">
        <v>86860</v>
      </c>
      <c r="Y1487">
        <f>cleaneddata[[#This Row],[Unit Price]]-cleaneddata[[#This Row],[Discount]]</f>
        <v>34.519999999999996</v>
      </c>
      <c r="Z148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88" spans="1:26" x14ac:dyDescent="0.3">
      <c r="A1488">
        <v>2035</v>
      </c>
      <c r="B1488" t="s">
        <v>2536</v>
      </c>
      <c r="C1488" t="s">
        <v>1</v>
      </c>
      <c r="D1488">
        <v>0.1</v>
      </c>
      <c r="E1488">
        <v>1.89</v>
      </c>
      <c r="F1488">
        <v>0.76</v>
      </c>
      <c r="G1488" t="s">
        <v>14</v>
      </c>
      <c r="H1488" t="s">
        <v>15</v>
      </c>
      <c r="I1488" t="s">
        <v>24</v>
      </c>
      <c r="J1488" t="s">
        <v>152</v>
      </c>
      <c r="K1488" t="s">
        <v>26</v>
      </c>
      <c r="L1488" t="s">
        <v>2537</v>
      </c>
      <c r="M1488">
        <v>0.83</v>
      </c>
      <c r="N1488" t="s">
        <v>8</v>
      </c>
      <c r="O1488" t="s">
        <v>9</v>
      </c>
      <c r="P1488" t="s">
        <v>99</v>
      </c>
      <c r="Q1488" t="s">
        <v>580</v>
      </c>
      <c r="R1488">
        <v>33403</v>
      </c>
      <c r="S1488" s="1">
        <v>42142</v>
      </c>
      <c r="T1488" s="1">
        <v>42144</v>
      </c>
      <c r="U1488">
        <v>-40.432000000000002</v>
      </c>
      <c r="V1488">
        <v>20</v>
      </c>
      <c r="W1488">
        <v>36.72</v>
      </c>
      <c r="X1488">
        <v>87117</v>
      </c>
      <c r="Y1488">
        <f>cleaneddata[[#This Row],[Unit Price]]-cleaneddata[[#This Row],[Discount]]</f>
        <v>1.7899999999999998</v>
      </c>
      <c r="Z14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89" spans="1:26" x14ac:dyDescent="0.3">
      <c r="A1489">
        <v>1554</v>
      </c>
      <c r="B1489" t="s">
        <v>1124</v>
      </c>
      <c r="C1489" t="s">
        <v>13</v>
      </c>
      <c r="D1489">
        <v>0.04</v>
      </c>
      <c r="E1489">
        <v>10.98</v>
      </c>
      <c r="F1489">
        <v>3.99</v>
      </c>
      <c r="G1489" t="s">
        <v>14</v>
      </c>
      <c r="H1489" t="s">
        <v>3</v>
      </c>
      <c r="I1489" t="s">
        <v>24</v>
      </c>
      <c r="J1489" t="s">
        <v>71</v>
      </c>
      <c r="K1489" t="s">
        <v>49</v>
      </c>
      <c r="L1489" t="s">
        <v>1669</v>
      </c>
      <c r="M1489">
        <v>0.57999999999999996</v>
      </c>
      <c r="N1489" t="s">
        <v>8</v>
      </c>
      <c r="O1489" t="s">
        <v>9</v>
      </c>
      <c r="P1489" t="s">
        <v>10</v>
      </c>
      <c r="Q1489" t="s">
        <v>1126</v>
      </c>
      <c r="R1489">
        <v>39503</v>
      </c>
      <c r="S1489" s="1">
        <v>42142</v>
      </c>
      <c r="T1489" s="1">
        <v>42142</v>
      </c>
      <c r="U1489">
        <v>481.03199999999998</v>
      </c>
      <c r="V1489">
        <v>15</v>
      </c>
      <c r="W1489">
        <v>172.22</v>
      </c>
      <c r="X1489">
        <v>87485</v>
      </c>
      <c r="Y1489">
        <f>cleaneddata[[#This Row],[Unit Price]]-cleaneddata[[#This Row],[Discount]]</f>
        <v>10.940000000000001</v>
      </c>
      <c r="Z148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90" spans="1:26" x14ac:dyDescent="0.3">
      <c r="A1490">
        <v>3086</v>
      </c>
      <c r="B1490" t="s">
        <v>2538</v>
      </c>
      <c r="C1490" t="s">
        <v>13</v>
      </c>
      <c r="D1490">
        <v>0.05</v>
      </c>
      <c r="E1490">
        <v>39.99</v>
      </c>
      <c r="F1490">
        <v>10.25</v>
      </c>
      <c r="G1490" t="s">
        <v>63</v>
      </c>
      <c r="H1490" t="s">
        <v>15</v>
      </c>
      <c r="I1490" t="s">
        <v>16</v>
      </c>
      <c r="J1490" t="s">
        <v>17</v>
      </c>
      <c r="K1490" t="s">
        <v>49</v>
      </c>
      <c r="L1490" t="s">
        <v>2539</v>
      </c>
      <c r="M1490">
        <v>0.55000000000000004</v>
      </c>
      <c r="N1490" t="s">
        <v>8</v>
      </c>
      <c r="O1490" t="s">
        <v>9</v>
      </c>
      <c r="P1490" t="s">
        <v>99</v>
      </c>
      <c r="Q1490" t="s">
        <v>2540</v>
      </c>
      <c r="R1490">
        <v>34287</v>
      </c>
      <c r="S1490" s="1">
        <v>42142</v>
      </c>
      <c r="T1490" s="1">
        <v>42143</v>
      </c>
      <c r="U1490">
        <v>4.29</v>
      </c>
      <c r="V1490">
        <v>3</v>
      </c>
      <c r="W1490">
        <v>130.91</v>
      </c>
      <c r="X1490">
        <v>88380</v>
      </c>
      <c r="Y1490">
        <f>cleaneddata[[#This Row],[Unit Price]]-cleaneddata[[#This Row],[Discount]]</f>
        <v>39.940000000000005</v>
      </c>
      <c r="Z149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491" spans="1:26" x14ac:dyDescent="0.3">
      <c r="A1491">
        <v>487</v>
      </c>
      <c r="B1491" t="s">
        <v>2541</v>
      </c>
      <c r="C1491" t="s">
        <v>92</v>
      </c>
      <c r="D1491">
        <v>0.1</v>
      </c>
      <c r="E1491">
        <v>3.36</v>
      </c>
      <c r="F1491">
        <v>6.27</v>
      </c>
      <c r="G1491" t="s">
        <v>63</v>
      </c>
      <c r="H1491" t="s">
        <v>70</v>
      </c>
      <c r="I1491" t="s">
        <v>24</v>
      </c>
      <c r="J1491" t="s">
        <v>48</v>
      </c>
      <c r="K1491" t="s">
        <v>49</v>
      </c>
      <c r="L1491" t="s">
        <v>162</v>
      </c>
      <c r="M1491">
        <v>0.4</v>
      </c>
      <c r="N1491" t="s">
        <v>8</v>
      </c>
      <c r="O1491" t="s">
        <v>87</v>
      </c>
      <c r="P1491" t="s">
        <v>307</v>
      </c>
      <c r="Q1491" t="s">
        <v>308</v>
      </c>
      <c r="R1491">
        <v>4073</v>
      </c>
      <c r="S1491" s="1">
        <v>42142</v>
      </c>
      <c r="T1491" s="1">
        <v>42143</v>
      </c>
      <c r="U1491">
        <v>-67.0565</v>
      </c>
      <c r="V1491">
        <v>5</v>
      </c>
      <c r="W1491">
        <v>20.87</v>
      </c>
      <c r="X1491">
        <v>91063</v>
      </c>
      <c r="Y1491">
        <f>cleaneddata[[#This Row],[Unit Price]]-cleaneddata[[#This Row],[Discount]]</f>
        <v>3.26</v>
      </c>
      <c r="Z149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92" spans="1:26" x14ac:dyDescent="0.3">
      <c r="A1492">
        <v>488</v>
      </c>
      <c r="B1492" t="s">
        <v>2542</v>
      </c>
      <c r="C1492" t="s">
        <v>92</v>
      </c>
      <c r="D1492">
        <v>7.0000000000000007E-2</v>
      </c>
      <c r="E1492">
        <v>12.28</v>
      </c>
      <c r="F1492">
        <v>4.8600000000000003</v>
      </c>
      <c r="G1492" t="s">
        <v>14</v>
      </c>
      <c r="H1492" t="s">
        <v>70</v>
      </c>
      <c r="I1492" t="s">
        <v>24</v>
      </c>
      <c r="J1492" t="s">
        <v>64</v>
      </c>
      <c r="K1492" t="s">
        <v>49</v>
      </c>
      <c r="L1492" t="s">
        <v>1836</v>
      </c>
      <c r="M1492">
        <v>0.38</v>
      </c>
      <c r="N1492" t="s">
        <v>8</v>
      </c>
      <c r="O1492" t="s">
        <v>87</v>
      </c>
      <c r="P1492" t="s">
        <v>307</v>
      </c>
      <c r="Q1492" t="s">
        <v>2403</v>
      </c>
      <c r="R1492">
        <v>4106</v>
      </c>
      <c r="S1492" s="1">
        <v>42142</v>
      </c>
      <c r="T1492" s="1">
        <v>42144</v>
      </c>
      <c r="U1492">
        <v>-7.94</v>
      </c>
      <c r="V1492">
        <v>2</v>
      </c>
      <c r="W1492">
        <v>25.7</v>
      </c>
      <c r="X1492">
        <v>91063</v>
      </c>
      <c r="Y1492">
        <f>cleaneddata[[#This Row],[Unit Price]]-cleaneddata[[#This Row],[Discount]]</f>
        <v>12.209999999999999</v>
      </c>
      <c r="Z149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93" spans="1:26" x14ac:dyDescent="0.3">
      <c r="A1493">
        <v>489</v>
      </c>
      <c r="B1493" t="s">
        <v>2543</v>
      </c>
      <c r="C1493" t="s">
        <v>92</v>
      </c>
      <c r="D1493">
        <v>0.09</v>
      </c>
      <c r="E1493">
        <v>20.99</v>
      </c>
      <c r="F1493">
        <v>0.99</v>
      </c>
      <c r="G1493" t="s">
        <v>14</v>
      </c>
      <c r="H1493" t="s">
        <v>70</v>
      </c>
      <c r="I1493" t="s">
        <v>16</v>
      </c>
      <c r="J1493" t="s">
        <v>111</v>
      </c>
      <c r="K1493" t="s">
        <v>26</v>
      </c>
      <c r="L1493" t="s">
        <v>2307</v>
      </c>
      <c r="M1493">
        <v>0.56999999999999995</v>
      </c>
      <c r="N1493" t="s">
        <v>8</v>
      </c>
      <c r="O1493" t="s">
        <v>87</v>
      </c>
      <c r="P1493" t="s">
        <v>379</v>
      </c>
      <c r="Q1493" t="s">
        <v>2544</v>
      </c>
      <c r="R1493">
        <v>2062</v>
      </c>
      <c r="S1493" s="1">
        <v>42142</v>
      </c>
      <c r="T1493" s="1">
        <v>42142</v>
      </c>
      <c r="U1493">
        <v>122.292</v>
      </c>
      <c r="V1493">
        <v>14</v>
      </c>
      <c r="W1493">
        <v>229.57</v>
      </c>
      <c r="X1493">
        <v>91063</v>
      </c>
      <c r="Y1493">
        <f>cleaneddata[[#This Row],[Unit Price]]-cleaneddata[[#This Row],[Discount]]</f>
        <v>20.9</v>
      </c>
      <c r="Z149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494" spans="1:26" x14ac:dyDescent="0.3">
      <c r="A1494">
        <v>266</v>
      </c>
      <c r="B1494" t="s">
        <v>2498</v>
      </c>
      <c r="C1494" t="s">
        <v>46</v>
      </c>
      <c r="D1494">
        <v>0</v>
      </c>
      <c r="E1494">
        <v>73.98</v>
      </c>
      <c r="F1494">
        <v>12.14</v>
      </c>
      <c r="G1494" t="s">
        <v>63</v>
      </c>
      <c r="H1494" t="s">
        <v>70</v>
      </c>
      <c r="I1494" t="s">
        <v>16</v>
      </c>
      <c r="J1494" t="s">
        <v>17</v>
      </c>
      <c r="K1494" t="s">
        <v>49</v>
      </c>
      <c r="L1494" t="s">
        <v>709</v>
      </c>
      <c r="M1494">
        <v>0.67</v>
      </c>
      <c r="N1494" t="s">
        <v>8</v>
      </c>
      <c r="O1494" t="s">
        <v>28</v>
      </c>
      <c r="P1494" t="s">
        <v>163</v>
      </c>
      <c r="Q1494" t="s">
        <v>2500</v>
      </c>
      <c r="R1494">
        <v>78207</v>
      </c>
      <c r="S1494" s="1">
        <v>42142</v>
      </c>
      <c r="T1494" s="1">
        <v>42144</v>
      </c>
      <c r="U1494">
        <v>326.25</v>
      </c>
      <c r="V1494">
        <v>17</v>
      </c>
      <c r="W1494">
        <v>1300.81</v>
      </c>
      <c r="X1494">
        <v>90593</v>
      </c>
      <c r="Y1494">
        <f>cleaneddata[[#This Row],[Unit Price]]-cleaneddata[[#This Row],[Discount]]</f>
        <v>73.98</v>
      </c>
      <c r="Z14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95" spans="1:26" x14ac:dyDescent="0.3">
      <c r="A1495">
        <v>1433</v>
      </c>
      <c r="B1495" t="s">
        <v>1489</v>
      </c>
      <c r="C1495" t="s">
        <v>13</v>
      </c>
      <c r="D1495">
        <v>7.0000000000000007E-2</v>
      </c>
      <c r="E1495">
        <v>300.98</v>
      </c>
      <c r="F1495">
        <v>64.73</v>
      </c>
      <c r="G1495" t="s">
        <v>2</v>
      </c>
      <c r="H1495" t="s">
        <v>70</v>
      </c>
      <c r="I1495" t="s">
        <v>4</v>
      </c>
      <c r="J1495" t="s">
        <v>85</v>
      </c>
      <c r="K1495" t="s">
        <v>33</v>
      </c>
      <c r="L1495" t="s">
        <v>1316</v>
      </c>
      <c r="M1495">
        <v>0.56000000000000005</v>
      </c>
      <c r="N1495" t="s">
        <v>8</v>
      </c>
      <c r="O1495" t="s">
        <v>28</v>
      </c>
      <c r="P1495" t="s">
        <v>29</v>
      </c>
      <c r="Q1495" t="s">
        <v>1490</v>
      </c>
      <c r="R1495">
        <v>47130</v>
      </c>
      <c r="S1495" s="1">
        <v>42143</v>
      </c>
      <c r="T1495" s="1">
        <v>42145</v>
      </c>
      <c r="U1495">
        <v>1399.64</v>
      </c>
      <c r="V1495">
        <v>14</v>
      </c>
      <c r="W1495">
        <v>4285.5600000000004</v>
      </c>
      <c r="X1495">
        <v>86828</v>
      </c>
      <c r="Y1495">
        <f>cleaneddata[[#This Row],[Unit Price]]-cleaneddata[[#This Row],[Discount]]</f>
        <v>300.91000000000003</v>
      </c>
      <c r="Z14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96" spans="1:26" x14ac:dyDescent="0.3">
      <c r="A1496">
        <v>1433</v>
      </c>
      <c r="B1496" t="s">
        <v>1489</v>
      </c>
      <c r="C1496" t="s">
        <v>13</v>
      </c>
      <c r="D1496">
        <v>0.01</v>
      </c>
      <c r="E1496">
        <v>20.98</v>
      </c>
      <c r="F1496">
        <v>45</v>
      </c>
      <c r="G1496" t="s">
        <v>2</v>
      </c>
      <c r="H1496" t="s">
        <v>70</v>
      </c>
      <c r="I1496" t="s">
        <v>24</v>
      </c>
      <c r="J1496" t="s">
        <v>54</v>
      </c>
      <c r="K1496" t="s">
        <v>33</v>
      </c>
      <c r="L1496" t="s">
        <v>2545</v>
      </c>
      <c r="M1496">
        <v>0.61</v>
      </c>
      <c r="N1496" t="s">
        <v>8</v>
      </c>
      <c r="O1496" t="s">
        <v>28</v>
      </c>
      <c r="P1496" t="s">
        <v>29</v>
      </c>
      <c r="Q1496" t="s">
        <v>1490</v>
      </c>
      <c r="R1496">
        <v>47130</v>
      </c>
      <c r="S1496" s="1">
        <v>42143</v>
      </c>
      <c r="T1496" s="1">
        <v>42143</v>
      </c>
      <c r="U1496">
        <v>232.642</v>
      </c>
      <c r="V1496">
        <v>28</v>
      </c>
      <c r="W1496">
        <v>631.37</v>
      </c>
      <c r="X1496">
        <v>86828</v>
      </c>
      <c r="Y1496">
        <f>cleaneddata[[#This Row],[Unit Price]]-cleaneddata[[#This Row],[Discount]]</f>
        <v>20.97</v>
      </c>
      <c r="Z149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97" spans="1:26" x14ac:dyDescent="0.3">
      <c r="A1497">
        <v>2431</v>
      </c>
      <c r="B1497" t="s">
        <v>2546</v>
      </c>
      <c r="C1497" t="s">
        <v>13</v>
      </c>
      <c r="D1497">
        <v>7.0000000000000007E-2</v>
      </c>
      <c r="E1497">
        <v>155.06</v>
      </c>
      <c r="F1497">
        <v>7.07</v>
      </c>
      <c r="G1497" t="s">
        <v>14</v>
      </c>
      <c r="H1497" t="s">
        <v>15</v>
      </c>
      <c r="I1497" t="s">
        <v>24</v>
      </c>
      <c r="J1497" t="s">
        <v>54</v>
      </c>
      <c r="K1497" t="s">
        <v>49</v>
      </c>
      <c r="L1497" t="s">
        <v>82</v>
      </c>
      <c r="M1497">
        <v>0.59</v>
      </c>
      <c r="N1497" t="s">
        <v>8</v>
      </c>
      <c r="O1497" t="s">
        <v>35</v>
      </c>
      <c r="P1497" t="s">
        <v>66</v>
      </c>
      <c r="Q1497" t="s">
        <v>76</v>
      </c>
      <c r="R1497">
        <v>90004</v>
      </c>
      <c r="S1497" s="1">
        <v>42143</v>
      </c>
      <c r="T1497" s="1">
        <v>42143</v>
      </c>
      <c r="U1497">
        <v>-121.75</v>
      </c>
      <c r="V1497">
        <v>14</v>
      </c>
      <c r="W1497">
        <v>2039.07</v>
      </c>
      <c r="X1497">
        <v>5920</v>
      </c>
      <c r="Y1497">
        <f>cleaneddata[[#This Row],[Unit Price]]-cleaneddata[[#This Row],[Discount]]</f>
        <v>154.99</v>
      </c>
      <c r="Z149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498" spans="1:26" x14ac:dyDescent="0.3">
      <c r="A1498">
        <v>2432</v>
      </c>
      <c r="B1498" t="s">
        <v>2547</v>
      </c>
      <c r="C1498" t="s">
        <v>13</v>
      </c>
      <c r="D1498">
        <v>7.0000000000000007E-2</v>
      </c>
      <c r="E1498">
        <v>155.06</v>
      </c>
      <c r="F1498">
        <v>7.07</v>
      </c>
      <c r="G1498" t="s">
        <v>14</v>
      </c>
      <c r="H1498" t="s">
        <v>15</v>
      </c>
      <c r="I1498" t="s">
        <v>24</v>
      </c>
      <c r="J1498" t="s">
        <v>54</v>
      </c>
      <c r="K1498" t="s">
        <v>49</v>
      </c>
      <c r="L1498" t="s">
        <v>82</v>
      </c>
      <c r="M1498">
        <v>0.59</v>
      </c>
      <c r="N1498" t="s">
        <v>8</v>
      </c>
      <c r="O1498" t="s">
        <v>28</v>
      </c>
      <c r="P1498" t="s">
        <v>183</v>
      </c>
      <c r="Q1498" t="s">
        <v>2548</v>
      </c>
      <c r="R1498">
        <v>73110</v>
      </c>
      <c r="S1498" s="1">
        <v>42143</v>
      </c>
      <c r="T1498" s="1">
        <v>42143</v>
      </c>
      <c r="U1498">
        <v>24.35</v>
      </c>
      <c r="V1498">
        <v>3</v>
      </c>
      <c r="W1498">
        <v>436.94</v>
      </c>
      <c r="X1498">
        <v>89096</v>
      </c>
      <c r="Y1498">
        <f>cleaneddata[[#This Row],[Unit Price]]-cleaneddata[[#This Row],[Discount]]</f>
        <v>154.99</v>
      </c>
      <c r="Z149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499" spans="1:26" x14ac:dyDescent="0.3">
      <c r="A1499">
        <v>3264</v>
      </c>
      <c r="B1499" t="s">
        <v>2549</v>
      </c>
      <c r="C1499" t="s">
        <v>92</v>
      </c>
      <c r="D1499">
        <v>0.04</v>
      </c>
      <c r="E1499">
        <v>9.99</v>
      </c>
      <c r="F1499">
        <v>11.59</v>
      </c>
      <c r="G1499" t="s">
        <v>14</v>
      </c>
      <c r="H1499" t="s">
        <v>70</v>
      </c>
      <c r="I1499" t="s">
        <v>24</v>
      </c>
      <c r="J1499" t="s">
        <v>64</v>
      </c>
      <c r="K1499" t="s">
        <v>49</v>
      </c>
      <c r="L1499" t="s">
        <v>2176</v>
      </c>
      <c r="M1499">
        <v>0.4</v>
      </c>
      <c r="N1499" t="s">
        <v>8</v>
      </c>
      <c r="O1499" t="s">
        <v>35</v>
      </c>
      <c r="P1499" t="s">
        <v>66</v>
      </c>
      <c r="Q1499" t="s">
        <v>2550</v>
      </c>
      <c r="R1499">
        <v>95501</v>
      </c>
      <c r="S1499" s="1">
        <v>42143</v>
      </c>
      <c r="T1499" s="1">
        <v>42145</v>
      </c>
      <c r="U1499">
        <v>-92.32</v>
      </c>
      <c r="V1499">
        <v>5</v>
      </c>
      <c r="W1499">
        <v>52.09</v>
      </c>
      <c r="X1499">
        <v>89835</v>
      </c>
      <c r="Y1499">
        <f>cleaneddata[[#This Row],[Unit Price]]-cleaneddata[[#This Row],[Discount]]</f>
        <v>9.9500000000000011</v>
      </c>
      <c r="Z149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0" spans="1:26" x14ac:dyDescent="0.3">
      <c r="A1500">
        <v>918</v>
      </c>
      <c r="B1500" t="s">
        <v>2120</v>
      </c>
      <c r="C1500" t="s">
        <v>1</v>
      </c>
      <c r="D1500">
        <v>0.09</v>
      </c>
      <c r="E1500">
        <v>58.14</v>
      </c>
      <c r="F1500">
        <v>36.61</v>
      </c>
      <c r="G1500" t="s">
        <v>2</v>
      </c>
      <c r="H1500" t="s">
        <v>70</v>
      </c>
      <c r="I1500" t="s">
        <v>4</v>
      </c>
      <c r="J1500" t="s">
        <v>93</v>
      </c>
      <c r="K1500" t="s">
        <v>6</v>
      </c>
      <c r="L1500" t="s">
        <v>2551</v>
      </c>
      <c r="M1500">
        <v>0.61</v>
      </c>
      <c r="N1500" t="s">
        <v>8</v>
      </c>
      <c r="O1500" t="s">
        <v>35</v>
      </c>
      <c r="P1500" t="s">
        <v>66</v>
      </c>
      <c r="Q1500" t="s">
        <v>2122</v>
      </c>
      <c r="R1500">
        <v>91730</v>
      </c>
      <c r="S1500" s="1">
        <v>42144</v>
      </c>
      <c r="T1500" s="1">
        <v>42145</v>
      </c>
      <c r="U1500">
        <v>187.41200000000001</v>
      </c>
      <c r="V1500">
        <v>39</v>
      </c>
      <c r="W1500">
        <v>2115.06</v>
      </c>
      <c r="X1500">
        <v>90493</v>
      </c>
      <c r="Y1500">
        <f>cleaneddata[[#This Row],[Unit Price]]-cleaneddata[[#This Row],[Discount]]</f>
        <v>58.05</v>
      </c>
      <c r="Z150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1" spans="1:26" x14ac:dyDescent="0.3">
      <c r="A1501">
        <v>2973</v>
      </c>
      <c r="B1501" t="s">
        <v>2137</v>
      </c>
      <c r="C1501" t="s">
        <v>1</v>
      </c>
      <c r="D1501">
        <v>0.1</v>
      </c>
      <c r="E1501">
        <v>442.14</v>
      </c>
      <c r="F1501">
        <v>14.7</v>
      </c>
      <c r="G1501" t="s">
        <v>2</v>
      </c>
      <c r="H1501" t="s">
        <v>47</v>
      </c>
      <c r="I1501" t="s">
        <v>16</v>
      </c>
      <c r="J1501" t="s">
        <v>32</v>
      </c>
      <c r="K1501" t="s">
        <v>33</v>
      </c>
      <c r="L1501" t="s">
        <v>1288</v>
      </c>
      <c r="M1501">
        <v>0.56000000000000005</v>
      </c>
      <c r="N1501" t="s">
        <v>8</v>
      </c>
      <c r="O1501" t="s">
        <v>28</v>
      </c>
      <c r="P1501" t="s">
        <v>333</v>
      </c>
      <c r="Q1501" t="s">
        <v>2139</v>
      </c>
      <c r="R1501">
        <v>53151</v>
      </c>
      <c r="S1501" s="1">
        <v>42144</v>
      </c>
      <c r="T1501" s="1">
        <v>42145</v>
      </c>
      <c r="U1501">
        <v>137.68794</v>
      </c>
      <c r="V1501">
        <v>6</v>
      </c>
      <c r="W1501">
        <v>2411.4299999999998</v>
      </c>
      <c r="X1501">
        <v>87187</v>
      </c>
      <c r="Y1501">
        <f>cleaneddata[[#This Row],[Unit Price]]-cleaneddata[[#This Row],[Discount]]</f>
        <v>442.03999999999996</v>
      </c>
      <c r="Z150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02" spans="1:26" x14ac:dyDescent="0.3">
      <c r="A1502">
        <v>1159</v>
      </c>
      <c r="B1502" t="s">
        <v>2552</v>
      </c>
      <c r="C1502" t="s">
        <v>13</v>
      </c>
      <c r="D1502">
        <v>0.04</v>
      </c>
      <c r="E1502">
        <v>100.98</v>
      </c>
      <c r="F1502">
        <v>35.840000000000003</v>
      </c>
      <c r="G1502" t="s">
        <v>2</v>
      </c>
      <c r="H1502" t="s">
        <v>15</v>
      </c>
      <c r="I1502" t="s">
        <v>4</v>
      </c>
      <c r="J1502" t="s">
        <v>93</v>
      </c>
      <c r="K1502" t="s">
        <v>6</v>
      </c>
      <c r="L1502" t="s">
        <v>94</v>
      </c>
      <c r="M1502">
        <v>0.62</v>
      </c>
      <c r="N1502" t="s">
        <v>8</v>
      </c>
      <c r="O1502" t="s">
        <v>87</v>
      </c>
      <c r="P1502" t="s">
        <v>373</v>
      </c>
      <c r="Q1502" t="s">
        <v>2553</v>
      </c>
      <c r="R1502">
        <v>7086</v>
      </c>
      <c r="S1502" s="1">
        <v>42144</v>
      </c>
      <c r="T1502" s="1">
        <v>42145</v>
      </c>
      <c r="U1502">
        <v>-152.76</v>
      </c>
      <c r="V1502">
        <v>1</v>
      </c>
      <c r="W1502">
        <v>110.75</v>
      </c>
      <c r="X1502">
        <v>90854</v>
      </c>
      <c r="Y1502">
        <f>cleaneddata[[#This Row],[Unit Price]]-cleaneddata[[#This Row],[Discount]]</f>
        <v>100.94</v>
      </c>
      <c r="Z150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03" spans="1:26" x14ac:dyDescent="0.3">
      <c r="A1503">
        <v>2346</v>
      </c>
      <c r="B1503" t="s">
        <v>362</v>
      </c>
      <c r="C1503" t="s">
        <v>13</v>
      </c>
      <c r="D1503">
        <v>0.1</v>
      </c>
      <c r="E1503">
        <v>218.75</v>
      </c>
      <c r="F1503">
        <v>69.64</v>
      </c>
      <c r="G1503" t="s">
        <v>2</v>
      </c>
      <c r="H1503" t="s">
        <v>70</v>
      </c>
      <c r="I1503" t="s">
        <v>4</v>
      </c>
      <c r="J1503" t="s">
        <v>5</v>
      </c>
      <c r="K1503" t="s">
        <v>6</v>
      </c>
      <c r="L1503" t="s">
        <v>850</v>
      </c>
      <c r="M1503">
        <v>0.77</v>
      </c>
      <c r="N1503" t="s">
        <v>8</v>
      </c>
      <c r="O1503" t="s">
        <v>9</v>
      </c>
      <c r="P1503" t="s">
        <v>364</v>
      </c>
      <c r="Q1503" t="s">
        <v>365</v>
      </c>
      <c r="R1503">
        <v>40258</v>
      </c>
      <c r="S1503" s="1">
        <v>42144</v>
      </c>
      <c r="T1503" s="1">
        <v>42145</v>
      </c>
      <c r="U1503">
        <v>62.298000000000002</v>
      </c>
      <c r="V1503">
        <v>17</v>
      </c>
      <c r="W1503">
        <v>2805.18</v>
      </c>
      <c r="X1503">
        <v>89505</v>
      </c>
      <c r="Y1503">
        <f>cleaneddata[[#This Row],[Unit Price]]-cleaneddata[[#This Row],[Discount]]</f>
        <v>218.65</v>
      </c>
      <c r="Z150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04" spans="1:26" x14ac:dyDescent="0.3">
      <c r="A1504">
        <v>2825</v>
      </c>
      <c r="B1504" t="s">
        <v>2554</v>
      </c>
      <c r="C1504" t="s">
        <v>23</v>
      </c>
      <c r="D1504">
        <v>0.02</v>
      </c>
      <c r="E1504">
        <v>27.48</v>
      </c>
      <c r="F1504">
        <v>4</v>
      </c>
      <c r="G1504" t="s">
        <v>14</v>
      </c>
      <c r="H1504" t="s">
        <v>15</v>
      </c>
      <c r="I1504" t="s">
        <v>16</v>
      </c>
      <c r="J1504" t="s">
        <v>17</v>
      </c>
      <c r="K1504" t="s">
        <v>49</v>
      </c>
      <c r="L1504" t="s">
        <v>2037</v>
      </c>
      <c r="M1504">
        <v>0.75</v>
      </c>
      <c r="N1504" t="s">
        <v>8</v>
      </c>
      <c r="O1504" t="s">
        <v>35</v>
      </c>
      <c r="P1504" t="s">
        <v>466</v>
      </c>
      <c r="Q1504" t="s">
        <v>2555</v>
      </c>
      <c r="R1504">
        <v>83701</v>
      </c>
      <c r="S1504" s="1">
        <v>42144</v>
      </c>
      <c r="T1504" s="1">
        <v>42151</v>
      </c>
      <c r="U1504">
        <v>19.308</v>
      </c>
      <c r="V1504">
        <v>3</v>
      </c>
      <c r="W1504">
        <v>87.21</v>
      </c>
      <c r="X1504">
        <v>89497</v>
      </c>
      <c r="Y1504">
        <f>cleaneddata[[#This Row],[Unit Price]]-cleaneddata[[#This Row],[Discount]]</f>
        <v>27.46</v>
      </c>
      <c r="Z150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5" spans="1:26" x14ac:dyDescent="0.3">
      <c r="A1505">
        <v>2825</v>
      </c>
      <c r="B1505" t="s">
        <v>2554</v>
      </c>
      <c r="C1505" t="s">
        <v>23</v>
      </c>
      <c r="D1505">
        <v>0.08</v>
      </c>
      <c r="E1505">
        <v>10.06</v>
      </c>
      <c r="F1505">
        <v>2.06</v>
      </c>
      <c r="G1505" t="s">
        <v>14</v>
      </c>
      <c r="H1505" t="s">
        <v>15</v>
      </c>
      <c r="I1505" t="s">
        <v>24</v>
      </c>
      <c r="J1505" t="s">
        <v>64</v>
      </c>
      <c r="K1505" t="s">
        <v>26</v>
      </c>
      <c r="L1505" t="s">
        <v>149</v>
      </c>
      <c r="M1505">
        <v>0.39</v>
      </c>
      <c r="N1505" t="s">
        <v>8</v>
      </c>
      <c r="O1505" t="s">
        <v>35</v>
      </c>
      <c r="P1505" t="s">
        <v>466</v>
      </c>
      <c r="Q1505" t="s">
        <v>2555</v>
      </c>
      <c r="R1505">
        <v>83701</v>
      </c>
      <c r="S1505" s="1">
        <v>42144</v>
      </c>
      <c r="T1505" s="1">
        <v>42148</v>
      </c>
      <c r="U1505">
        <v>0.33</v>
      </c>
      <c r="V1505">
        <v>4</v>
      </c>
      <c r="W1505">
        <v>40.15</v>
      </c>
      <c r="X1505">
        <v>89497</v>
      </c>
      <c r="Y1505">
        <f>cleaneddata[[#This Row],[Unit Price]]-cleaneddata[[#This Row],[Discount]]</f>
        <v>9.98</v>
      </c>
      <c r="Z150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6" spans="1:26" x14ac:dyDescent="0.3">
      <c r="A1506">
        <v>699</v>
      </c>
      <c r="B1506" t="s">
        <v>837</v>
      </c>
      <c r="C1506" t="s">
        <v>92</v>
      </c>
      <c r="D1506">
        <v>0.1</v>
      </c>
      <c r="E1506">
        <v>4.26</v>
      </c>
      <c r="F1506">
        <v>1.2</v>
      </c>
      <c r="G1506" t="s">
        <v>14</v>
      </c>
      <c r="H1506" t="s">
        <v>15</v>
      </c>
      <c r="I1506" t="s">
        <v>24</v>
      </c>
      <c r="J1506" t="s">
        <v>25</v>
      </c>
      <c r="K1506" t="s">
        <v>26</v>
      </c>
      <c r="L1506" t="s">
        <v>114</v>
      </c>
      <c r="M1506">
        <v>0.44</v>
      </c>
      <c r="N1506" t="s">
        <v>8</v>
      </c>
      <c r="O1506" t="s">
        <v>35</v>
      </c>
      <c r="P1506" t="s">
        <v>66</v>
      </c>
      <c r="Q1506" t="s">
        <v>76</v>
      </c>
      <c r="R1506">
        <v>90041</v>
      </c>
      <c r="S1506" s="1">
        <v>42144</v>
      </c>
      <c r="T1506" s="1">
        <v>42145</v>
      </c>
      <c r="U1506">
        <v>15.42</v>
      </c>
      <c r="V1506">
        <v>88</v>
      </c>
      <c r="W1506">
        <v>351.56</v>
      </c>
      <c r="X1506">
        <v>3042</v>
      </c>
      <c r="Y1506">
        <f>cleaneddata[[#This Row],[Unit Price]]-cleaneddata[[#This Row],[Discount]]</f>
        <v>4.16</v>
      </c>
      <c r="Z150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7" spans="1:26" x14ac:dyDescent="0.3">
      <c r="A1507">
        <v>700</v>
      </c>
      <c r="B1507" t="s">
        <v>2556</v>
      </c>
      <c r="C1507" t="s">
        <v>92</v>
      </c>
      <c r="D1507">
        <v>0.1</v>
      </c>
      <c r="E1507">
        <v>4.26</v>
      </c>
      <c r="F1507">
        <v>1.2</v>
      </c>
      <c r="G1507" t="s">
        <v>14</v>
      </c>
      <c r="H1507" t="s">
        <v>15</v>
      </c>
      <c r="I1507" t="s">
        <v>24</v>
      </c>
      <c r="J1507" t="s">
        <v>25</v>
      </c>
      <c r="K1507" t="s">
        <v>26</v>
      </c>
      <c r="L1507" t="s">
        <v>114</v>
      </c>
      <c r="M1507">
        <v>0.44</v>
      </c>
      <c r="N1507" t="s">
        <v>8</v>
      </c>
      <c r="O1507" t="s">
        <v>35</v>
      </c>
      <c r="P1507" t="s">
        <v>66</v>
      </c>
      <c r="Q1507" t="s">
        <v>1160</v>
      </c>
      <c r="R1507">
        <v>93454</v>
      </c>
      <c r="S1507" s="1">
        <v>42144</v>
      </c>
      <c r="T1507" s="1">
        <v>42145</v>
      </c>
      <c r="U1507">
        <v>33.923999999999999</v>
      </c>
      <c r="V1507">
        <v>22</v>
      </c>
      <c r="W1507">
        <v>87.89</v>
      </c>
      <c r="X1507">
        <v>87980</v>
      </c>
      <c r="Y1507">
        <f>cleaneddata[[#This Row],[Unit Price]]-cleaneddata[[#This Row],[Discount]]</f>
        <v>4.16</v>
      </c>
      <c r="Z150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08" spans="1:26" x14ac:dyDescent="0.3">
      <c r="A1508">
        <v>1106</v>
      </c>
      <c r="B1508" t="s">
        <v>2557</v>
      </c>
      <c r="C1508" t="s">
        <v>92</v>
      </c>
      <c r="D1508">
        <v>0.04</v>
      </c>
      <c r="E1508">
        <v>6.35</v>
      </c>
      <c r="F1508">
        <v>1.02</v>
      </c>
      <c r="G1508" t="s">
        <v>14</v>
      </c>
      <c r="H1508" t="s">
        <v>3</v>
      </c>
      <c r="I1508" t="s">
        <v>24</v>
      </c>
      <c r="J1508" t="s">
        <v>64</v>
      </c>
      <c r="K1508" t="s">
        <v>26</v>
      </c>
      <c r="L1508" t="s">
        <v>503</v>
      </c>
      <c r="M1508">
        <v>0.39</v>
      </c>
      <c r="N1508" t="s">
        <v>8</v>
      </c>
      <c r="O1508" t="s">
        <v>28</v>
      </c>
      <c r="P1508" t="s">
        <v>163</v>
      </c>
      <c r="Q1508" t="s">
        <v>530</v>
      </c>
      <c r="R1508">
        <v>75220</v>
      </c>
      <c r="S1508" s="1">
        <v>42144</v>
      </c>
      <c r="T1508" s="1">
        <v>42147</v>
      </c>
      <c r="U1508">
        <v>81.91</v>
      </c>
      <c r="V1508">
        <v>52</v>
      </c>
      <c r="W1508">
        <v>318.47000000000003</v>
      </c>
      <c r="X1508">
        <v>20261</v>
      </c>
      <c r="Y1508">
        <f>cleaneddata[[#This Row],[Unit Price]]-cleaneddata[[#This Row],[Discount]]</f>
        <v>6.31</v>
      </c>
      <c r="Z150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09" spans="1:26" x14ac:dyDescent="0.3">
      <c r="A1509">
        <v>1108</v>
      </c>
      <c r="B1509" t="s">
        <v>2558</v>
      </c>
      <c r="C1509" t="s">
        <v>92</v>
      </c>
      <c r="D1509">
        <v>0.09</v>
      </c>
      <c r="E1509">
        <v>31.74</v>
      </c>
      <c r="F1509">
        <v>12.62</v>
      </c>
      <c r="G1509" t="s">
        <v>63</v>
      </c>
      <c r="H1509" t="s">
        <v>3</v>
      </c>
      <c r="I1509" t="s">
        <v>24</v>
      </c>
      <c r="J1509" t="s">
        <v>48</v>
      </c>
      <c r="K1509" t="s">
        <v>49</v>
      </c>
      <c r="L1509" t="s">
        <v>1508</v>
      </c>
      <c r="M1509">
        <v>0.37</v>
      </c>
      <c r="N1509" t="s">
        <v>8</v>
      </c>
      <c r="O1509" t="s">
        <v>28</v>
      </c>
      <c r="P1509" t="s">
        <v>163</v>
      </c>
      <c r="Q1509" t="s">
        <v>2010</v>
      </c>
      <c r="R1509">
        <v>75146</v>
      </c>
      <c r="S1509" s="1">
        <v>42144</v>
      </c>
      <c r="T1509" s="1">
        <v>42144</v>
      </c>
      <c r="U1509">
        <v>67.107500000000002</v>
      </c>
      <c r="V1509">
        <v>9</v>
      </c>
      <c r="W1509">
        <v>270.55</v>
      </c>
      <c r="X1509">
        <v>86409</v>
      </c>
      <c r="Y1509">
        <f>cleaneddata[[#This Row],[Unit Price]]-cleaneddata[[#This Row],[Discount]]</f>
        <v>31.65</v>
      </c>
      <c r="Z150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10" spans="1:26" x14ac:dyDescent="0.3">
      <c r="A1510">
        <v>1108</v>
      </c>
      <c r="B1510" t="s">
        <v>2558</v>
      </c>
      <c r="C1510" t="s">
        <v>92</v>
      </c>
      <c r="D1510">
        <v>0.04</v>
      </c>
      <c r="E1510">
        <v>6.35</v>
      </c>
      <c r="F1510">
        <v>1.02</v>
      </c>
      <c r="G1510" t="s">
        <v>14</v>
      </c>
      <c r="H1510" t="s">
        <v>3</v>
      </c>
      <c r="I1510" t="s">
        <v>24</v>
      </c>
      <c r="J1510" t="s">
        <v>64</v>
      </c>
      <c r="K1510" t="s">
        <v>26</v>
      </c>
      <c r="L1510" t="s">
        <v>503</v>
      </c>
      <c r="M1510">
        <v>0.39</v>
      </c>
      <c r="N1510" t="s">
        <v>8</v>
      </c>
      <c r="O1510" t="s">
        <v>28</v>
      </c>
      <c r="P1510" t="s">
        <v>163</v>
      </c>
      <c r="Q1510" t="s">
        <v>2010</v>
      </c>
      <c r="R1510">
        <v>75146</v>
      </c>
      <c r="S1510" s="1">
        <v>42144</v>
      </c>
      <c r="T1510" s="1">
        <v>42147</v>
      </c>
      <c r="U1510">
        <v>54.937800000000003</v>
      </c>
      <c r="V1510">
        <v>13</v>
      </c>
      <c r="W1510">
        <v>79.62</v>
      </c>
      <c r="X1510">
        <v>86409</v>
      </c>
      <c r="Y1510">
        <f>cleaneddata[[#This Row],[Unit Price]]-cleaneddata[[#This Row],[Discount]]</f>
        <v>6.31</v>
      </c>
      <c r="Z15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11" spans="1:26" x14ac:dyDescent="0.3">
      <c r="A1511">
        <v>1108</v>
      </c>
      <c r="B1511" t="s">
        <v>2558</v>
      </c>
      <c r="C1511" t="s">
        <v>92</v>
      </c>
      <c r="D1511">
        <v>0.02</v>
      </c>
      <c r="E1511">
        <v>65.989999999999995</v>
      </c>
      <c r="F1511">
        <v>8.99</v>
      </c>
      <c r="G1511" t="s">
        <v>63</v>
      </c>
      <c r="H1511" t="s">
        <v>3</v>
      </c>
      <c r="I1511" t="s">
        <v>16</v>
      </c>
      <c r="J1511" t="s">
        <v>111</v>
      </c>
      <c r="K1511" t="s">
        <v>49</v>
      </c>
      <c r="L1511" t="s">
        <v>1840</v>
      </c>
      <c r="M1511">
        <v>0.56000000000000005</v>
      </c>
      <c r="N1511" t="s">
        <v>8</v>
      </c>
      <c r="O1511" t="s">
        <v>28</v>
      </c>
      <c r="P1511" t="s">
        <v>163</v>
      </c>
      <c r="Q1511" t="s">
        <v>2010</v>
      </c>
      <c r="R1511">
        <v>75146</v>
      </c>
      <c r="S1511" s="1">
        <v>42144</v>
      </c>
      <c r="T1511" s="1">
        <v>42145</v>
      </c>
      <c r="U1511">
        <v>168.23699999999999</v>
      </c>
      <c r="V1511">
        <v>8</v>
      </c>
      <c r="W1511">
        <v>479.79</v>
      </c>
      <c r="X1511">
        <v>86409</v>
      </c>
      <c r="Y1511">
        <f>cleaneddata[[#This Row],[Unit Price]]-cleaneddata[[#This Row],[Discount]]</f>
        <v>65.97</v>
      </c>
      <c r="Z151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12" spans="1:26" x14ac:dyDescent="0.3">
      <c r="A1512">
        <v>1974</v>
      </c>
      <c r="B1512" t="s">
        <v>2559</v>
      </c>
      <c r="C1512" t="s">
        <v>92</v>
      </c>
      <c r="D1512">
        <v>0.09</v>
      </c>
      <c r="E1512">
        <v>20.48</v>
      </c>
      <c r="F1512">
        <v>6.32</v>
      </c>
      <c r="G1512" t="s">
        <v>14</v>
      </c>
      <c r="H1512" t="s">
        <v>15</v>
      </c>
      <c r="I1512" t="s">
        <v>24</v>
      </c>
      <c r="J1512" t="s">
        <v>71</v>
      </c>
      <c r="K1512" t="s">
        <v>49</v>
      </c>
      <c r="L1512" t="s">
        <v>1015</v>
      </c>
      <c r="M1512">
        <v>0.57999999999999996</v>
      </c>
      <c r="N1512" t="s">
        <v>8</v>
      </c>
      <c r="O1512" t="s">
        <v>28</v>
      </c>
      <c r="P1512" t="s">
        <v>265</v>
      </c>
      <c r="Q1512" t="s">
        <v>2560</v>
      </c>
      <c r="R1512">
        <v>48127</v>
      </c>
      <c r="S1512" s="1">
        <v>42144</v>
      </c>
      <c r="T1512" s="1">
        <v>42145</v>
      </c>
      <c r="U1512">
        <v>-16.89</v>
      </c>
      <c r="V1512">
        <v>5</v>
      </c>
      <c r="W1512">
        <v>99.02</v>
      </c>
      <c r="X1512">
        <v>89040</v>
      </c>
      <c r="Y1512">
        <f>cleaneddata[[#This Row],[Unit Price]]-cleaneddata[[#This Row],[Discount]]</f>
        <v>20.39</v>
      </c>
      <c r="Z151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13" spans="1:26" x14ac:dyDescent="0.3">
      <c r="A1513">
        <v>1974</v>
      </c>
      <c r="B1513" t="s">
        <v>2559</v>
      </c>
      <c r="C1513" t="s">
        <v>92</v>
      </c>
      <c r="D1513">
        <v>0.06</v>
      </c>
      <c r="E1513">
        <v>15.67</v>
      </c>
      <c r="F1513">
        <v>1.39</v>
      </c>
      <c r="G1513" t="s">
        <v>14</v>
      </c>
      <c r="H1513" t="s">
        <v>15</v>
      </c>
      <c r="I1513" t="s">
        <v>24</v>
      </c>
      <c r="J1513" t="s">
        <v>321</v>
      </c>
      <c r="K1513" t="s">
        <v>49</v>
      </c>
      <c r="L1513" t="s">
        <v>2460</v>
      </c>
      <c r="M1513">
        <v>0.38</v>
      </c>
      <c r="N1513" t="s">
        <v>8</v>
      </c>
      <c r="O1513" t="s">
        <v>28</v>
      </c>
      <c r="P1513" t="s">
        <v>265</v>
      </c>
      <c r="Q1513" t="s">
        <v>2560</v>
      </c>
      <c r="R1513">
        <v>48127</v>
      </c>
      <c r="S1513" s="1">
        <v>42144</v>
      </c>
      <c r="T1513" s="1">
        <v>42145</v>
      </c>
      <c r="U1513">
        <v>25.51</v>
      </c>
      <c r="V1513">
        <v>3</v>
      </c>
      <c r="W1513">
        <v>46.4</v>
      </c>
      <c r="X1513">
        <v>89040</v>
      </c>
      <c r="Y1513">
        <f>cleaneddata[[#This Row],[Unit Price]]-cleaneddata[[#This Row],[Discount]]</f>
        <v>15.61</v>
      </c>
      <c r="Z151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14" spans="1:26" x14ac:dyDescent="0.3">
      <c r="A1514">
        <v>2159</v>
      </c>
      <c r="B1514" t="s">
        <v>2561</v>
      </c>
      <c r="C1514" t="s">
        <v>92</v>
      </c>
      <c r="D1514">
        <v>0.08</v>
      </c>
      <c r="E1514">
        <v>30.98</v>
      </c>
      <c r="F1514">
        <v>8.74</v>
      </c>
      <c r="G1514" t="s">
        <v>14</v>
      </c>
      <c r="H1514" t="s">
        <v>70</v>
      </c>
      <c r="I1514" t="s">
        <v>24</v>
      </c>
      <c r="J1514" t="s">
        <v>64</v>
      </c>
      <c r="K1514" t="s">
        <v>49</v>
      </c>
      <c r="L1514" t="s">
        <v>2562</v>
      </c>
      <c r="M1514">
        <v>0.4</v>
      </c>
      <c r="N1514" t="s">
        <v>8</v>
      </c>
      <c r="O1514" t="s">
        <v>28</v>
      </c>
      <c r="P1514" t="s">
        <v>265</v>
      </c>
      <c r="Q1514" t="s">
        <v>2563</v>
      </c>
      <c r="R1514">
        <v>48185</v>
      </c>
      <c r="S1514" s="1">
        <v>42144</v>
      </c>
      <c r="T1514" s="1">
        <v>42145</v>
      </c>
      <c r="U1514">
        <v>371.27199999999999</v>
      </c>
      <c r="V1514">
        <v>25</v>
      </c>
      <c r="W1514">
        <v>727.2</v>
      </c>
      <c r="X1514">
        <v>90387</v>
      </c>
      <c r="Y1514">
        <f>cleaneddata[[#This Row],[Unit Price]]-cleaneddata[[#This Row],[Discount]]</f>
        <v>30.900000000000002</v>
      </c>
      <c r="Z151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15" spans="1:26" x14ac:dyDescent="0.3">
      <c r="A1515">
        <v>2162</v>
      </c>
      <c r="B1515" t="s">
        <v>2564</v>
      </c>
      <c r="C1515" t="s">
        <v>92</v>
      </c>
      <c r="D1515">
        <v>0.09</v>
      </c>
      <c r="E1515">
        <v>159.31</v>
      </c>
      <c r="F1515">
        <v>60</v>
      </c>
      <c r="G1515" t="s">
        <v>2</v>
      </c>
      <c r="H1515" t="s">
        <v>70</v>
      </c>
      <c r="I1515" t="s">
        <v>4</v>
      </c>
      <c r="J1515" t="s">
        <v>5</v>
      </c>
      <c r="K1515" t="s">
        <v>33</v>
      </c>
      <c r="L1515" t="s">
        <v>2565</v>
      </c>
      <c r="M1515">
        <v>0.55000000000000004</v>
      </c>
      <c r="N1515" t="s">
        <v>8</v>
      </c>
      <c r="O1515" t="s">
        <v>87</v>
      </c>
      <c r="P1515" t="s">
        <v>296</v>
      </c>
      <c r="Q1515" t="s">
        <v>2566</v>
      </c>
      <c r="R1515">
        <v>16146</v>
      </c>
      <c r="S1515" s="1">
        <v>42144</v>
      </c>
      <c r="T1515" s="1">
        <v>42146</v>
      </c>
      <c r="U1515">
        <v>77.000895400000005</v>
      </c>
      <c r="V1515">
        <v>41</v>
      </c>
      <c r="W1515">
        <v>6173.42</v>
      </c>
      <c r="X1515">
        <v>90387</v>
      </c>
      <c r="Y1515">
        <f>cleaneddata[[#This Row],[Unit Price]]-cleaneddata[[#This Row],[Discount]]</f>
        <v>159.22</v>
      </c>
      <c r="Z151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16" spans="1:26" x14ac:dyDescent="0.3">
      <c r="A1516">
        <v>2162</v>
      </c>
      <c r="B1516" t="s">
        <v>2564</v>
      </c>
      <c r="C1516" t="s">
        <v>92</v>
      </c>
      <c r="D1516">
        <v>0.06</v>
      </c>
      <c r="E1516">
        <v>55.99</v>
      </c>
      <c r="F1516">
        <v>5</v>
      </c>
      <c r="G1516" t="s">
        <v>14</v>
      </c>
      <c r="H1516" t="s">
        <v>70</v>
      </c>
      <c r="I1516" t="s">
        <v>16</v>
      </c>
      <c r="J1516" t="s">
        <v>111</v>
      </c>
      <c r="K1516" t="s">
        <v>18</v>
      </c>
      <c r="L1516" t="s">
        <v>1914</v>
      </c>
      <c r="M1516">
        <v>0.83</v>
      </c>
      <c r="N1516" t="s">
        <v>8</v>
      </c>
      <c r="O1516" t="s">
        <v>87</v>
      </c>
      <c r="P1516" t="s">
        <v>296</v>
      </c>
      <c r="Q1516" t="s">
        <v>2566</v>
      </c>
      <c r="R1516">
        <v>16146</v>
      </c>
      <c r="S1516" s="1">
        <v>42144</v>
      </c>
      <c r="T1516" s="1">
        <v>42146</v>
      </c>
      <c r="U1516">
        <v>27.968599999999999</v>
      </c>
      <c r="V1516">
        <v>33</v>
      </c>
      <c r="W1516">
        <v>1553.7</v>
      </c>
      <c r="X1516">
        <v>90387</v>
      </c>
      <c r="Y1516">
        <f>cleaneddata[[#This Row],[Unit Price]]-cleaneddata[[#This Row],[Discount]]</f>
        <v>55.93</v>
      </c>
      <c r="Z151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17" spans="1:26" x14ac:dyDescent="0.3">
      <c r="A1517">
        <v>871</v>
      </c>
      <c r="B1517" t="s">
        <v>1641</v>
      </c>
      <c r="C1517" t="s">
        <v>46</v>
      </c>
      <c r="D1517">
        <v>0.01</v>
      </c>
      <c r="E1517">
        <v>5.94</v>
      </c>
      <c r="F1517">
        <v>9.92</v>
      </c>
      <c r="G1517" t="s">
        <v>14</v>
      </c>
      <c r="H1517" t="s">
        <v>47</v>
      </c>
      <c r="I1517" t="s">
        <v>24</v>
      </c>
      <c r="J1517" t="s">
        <v>48</v>
      </c>
      <c r="K1517" t="s">
        <v>49</v>
      </c>
      <c r="L1517" t="s">
        <v>2567</v>
      </c>
      <c r="M1517">
        <v>0.38</v>
      </c>
      <c r="N1517" t="s">
        <v>8</v>
      </c>
      <c r="O1517" t="s">
        <v>35</v>
      </c>
      <c r="P1517" t="s">
        <v>272</v>
      </c>
      <c r="Q1517" t="s">
        <v>1642</v>
      </c>
      <c r="R1517">
        <v>89502</v>
      </c>
      <c r="S1517" s="1">
        <v>42144</v>
      </c>
      <c r="T1517" s="1">
        <v>42147</v>
      </c>
      <c r="U1517">
        <v>-239.315</v>
      </c>
      <c r="V1517">
        <v>12</v>
      </c>
      <c r="W1517">
        <v>74.77</v>
      </c>
      <c r="X1517">
        <v>90578</v>
      </c>
      <c r="Y1517">
        <f>cleaneddata[[#This Row],[Unit Price]]-cleaneddata[[#This Row],[Discount]]</f>
        <v>5.9300000000000006</v>
      </c>
      <c r="Z151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18" spans="1:26" x14ac:dyDescent="0.3">
      <c r="A1518">
        <v>871</v>
      </c>
      <c r="B1518" t="s">
        <v>1641</v>
      </c>
      <c r="C1518" t="s">
        <v>46</v>
      </c>
      <c r="D1518">
        <v>0</v>
      </c>
      <c r="E1518">
        <v>6.48</v>
      </c>
      <c r="F1518">
        <v>5.1100000000000003</v>
      </c>
      <c r="G1518" t="s">
        <v>14</v>
      </c>
      <c r="H1518" t="s">
        <v>47</v>
      </c>
      <c r="I1518" t="s">
        <v>24</v>
      </c>
      <c r="J1518" t="s">
        <v>64</v>
      </c>
      <c r="K1518" t="s">
        <v>49</v>
      </c>
      <c r="L1518" t="s">
        <v>2568</v>
      </c>
      <c r="M1518">
        <v>0.37</v>
      </c>
      <c r="N1518" t="s">
        <v>8</v>
      </c>
      <c r="O1518" t="s">
        <v>35</v>
      </c>
      <c r="P1518" t="s">
        <v>272</v>
      </c>
      <c r="Q1518" t="s">
        <v>1642</v>
      </c>
      <c r="R1518">
        <v>89502</v>
      </c>
      <c r="S1518" s="1">
        <v>42144</v>
      </c>
      <c r="T1518" s="1">
        <v>42146</v>
      </c>
      <c r="U1518">
        <v>-33.31</v>
      </c>
      <c r="V1518">
        <v>18</v>
      </c>
      <c r="W1518">
        <v>127.81</v>
      </c>
      <c r="X1518">
        <v>90578</v>
      </c>
      <c r="Y1518">
        <f>cleaneddata[[#This Row],[Unit Price]]-cleaneddata[[#This Row],[Discount]]</f>
        <v>6.48</v>
      </c>
      <c r="Z151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19" spans="1:26" x14ac:dyDescent="0.3">
      <c r="A1519">
        <v>922</v>
      </c>
      <c r="B1519" t="s">
        <v>2569</v>
      </c>
      <c r="C1519" t="s">
        <v>46</v>
      </c>
      <c r="D1519">
        <v>0.01</v>
      </c>
      <c r="E1519">
        <v>65.989999999999995</v>
      </c>
      <c r="F1519">
        <v>8.99</v>
      </c>
      <c r="G1519" t="s">
        <v>63</v>
      </c>
      <c r="H1519" t="s">
        <v>3</v>
      </c>
      <c r="I1519" t="s">
        <v>16</v>
      </c>
      <c r="J1519" t="s">
        <v>111</v>
      </c>
      <c r="K1519" t="s">
        <v>49</v>
      </c>
      <c r="L1519" t="s">
        <v>2570</v>
      </c>
      <c r="M1519">
        <v>0.56000000000000005</v>
      </c>
      <c r="N1519" t="s">
        <v>8</v>
      </c>
      <c r="O1519" t="s">
        <v>35</v>
      </c>
      <c r="P1519" t="s">
        <v>66</v>
      </c>
      <c r="Q1519" t="s">
        <v>2122</v>
      </c>
      <c r="R1519">
        <v>91730</v>
      </c>
      <c r="S1519" s="1">
        <v>42144</v>
      </c>
      <c r="T1519" s="1">
        <v>42145</v>
      </c>
      <c r="U1519">
        <v>396.97199999999998</v>
      </c>
      <c r="V1519">
        <v>14</v>
      </c>
      <c r="W1519">
        <v>782</v>
      </c>
      <c r="X1519">
        <v>87135</v>
      </c>
      <c r="Y1519">
        <f>cleaneddata[[#This Row],[Unit Price]]-cleaneddata[[#This Row],[Discount]]</f>
        <v>65.97999999999999</v>
      </c>
      <c r="Z15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20" spans="1:26" x14ac:dyDescent="0.3">
      <c r="A1520">
        <v>1708</v>
      </c>
      <c r="B1520" t="s">
        <v>573</v>
      </c>
      <c r="C1520" t="s">
        <v>46</v>
      </c>
      <c r="D1520">
        <v>0.03</v>
      </c>
      <c r="E1520">
        <v>205.99</v>
      </c>
      <c r="F1520">
        <v>3</v>
      </c>
      <c r="G1520" t="s">
        <v>14</v>
      </c>
      <c r="H1520" t="s">
        <v>3</v>
      </c>
      <c r="I1520" t="s">
        <v>16</v>
      </c>
      <c r="J1520" t="s">
        <v>111</v>
      </c>
      <c r="K1520" t="s">
        <v>49</v>
      </c>
      <c r="L1520" t="s">
        <v>399</v>
      </c>
      <c r="M1520">
        <v>0.57999999999999996</v>
      </c>
      <c r="N1520" t="s">
        <v>8</v>
      </c>
      <c r="O1520" t="s">
        <v>87</v>
      </c>
      <c r="P1520" t="s">
        <v>293</v>
      </c>
      <c r="Q1520" t="s">
        <v>575</v>
      </c>
      <c r="R1520">
        <v>44118</v>
      </c>
      <c r="S1520" s="1">
        <v>42144</v>
      </c>
      <c r="T1520" s="1">
        <v>42145</v>
      </c>
      <c r="U1520">
        <v>3670.3515000000002</v>
      </c>
      <c r="V1520">
        <v>29</v>
      </c>
      <c r="W1520">
        <v>5319.35</v>
      </c>
      <c r="X1520">
        <v>88784</v>
      </c>
      <c r="Y1520">
        <f>cleaneddata[[#This Row],[Unit Price]]-cleaneddata[[#This Row],[Discount]]</f>
        <v>205.96</v>
      </c>
      <c r="Z152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21" spans="1:26" x14ac:dyDescent="0.3">
      <c r="A1521">
        <v>276</v>
      </c>
      <c r="B1521" t="s">
        <v>2571</v>
      </c>
      <c r="C1521" t="s">
        <v>1</v>
      </c>
      <c r="D1521">
        <v>0.04</v>
      </c>
      <c r="E1521">
        <v>1.98</v>
      </c>
      <c r="F1521">
        <v>0.7</v>
      </c>
      <c r="G1521" t="s">
        <v>63</v>
      </c>
      <c r="H1521" t="s">
        <v>70</v>
      </c>
      <c r="I1521" t="s">
        <v>24</v>
      </c>
      <c r="J1521" t="s">
        <v>152</v>
      </c>
      <c r="K1521" t="s">
        <v>26</v>
      </c>
      <c r="L1521" t="s">
        <v>417</v>
      </c>
      <c r="M1521">
        <v>0.83</v>
      </c>
      <c r="N1521" t="s">
        <v>8</v>
      </c>
      <c r="O1521" t="s">
        <v>87</v>
      </c>
      <c r="P1521" t="s">
        <v>224</v>
      </c>
      <c r="Q1521" t="s">
        <v>1365</v>
      </c>
      <c r="R1521">
        <v>6111</v>
      </c>
      <c r="S1521" s="1">
        <v>42145</v>
      </c>
      <c r="T1521" s="1">
        <v>42146</v>
      </c>
      <c r="U1521">
        <v>-1</v>
      </c>
      <c r="V1521">
        <v>3</v>
      </c>
      <c r="W1521">
        <v>8.3000000000000007</v>
      </c>
      <c r="X1521">
        <v>89291</v>
      </c>
      <c r="Y1521">
        <f>cleaneddata[[#This Row],[Unit Price]]-cleaneddata[[#This Row],[Discount]]</f>
        <v>1.94</v>
      </c>
      <c r="Z152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22" spans="1:26" x14ac:dyDescent="0.3">
      <c r="A1522">
        <v>282</v>
      </c>
      <c r="B1522" t="s">
        <v>2572</v>
      </c>
      <c r="C1522" t="s">
        <v>1</v>
      </c>
      <c r="D1522">
        <v>0.03</v>
      </c>
      <c r="E1522">
        <v>55.99</v>
      </c>
      <c r="F1522">
        <v>5</v>
      </c>
      <c r="G1522" t="s">
        <v>14</v>
      </c>
      <c r="H1522" t="s">
        <v>70</v>
      </c>
      <c r="I1522" t="s">
        <v>16</v>
      </c>
      <c r="J1522" t="s">
        <v>111</v>
      </c>
      <c r="K1522" t="s">
        <v>18</v>
      </c>
      <c r="L1522" t="s">
        <v>1914</v>
      </c>
      <c r="M1522">
        <v>0.83</v>
      </c>
      <c r="N1522" t="s">
        <v>8</v>
      </c>
      <c r="O1522" t="s">
        <v>87</v>
      </c>
      <c r="P1522" t="s">
        <v>373</v>
      </c>
      <c r="Q1522" t="s">
        <v>2573</v>
      </c>
      <c r="R1522">
        <v>7109</v>
      </c>
      <c r="S1522" s="1">
        <v>42145</v>
      </c>
      <c r="T1522" s="1">
        <v>42146</v>
      </c>
      <c r="U1522">
        <v>-221.25399999999999</v>
      </c>
      <c r="V1522">
        <v>9</v>
      </c>
      <c r="W1522">
        <v>416.95</v>
      </c>
      <c r="X1522">
        <v>89291</v>
      </c>
      <c r="Y1522">
        <f>cleaneddata[[#This Row],[Unit Price]]-cleaneddata[[#This Row],[Discount]]</f>
        <v>55.96</v>
      </c>
      <c r="Z152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23" spans="1:26" x14ac:dyDescent="0.3">
      <c r="A1523">
        <v>825</v>
      </c>
      <c r="B1523" t="s">
        <v>2574</v>
      </c>
      <c r="C1523" t="s">
        <v>1</v>
      </c>
      <c r="D1523">
        <v>0</v>
      </c>
      <c r="E1523">
        <v>11.97</v>
      </c>
      <c r="F1523">
        <v>4.9800000000000004</v>
      </c>
      <c r="G1523" t="s">
        <v>14</v>
      </c>
      <c r="H1523" t="s">
        <v>47</v>
      </c>
      <c r="I1523" t="s">
        <v>24</v>
      </c>
      <c r="J1523" t="s">
        <v>71</v>
      </c>
      <c r="K1523" t="s">
        <v>49</v>
      </c>
      <c r="L1523" t="s">
        <v>792</v>
      </c>
      <c r="M1523">
        <v>0.57999999999999996</v>
      </c>
      <c r="N1523" t="s">
        <v>8</v>
      </c>
      <c r="O1523" t="s">
        <v>28</v>
      </c>
      <c r="P1523" t="s">
        <v>163</v>
      </c>
      <c r="Q1523" t="s">
        <v>2575</v>
      </c>
      <c r="R1523">
        <v>79605</v>
      </c>
      <c r="S1523" s="1">
        <v>42145</v>
      </c>
      <c r="T1523" s="1">
        <v>42148</v>
      </c>
      <c r="U1523">
        <v>3.3839999999999999</v>
      </c>
      <c r="V1523">
        <v>4</v>
      </c>
      <c r="W1523">
        <v>53.3</v>
      </c>
      <c r="X1523">
        <v>89258</v>
      </c>
      <c r="Y1523">
        <f>cleaneddata[[#This Row],[Unit Price]]-cleaneddata[[#This Row],[Discount]]</f>
        <v>11.97</v>
      </c>
      <c r="Z152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24" spans="1:26" x14ac:dyDescent="0.3">
      <c r="A1524">
        <v>406</v>
      </c>
      <c r="B1524" t="s">
        <v>2576</v>
      </c>
      <c r="C1524" t="s">
        <v>13</v>
      </c>
      <c r="D1524">
        <v>0.03</v>
      </c>
      <c r="E1524">
        <v>4.9800000000000004</v>
      </c>
      <c r="F1524">
        <v>0.8</v>
      </c>
      <c r="G1524" t="s">
        <v>14</v>
      </c>
      <c r="H1524" t="s">
        <v>3</v>
      </c>
      <c r="I1524" t="s">
        <v>24</v>
      </c>
      <c r="J1524" t="s">
        <v>64</v>
      </c>
      <c r="K1524" t="s">
        <v>26</v>
      </c>
      <c r="L1524" t="s">
        <v>870</v>
      </c>
      <c r="M1524">
        <v>0.36</v>
      </c>
      <c r="N1524" t="s">
        <v>8</v>
      </c>
      <c r="O1524" t="s">
        <v>87</v>
      </c>
      <c r="P1524" t="s">
        <v>373</v>
      </c>
      <c r="Q1524" t="s">
        <v>2577</v>
      </c>
      <c r="R1524">
        <v>8360</v>
      </c>
      <c r="S1524" s="1">
        <v>42145</v>
      </c>
      <c r="T1524" s="1">
        <v>42146</v>
      </c>
      <c r="U1524">
        <v>50.2044</v>
      </c>
      <c r="V1524">
        <v>15</v>
      </c>
      <c r="W1524">
        <v>72.760000000000005</v>
      </c>
      <c r="X1524">
        <v>87804</v>
      </c>
      <c r="Y1524">
        <f>cleaneddata[[#This Row],[Unit Price]]-cleaneddata[[#This Row],[Discount]]</f>
        <v>4.95</v>
      </c>
      <c r="Z152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25" spans="1:26" x14ac:dyDescent="0.3">
      <c r="A1525">
        <v>1106</v>
      </c>
      <c r="B1525" t="s">
        <v>2557</v>
      </c>
      <c r="C1525" t="s">
        <v>13</v>
      </c>
      <c r="D1525">
        <v>0.01</v>
      </c>
      <c r="E1525">
        <v>9.31</v>
      </c>
      <c r="F1525">
        <v>3.98</v>
      </c>
      <c r="G1525" t="s">
        <v>14</v>
      </c>
      <c r="H1525" t="s">
        <v>3</v>
      </c>
      <c r="I1525" t="s">
        <v>24</v>
      </c>
      <c r="J1525" t="s">
        <v>544</v>
      </c>
      <c r="K1525" t="s">
        <v>18</v>
      </c>
      <c r="L1525" t="s">
        <v>2578</v>
      </c>
      <c r="M1525">
        <v>0.56000000000000005</v>
      </c>
      <c r="N1525" t="s">
        <v>8</v>
      </c>
      <c r="O1525" t="s">
        <v>28</v>
      </c>
      <c r="P1525" t="s">
        <v>163</v>
      </c>
      <c r="Q1525" t="s">
        <v>530</v>
      </c>
      <c r="R1525">
        <v>75220</v>
      </c>
      <c r="S1525" s="1">
        <v>42145</v>
      </c>
      <c r="T1525" s="1">
        <v>42146</v>
      </c>
      <c r="U1525">
        <v>-10.9</v>
      </c>
      <c r="V1525">
        <v>61</v>
      </c>
      <c r="W1525">
        <v>586.96</v>
      </c>
      <c r="X1525">
        <v>646</v>
      </c>
      <c r="Y1525">
        <f>cleaneddata[[#This Row],[Unit Price]]-cleaneddata[[#This Row],[Discount]]</f>
        <v>9.3000000000000007</v>
      </c>
      <c r="Z15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26" spans="1:26" x14ac:dyDescent="0.3">
      <c r="A1526">
        <v>1107</v>
      </c>
      <c r="B1526" t="s">
        <v>2579</v>
      </c>
      <c r="C1526" t="s">
        <v>13</v>
      </c>
      <c r="D1526">
        <v>0.01</v>
      </c>
      <c r="E1526">
        <v>9.31</v>
      </c>
      <c r="F1526">
        <v>3.98</v>
      </c>
      <c r="G1526" t="s">
        <v>14</v>
      </c>
      <c r="H1526" t="s">
        <v>3</v>
      </c>
      <c r="I1526" t="s">
        <v>24</v>
      </c>
      <c r="J1526" t="s">
        <v>544</v>
      </c>
      <c r="K1526" t="s">
        <v>18</v>
      </c>
      <c r="L1526" t="s">
        <v>2578</v>
      </c>
      <c r="M1526">
        <v>0.56000000000000005</v>
      </c>
      <c r="N1526" t="s">
        <v>8</v>
      </c>
      <c r="O1526" t="s">
        <v>28</v>
      </c>
      <c r="P1526" t="s">
        <v>163</v>
      </c>
      <c r="Q1526" t="s">
        <v>2580</v>
      </c>
      <c r="R1526">
        <v>77566</v>
      </c>
      <c r="S1526" s="1">
        <v>42145</v>
      </c>
      <c r="T1526" s="1">
        <v>42146</v>
      </c>
      <c r="U1526">
        <v>2.1800000000000002</v>
      </c>
      <c r="V1526">
        <v>15</v>
      </c>
      <c r="W1526">
        <v>144.33000000000001</v>
      </c>
      <c r="X1526">
        <v>86411</v>
      </c>
      <c r="Y1526">
        <f>cleaneddata[[#This Row],[Unit Price]]-cleaneddata[[#This Row],[Discount]]</f>
        <v>9.3000000000000007</v>
      </c>
      <c r="Z152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27" spans="1:26" x14ac:dyDescent="0.3">
      <c r="A1527">
        <v>820</v>
      </c>
      <c r="B1527" t="s">
        <v>2581</v>
      </c>
      <c r="C1527" t="s">
        <v>23</v>
      </c>
      <c r="D1527">
        <v>0.09</v>
      </c>
      <c r="E1527">
        <v>5.84</v>
      </c>
      <c r="F1527">
        <v>0.83</v>
      </c>
      <c r="G1527" t="s">
        <v>14</v>
      </c>
      <c r="H1527" t="s">
        <v>3</v>
      </c>
      <c r="I1527" t="s">
        <v>24</v>
      </c>
      <c r="J1527" t="s">
        <v>25</v>
      </c>
      <c r="K1527" t="s">
        <v>26</v>
      </c>
      <c r="L1527" t="s">
        <v>2582</v>
      </c>
      <c r="M1527">
        <v>0.49</v>
      </c>
      <c r="N1527" t="s">
        <v>8</v>
      </c>
      <c r="O1527" t="s">
        <v>35</v>
      </c>
      <c r="P1527" t="s">
        <v>42</v>
      </c>
      <c r="Q1527" t="s">
        <v>2583</v>
      </c>
      <c r="R1527">
        <v>99362</v>
      </c>
      <c r="S1527" s="1">
        <v>42145</v>
      </c>
      <c r="T1527" s="1">
        <v>42149</v>
      </c>
      <c r="U1527">
        <v>-2.87</v>
      </c>
      <c r="V1527">
        <v>1</v>
      </c>
      <c r="W1527">
        <v>5.9</v>
      </c>
      <c r="X1527">
        <v>90244</v>
      </c>
      <c r="Y1527">
        <f>cleaneddata[[#This Row],[Unit Price]]-cleaneddata[[#This Row],[Discount]]</f>
        <v>5.75</v>
      </c>
      <c r="Z15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28" spans="1:26" x14ac:dyDescent="0.3">
      <c r="A1528">
        <v>1527</v>
      </c>
      <c r="B1528" t="s">
        <v>314</v>
      </c>
      <c r="C1528" t="s">
        <v>23</v>
      </c>
      <c r="D1528">
        <v>0.09</v>
      </c>
      <c r="E1528">
        <v>50.98</v>
      </c>
      <c r="F1528">
        <v>6.5</v>
      </c>
      <c r="G1528" t="s">
        <v>14</v>
      </c>
      <c r="H1528" t="s">
        <v>47</v>
      </c>
      <c r="I1528" t="s">
        <v>16</v>
      </c>
      <c r="J1528" t="s">
        <v>17</v>
      </c>
      <c r="K1528" t="s">
        <v>49</v>
      </c>
      <c r="L1528" t="s">
        <v>1842</v>
      </c>
      <c r="M1528">
        <v>0.73</v>
      </c>
      <c r="N1528" t="s">
        <v>8</v>
      </c>
      <c r="O1528" t="s">
        <v>9</v>
      </c>
      <c r="P1528" t="s">
        <v>140</v>
      </c>
      <c r="Q1528" t="s">
        <v>316</v>
      </c>
      <c r="R1528">
        <v>35601</v>
      </c>
      <c r="S1528" s="1">
        <v>42145</v>
      </c>
      <c r="T1528" s="1">
        <v>42152</v>
      </c>
      <c r="U1528">
        <v>70.176000000000002</v>
      </c>
      <c r="V1528">
        <v>28</v>
      </c>
      <c r="W1528">
        <v>1395.41</v>
      </c>
      <c r="X1528">
        <v>86815</v>
      </c>
      <c r="Y1528">
        <f>cleaneddata[[#This Row],[Unit Price]]-cleaneddata[[#This Row],[Discount]]</f>
        <v>50.889999999999993</v>
      </c>
      <c r="Z152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29" spans="1:26" x14ac:dyDescent="0.3">
      <c r="A1529">
        <v>3319</v>
      </c>
      <c r="B1529" t="s">
        <v>2584</v>
      </c>
      <c r="C1529" t="s">
        <v>23</v>
      </c>
      <c r="D1529">
        <v>0.03</v>
      </c>
      <c r="E1529">
        <v>20.98</v>
      </c>
      <c r="F1529">
        <v>1.49</v>
      </c>
      <c r="G1529" t="s">
        <v>14</v>
      </c>
      <c r="H1529" t="s">
        <v>3</v>
      </c>
      <c r="I1529" t="s">
        <v>24</v>
      </c>
      <c r="J1529" t="s">
        <v>48</v>
      </c>
      <c r="K1529" t="s">
        <v>49</v>
      </c>
      <c r="L1529" t="s">
        <v>2585</v>
      </c>
      <c r="M1529">
        <v>0.35</v>
      </c>
      <c r="N1529" t="s">
        <v>8</v>
      </c>
      <c r="O1529" t="s">
        <v>9</v>
      </c>
      <c r="P1529" t="s">
        <v>376</v>
      </c>
      <c r="Q1529" t="s">
        <v>479</v>
      </c>
      <c r="R1529">
        <v>37075</v>
      </c>
      <c r="S1529" s="1">
        <v>42145</v>
      </c>
      <c r="T1529" s="1">
        <v>42145</v>
      </c>
      <c r="U1529">
        <v>30.024000000000001</v>
      </c>
      <c r="V1529">
        <v>20</v>
      </c>
      <c r="W1529">
        <v>431.43</v>
      </c>
      <c r="X1529">
        <v>90104</v>
      </c>
      <c r="Y1529">
        <f>cleaneddata[[#This Row],[Unit Price]]-cleaneddata[[#This Row],[Discount]]</f>
        <v>20.95</v>
      </c>
      <c r="Z152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30" spans="1:26" x14ac:dyDescent="0.3">
      <c r="A1530">
        <v>1129</v>
      </c>
      <c r="B1530" t="s">
        <v>762</v>
      </c>
      <c r="C1530" t="s">
        <v>92</v>
      </c>
      <c r="D1530">
        <v>0.02</v>
      </c>
      <c r="E1530">
        <v>7.64</v>
      </c>
      <c r="F1530">
        <v>1.39</v>
      </c>
      <c r="G1530" t="s">
        <v>14</v>
      </c>
      <c r="H1530" t="s">
        <v>47</v>
      </c>
      <c r="I1530" t="s">
        <v>24</v>
      </c>
      <c r="J1530" t="s">
        <v>321</v>
      </c>
      <c r="K1530" t="s">
        <v>49</v>
      </c>
      <c r="L1530" t="s">
        <v>1534</v>
      </c>
      <c r="M1530">
        <v>0.36</v>
      </c>
      <c r="N1530" t="s">
        <v>8</v>
      </c>
      <c r="O1530" t="s">
        <v>87</v>
      </c>
      <c r="P1530" t="s">
        <v>379</v>
      </c>
      <c r="Q1530" t="s">
        <v>764</v>
      </c>
      <c r="R1530">
        <v>2118</v>
      </c>
      <c r="S1530" s="1">
        <v>42145</v>
      </c>
      <c r="T1530" s="1">
        <v>42147</v>
      </c>
      <c r="U1530">
        <v>117.38</v>
      </c>
      <c r="V1530">
        <v>52</v>
      </c>
      <c r="W1530">
        <v>406.91</v>
      </c>
      <c r="X1530">
        <v>13735</v>
      </c>
      <c r="Y1530">
        <f>cleaneddata[[#This Row],[Unit Price]]-cleaneddata[[#This Row],[Discount]]</f>
        <v>7.62</v>
      </c>
      <c r="Z153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31" spans="1:26" x14ac:dyDescent="0.3">
      <c r="A1531">
        <v>1131</v>
      </c>
      <c r="B1531" t="s">
        <v>2586</v>
      </c>
      <c r="C1531" t="s">
        <v>92</v>
      </c>
      <c r="D1531">
        <v>0.02</v>
      </c>
      <c r="E1531">
        <v>7.64</v>
      </c>
      <c r="F1531">
        <v>1.39</v>
      </c>
      <c r="G1531" t="s">
        <v>14</v>
      </c>
      <c r="H1531" t="s">
        <v>47</v>
      </c>
      <c r="I1531" t="s">
        <v>24</v>
      </c>
      <c r="J1531" t="s">
        <v>321</v>
      </c>
      <c r="K1531" t="s">
        <v>49</v>
      </c>
      <c r="L1531" t="s">
        <v>1534</v>
      </c>
      <c r="M1531">
        <v>0.36</v>
      </c>
      <c r="N1531" t="s">
        <v>8</v>
      </c>
      <c r="O1531" t="s">
        <v>28</v>
      </c>
      <c r="P1531" t="s">
        <v>163</v>
      </c>
      <c r="Q1531" t="s">
        <v>2587</v>
      </c>
      <c r="R1531">
        <v>79907</v>
      </c>
      <c r="S1531" s="1">
        <v>42145</v>
      </c>
      <c r="T1531" s="1">
        <v>42147</v>
      </c>
      <c r="U1531">
        <v>70.193700000000007</v>
      </c>
      <c r="V1531">
        <v>13</v>
      </c>
      <c r="W1531">
        <v>101.73</v>
      </c>
      <c r="X1531">
        <v>88103</v>
      </c>
      <c r="Y1531">
        <f>cleaneddata[[#This Row],[Unit Price]]-cleaneddata[[#This Row],[Discount]]</f>
        <v>7.62</v>
      </c>
      <c r="Z15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32" spans="1:26" x14ac:dyDescent="0.3">
      <c r="A1532">
        <v>1254</v>
      </c>
      <c r="B1532" t="s">
        <v>1566</v>
      </c>
      <c r="C1532" t="s">
        <v>92</v>
      </c>
      <c r="D1532">
        <v>0.04</v>
      </c>
      <c r="E1532">
        <v>2.08</v>
      </c>
      <c r="F1532">
        <v>1.49</v>
      </c>
      <c r="G1532" t="s">
        <v>14</v>
      </c>
      <c r="H1532" t="s">
        <v>47</v>
      </c>
      <c r="I1532" t="s">
        <v>24</v>
      </c>
      <c r="J1532" t="s">
        <v>48</v>
      </c>
      <c r="K1532" t="s">
        <v>49</v>
      </c>
      <c r="L1532" t="s">
        <v>1386</v>
      </c>
      <c r="M1532">
        <v>0.36</v>
      </c>
      <c r="N1532" t="s">
        <v>8</v>
      </c>
      <c r="O1532" t="s">
        <v>28</v>
      </c>
      <c r="P1532" t="s">
        <v>163</v>
      </c>
      <c r="Q1532" t="s">
        <v>1567</v>
      </c>
      <c r="R1532">
        <v>77530</v>
      </c>
      <c r="S1532" s="1">
        <v>42145</v>
      </c>
      <c r="T1532" s="1">
        <v>42147</v>
      </c>
      <c r="U1532">
        <v>-11.281499999999999</v>
      </c>
      <c r="V1532">
        <v>16</v>
      </c>
      <c r="W1532">
        <v>33.770000000000003</v>
      </c>
      <c r="X1532">
        <v>89982</v>
      </c>
      <c r="Y1532">
        <f>cleaneddata[[#This Row],[Unit Price]]-cleaneddata[[#This Row],[Discount]]</f>
        <v>2.04</v>
      </c>
      <c r="Z153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33" spans="1:26" x14ac:dyDescent="0.3">
      <c r="A1533">
        <v>19</v>
      </c>
      <c r="B1533" t="s">
        <v>2588</v>
      </c>
      <c r="C1533" t="s">
        <v>46</v>
      </c>
      <c r="D1533">
        <v>7.0000000000000007E-2</v>
      </c>
      <c r="E1533">
        <v>12.99</v>
      </c>
      <c r="F1533">
        <v>9.44</v>
      </c>
      <c r="G1533" t="s">
        <v>14</v>
      </c>
      <c r="H1533" t="s">
        <v>3</v>
      </c>
      <c r="I1533" t="s">
        <v>16</v>
      </c>
      <c r="J1533" t="s">
        <v>32</v>
      </c>
      <c r="K1533" t="s">
        <v>120</v>
      </c>
      <c r="L1533" t="s">
        <v>2589</v>
      </c>
      <c r="M1533">
        <v>0.39</v>
      </c>
      <c r="N1533" t="s">
        <v>8</v>
      </c>
      <c r="O1533" t="s">
        <v>35</v>
      </c>
      <c r="P1533" t="s">
        <v>253</v>
      </c>
      <c r="Q1533" t="s">
        <v>2590</v>
      </c>
      <c r="R1533">
        <v>59801</v>
      </c>
      <c r="S1533" s="1">
        <v>42145</v>
      </c>
      <c r="T1533" s="1">
        <v>42147</v>
      </c>
      <c r="U1533">
        <v>-114.6399</v>
      </c>
      <c r="V1533">
        <v>18</v>
      </c>
      <c r="W1533">
        <v>231.79</v>
      </c>
      <c r="X1533">
        <v>90032</v>
      </c>
      <c r="Y1533">
        <f>cleaneddata[[#This Row],[Unit Price]]-cleaneddata[[#This Row],[Discount]]</f>
        <v>12.92</v>
      </c>
      <c r="Z153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34" spans="1:26" x14ac:dyDescent="0.3">
      <c r="A1534">
        <v>21</v>
      </c>
      <c r="B1534" t="s">
        <v>2496</v>
      </c>
      <c r="C1534" t="s">
        <v>46</v>
      </c>
      <c r="D1534">
        <v>0.08</v>
      </c>
      <c r="E1534">
        <v>5</v>
      </c>
      <c r="F1534">
        <v>3.39</v>
      </c>
      <c r="G1534" t="s">
        <v>14</v>
      </c>
      <c r="H1534" t="s">
        <v>3</v>
      </c>
      <c r="I1534" t="s">
        <v>24</v>
      </c>
      <c r="J1534" t="s">
        <v>152</v>
      </c>
      <c r="K1534" t="s">
        <v>26</v>
      </c>
      <c r="L1534" t="s">
        <v>2591</v>
      </c>
      <c r="M1534">
        <v>0.37</v>
      </c>
      <c r="N1534" t="s">
        <v>8</v>
      </c>
      <c r="O1534" t="s">
        <v>87</v>
      </c>
      <c r="P1534" t="s">
        <v>88</v>
      </c>
      <c r="Q1534" t="s">
        <v>89</v>
      </c>
      <c r="R1534">
        <v>10012</v>
      </c>
      <c r="S1534" s="1">
        <v>42145</v>
      </c>
      <c r="T1534" s="1">
        <v>42146</v>
      </c>
      <c r="U1534">
        <v>-17.489999999999998</v>
      </c>
      <c r="V1534">
        <v>58</v>
      </c>
      <c r="W1534">
        <v>293.06</v>
      </c>
      <c r="X1534">
        <v>42949</v>
      </c>
      <c r="Y1534">
        <f>cleaneddata[[#This Row],[Unit Price]]-cleaneddata[[#This Row],[Discount]]</f>
        <v>4.92</v>
      </c>
      <c r="Z15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35" spans="1:26" x14ac:dyDescent="0.3">
      <c r="A1535">
        <v>21</v>
      </c>
      <c r="B1535" t="s">
        <v>2496</v>
      </c>
      <c r="C1535" t="s">
        <v>46</v>
      </c>
      <c r="D1535">
        <v>7.0000000000000007E-2</v>
      </c>
      <c r="E1535">
        <v>12.99</v>
      </c>
      <c r="F1535">
        <v>9.44</v>
      </c>
      <c r="G1535" t="s">
        <v>14</v>
      </c>
      <c r="H1535" t="s">
        <v>3</v>
      </c>
      <c r="I1535" t="s">
        <v>16</v>
      </c>
      <c r="J1535" t="s">
        <v>32</v>
      </c>
      <c r="K1535" t="s">
        <v>120</v>
      </c>
      <c r="L1535" t="s">
        <v>2589</v>
      </c>
      <c r="M1535">
        <v>0.39</v>
      </c>
      <c r="N1535" t="s">
        <v>8</v>
      </c>
      <c r="O1535" t="s">
        <v>87</v>
      </c>
      <c r="P1535" t="s">
        <v>88</v>
      </c>
      <c r="Q1535" t="s">
        <v>89</v>
      </c>
      <c r="R1535">
        <v>10012</v>
      </c>
      <c r="S1535" s="1">
        <v>42145</v>
      </c>
      <c r="T1535" s="1">
        <v>42147</v>
      </c>
      <c r="U1535">
        <v>-114.6399</v>
      </c>
      <c r="V1535">
        <v>71</v>
      </c>
      <c r="W1535">
        <v>914.29</v>
      </c>
      <c r="X1535">
        <v>42949</v>
      </c>
      <c r="Y1535">
        <f>cleaneddata[[#This Row],[Unit Price]]-cleaneddata[[#This Row],[Discount]]</f>
        <v>12.92</v>
      </c>
      <c r="Z15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36" spans="1:26" x14ac:dyDescent="0.3">
      <c r="A1536">
        <v>3206</v>
      </c>
      <c r="B1536" t="s">
        <v>1902</v>
      </c>
      <c r="C1536" t="s">
        <v>46</v>
      </c>
      <c r="D1536">
        <v>0.06</v>
      </c>
      <c r="E1536">
        <v>218.08</v>
      </c>
      <c r="F1536">
        <v>18.059999999999999</v>
      </c>
      <c r="G1536" t="s">
        <v>63</v>
      </c>
      <c r="H1536" t="s">
        <v>15</v>
      </c>
      <c r="I1536" t="s">
        <v>4</v>
      </c>
      <c r="J1536" t="s">
        <v>85</v>
      </c>
      <c r="K1536" t="s">
        <v>40</v>
      </c>
      <c r="L1536" t="s">
        <v>2592</v>
      </c>
      <c r="M1536">
        <v>0.56999999999999995</v>
      </c>
      <c r="N1536" t="s">
        <v>8</v>
      </c>
      <c r="O1536" t="s">
        <v>35</v>
      </c>
      <c r="P1536" t="s">
        <v>466</v>
      </c>
      <c r="Q1536" t="s">
        <v>1904</v>
      </c>
      <c r="R1536">
        <v>83301</v>
      </c>
      <c r="S1536" s="1">
        <v>42145</v>
      </c>
      <c r="T1536" s="1">
        <v>42147</v>
      </c>
      <c r="U1536">
        <v>969.42</v>
      </c>
      <c r="V1536">
        <v>7</v>
      </c>
      <c r="W1536">
        <v>1488.51</v>
      </c>
      <c r="X1536">
        <v>87934</v>
      </c>
      <c r="Y1536">
        <f>cleaneddata[[#This Row],[Unit Price]]-cleaneddata[[#This Row],[Discount]]</f>
        <v>218.02</v>
      </c>
      <c r="Z153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37" spans="1:26" x14ac:dyDescent="0.3">
      <c r="A1537">
        <v>2385</v>
      </c>
      <c r="B1537" t="s">
        <v>2593</v>
      </c>
      <c r="C1537" t="s">
        <v>1</v>
      </c>
      <c r="D1537">
        <v>0.1</v>
      </c>
      <c r="E1537">
        <v>130.97999999999999</v>
      </c>
      <c r="F1537">
        <v>30</v>
      </c>
      <c r="G1537" t="s">
        <v>2</v>
      </c>
      <c r="H1537" t="s">
        <v>3</v>
      </c>
      <c r="I1537" t="s">
        <v>4</v>
      </c>
      <c r="J1537" t="s">
        <v>85</v>
      </c>
      <c r="K1537" t="s">
        <v>33</v>
      </c>
      <c r="L1537" t="s">
        <v>2175</v>
      </c>
      <c r="M1537">
        <v>0.78</v>
      </c>
      <c r="N1537" t="s">
        <v>8</v>
      </c>
      <c r="O1537" t="s">
        <v>35</v>
      </c>
      <c r="P1537" t="s">
        <v>616</v>
      </c>
      <c r="Q1537" t="s">
        <v>2594</v>
      </c>
      <c r="R1537">
        <v>88001</v>
      </c>
      <c r="S1537" s="1">
        <v>42146</v>
      </c>
      <c r="T1537" s="1">
        <v>42148</v>
      </c>
      <c r="U1537">
        <v>2000.11</v>
      </c>
      <c r="V1537">
        <v>18</v>
      </c>
      <c r="W1537">
        <v>2259.9899999999998</v>
      </c>
      <c r="X1537">
        <v>89184</v>
      </c>
      <c r="Y1537">
        <f>cleaneddata[[#This Row],[Unit Price]]-cleaneddata[[#This Row],[Discount]]</f>
        <v>130.88</v>
      </c>
      <c r="Z153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38" spans="1:26" x14ac:dyDescent="0.3">
      <c r="A1538">
        <v>2699</v>
      </c>
      <c r="B1538" t="s">
        <v>2065</v>
      </c>
      <c r="C1538" t="s">
        <v>1</v>
      </c>
      <c r="D1538">
        <v>0.06</v>
      </c>
      <c r="E1538">
        <v>4.9800000000000004</v>
      </c>
      <c r="F1538">
        <v>4.95</v>
      </c>
      <c r="G1538" t="s">
        <v>14</v>
      </c>
      <c r="H1538" t="s">
        <v>70</v>
      </c>
      <c r="I1538" t="s">
        <v>24</v>
      </c>
      <c r="J1538" t="s">
        <v>48</v>
      </c>
      <c r="K1538" t="s">
        <v>49</v>
      </c>
      <c r="L1538" t="s">
        <v>2595</v>
      </c>
      <c r="M1538">
        <v>0.37</v>
      </c>
      <c r="N1538" t="s">
        <v>8</v>
      </c>
      <c r="O1538" t="s">
        <v>35</v>
      </c>
      <c r="P1538" t="s">
        <v>564</v>
      </c>
      <c r="Q1538" t="s">
        <v>2067</v>
      </c>
      <c r="R1538">
        <v>86442</v>
      </c>
      <c r="S1538" s="1">
        <v>42146</v>
      </c>
      <c r="T1538" s="1">
        <v>42148</v>
      </c>
      <c r="U1538">
        <v>-103.224</v>
      </c>
      <c r="V1538">
        <v>16</v>
      </c>
      <c r="W1538">
        <v>78.989999999999995</v>
      </c>
      <c r="X1538">
        <v>87677</v>
      </c>
      <c r="Y1538">
        <f>cleaneddata[[#This Row],[Unit Price]]-cleaneddata[[#This Row],[Discount]]</f>
        <v>4.9200000000000008</v>
      </c>
      <c r="Z153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39" spans="1:26" x14ac:dyDescent="0.3">
      <c r="A1539">
        <v>181</v>
      </c>
      <c r="B1539" t="s">
        <v>1263</v>
      </c>
      <c r="C1539" t="s">
        <v>13</v>
      </c>
      <c r="D1539">
        <v>7.0000000000000007E-2</v>
      </c>
      <c r="E1539">
        <v>1.68</v>
      </c>
      <c r="F1539">
        <v>1.57</v>
      </c>
      <c r="G1539" t="s">
        <v>14</v>
      </c>
      <c r="H1539" t="s">
        <v>70</v>
      </c>
      <c r="I1539" t="s">
        <v>24</v>
      </c>
      <c r="J1539" t="s">
        <v>25</v>
      </c>
      <c r="K1539" t="s">
        <v>26</v>
      </c>
      <c r="L1539" t="s">
        <v>550</v>
      </c>
      <c r="M1539">
        <v>0.59</v>
      </c>
      <c r="N1539" t="s">
        <v>8</v>
      </c>
      <c r="O1539" t="s">
        <v>35</v>
      </c>
      <c r="P1539" t="s">
        <v>66</v>
      </c>
      <c r="Q1539" t="s">
        <v>917</v>
      </c>
      <c r="R1539">
        <v>94122</v>
      </c>
      <c r="S1539" s="1">
        <v>42146</v>
      </c>
      <c r="T1539" s="1">
        <v>42147</v>
      </c>
      <c r="U1539">
        <v>-35.75</v>
      </c>
      <c r="V1539">
        <v>116</v>
      </c>
      <c r="W1539">
        <v>186.59</v>
      </c>
      <c r="X1539">
        <v>3585</v>
      </c>
      <c r="Y1539">
        <f>cleaneddata[[#This Row],[Unit Price]]-cleaneddata[[#This Row],[Discount]]</f>
        <v>1.6099999999999999</v>
      </c>
      <c r="Z153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40" spans="1:26" x14ac:dyDescent="0.3">
      <c r="A1540">
        <v>188</v>
      </c>
      <c r="B1540" t="s">
        <v>2596</v>
      </c>
      <c r="C1540" t="s">
        <v>13</v>
      </c>
      <c r="D1540">
        <v>7.0000000000000007E-2</v>
      </c>
      <c r="E1540">
        <v>10.06</v>
      </c>
      <c r="F1540">
        <v>2.06</v>
      </c>
      <c r="G1540" t="s">
        <v>14</v>
      </c>
      <c r="H1540" t="s">
        <v>70</v>
      </c>
      <c r="I1540" t="s">
        <v>24</v>
      </c>
      <c r="J1540" t="s">
        <v>64</v>
      </c>
      <c r="K1540" t="s">
        <v>26</v>
      </c>
      <c r="L1540" t="s">
        <v>149</v>
      </c>
      <c r="M1540">
        <v>0.39</v>
      </c>
      <c r="N1540" t="s">
        <v>8</v>
      </c>
      <c r="O1540" t="s">
        <v>28</v>
      </c>
      <c r="P1540" t="s">
        <v>163</v>
      </c>
      <c r="Q1540" t="s">
        <v>1933</v>
      </c>
      <c r="R1540">
        <v>76240</v>
      </c>
      <c r="S1540" s="1">
        <v>42146</v>
      </c>
      <c r="T1540" s="1">
        <v>42146</v>
      </c>
      <c r="U1540">
        <v>152.65559999999999</v>
      </c>
      <c r="V1540">
        <v>23</v>
      </c>
      <c r="W1540">
        <v>221.24</v>
      </c>
      <c r="X1540">
        <v>88361</v>
      </c>
      <c r="Y1540">
        <f>cleaneddata[[#This Row],[Unit Price]]-cleaneddata[[#This Row],[Discount]]</f>
        <v>9.99</v>
      </c>
      <c r="Z154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41" spans="1:26" x14ac:dyDescent="0.3">
      <c r="A1541">
        <v>188</v>
      </c>
      <c r="B1541" t="s">
        <v>2596</v>
      </c>
      <c r="C1541" t="s">
        <v>13</v>
      </c>
      <c r="D1541">
        <v>7.0000000000000007E-2</v>
      </c>
      <c r="E1541">
        <v>1.68</v>
      </c>
      <c r="F1541">
        <v>1.57</v>
      </c>
      <c r="G1541" t="s">
        <v>14</v>
      </c>
      <c r="H1541" t="s">
        <v>70</v>
      </c>
      <c r="I1541" t="s">
        <v>24</v>
      </c>
      <c r="J1541" t="s">
        <v>25</v>
      </c>
      <c r="K1541" t="s">
        <v>26</v>
      </c>
      <c r="L1541" t="s">
        <v>550</v>
      </c>
      <c r="M1541">
        <v>0.59</v>
      </c>
      <c r="N1541" t="s">
        <v>8</v>
      </c>
      <c r="O1541" t="s">
        <v>28</v>
      </c>
      <c r="P1541" t="s">
        <v>163</v>
      </c>
      <c r="Q1541" t="s">
        <v>1933</v>
      </c>
      <c r="R1541">
        <v>76240</v>
      </c>
      <c r="S1541" s="1">
        <v>42146</v>
      </c>
      <c r="T1541" s="1">
        <v>42147</v>
      </c>
      <c r="U1541">
        <v>7.15</v>
      </c>
      <c r="V1541">
        <v>29</v>
      </c>
      <c r="W1541">
        <v>46.65</v>
      </c>
      <c r="X1541">
        <v>88361</v>
      </c>
      <c r="Y1541">
        <f>cleaneddata[[#This Row],[Unit Price]]-cleaneddata[[#This Row],[Discount]]</f>
        <v>1.6099999999999999</v>
      </c>
      <c r="Z15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42" spans="1:26" x14ac:dyDescent="0.3">
      <c r="A1542">
        <v>1246</v>
      </c>
      <c r="B1542" t="s">
        <v>1987</v>
      </c>
      <c r="C1542" t="s">
        <v>23</v>
      </c>
      <c r="D1542">
        <v>0.03</v>
      </c>
      <c r="E1542">
        <v>256.99</v>
      </c>
      <c r="F1542">
        <v>11.25</v>
      </c>
      <c r="G1542" t="s">
        <v>14</v>
      </c>
      <c r="H1542" t="s">
        <v>47</v>
      </c>
      <c r="I1542" t="s">
        <v>16</v>
      </c>
      <c r="J1542" t="s">
        <v>17</v>
      </c>
      <c r="K1542" t="s">
        <v>49</v>
      </c>
      <c r="L1542" t="s">
        <v>2597</v>
      </c>
      <c r="M1542">
        <v>0.51</v>
      </c>
      <c r="N1542" t="s">
        <v>8</v>
      </c>
      <c r="O1542" t="s">
        <v>87</v>
      </c>
      <c r="P1542" t="s">
        <v>88</v>
      </c>
      <c r="Q1542" t="s">
        <v>89</v>
      </c>
      <c r="R1542">
        <v>10009</v>
      </c>
      <c r="S1542" s="1">
        <v>42146</v>
      </c>
      <c r="T1542" s="1">
        <v>42146</v>
      </c>
      <c r="U1542">
        <v>1489.8</v>
      </c>
      <c r="V1542">
        <v>32</v>
      </c>
      <c r="W1542">
        <v>8216.2800000000007</v>
      </c>
      <c r="X1542">
        <v>46853</v>
      </c>
      <c r="Y1542">
        <f>cleaneddata[[#This Row],[Unit Price]]-cleaneddata[[#This Row],[Discount]]</f>
        <v>256.96000000000004</v>
      </c>
      <c r="Z154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43" spans="1:26" x14ac:dyDescent="0.3">
      <c r="A1543">
        <v>1257</v>
      </c>
      <c r="B1543" t="s">
        <v>2257</v>
      </c>
      <c r="C1543" t="s">
        <v>92</v>
      </c>
      <c r="D1543">
        <v>0.01</v>
      </c>
      <c r="E1543">
        <v>115.99</v>
      </c>
      <c r="F1543">
        <v>56.14</v>
      </c>
      <c r="G1543" t="s">
        <v>2</v>
      </c>
      <c r="H1543" t="s">
        <v>47</v>
      </c>
      <c r="I1543" t="s">
        <v>16</v>
      </c>
      <c r="J1543" t="s">
        <v>32</v>
      </c>
      <c r="K1543" t="s">
        <v>33</v>
      </c>
      <c r="L1543" t="s">
        <v>456</v>
      </c>
      <c r="M1543">
        <v>0.4</v>
      </c>
      <c r="N1543" t="s">
        <v>8</v>
      </c>
      <c r="O1543" t="s">
        <v>35</v>
      </c>
      <c r="P1543" t="s">
        <v>36</v>
      </c>
      <c r="Q1543" t="s">
        <v>1099</v>
      </c>
      <c r="R1543">
        <v>80013</v>
      </c>
      <c r="S1543" s="1">
        <v>42146</v>
      </c>
      <c r="T1543" s="1">
        <v>42147</v>
      </c>
      <c r="U1543">
        <v>-164.39519999999999</v>
      </c>
      <c r="V1543">
        <v>5</v>
      </c>
      <c r="W1543">
        <v>604.35</v>
      </c>
      <c r="X1543">
        <v>86535</v>
      </c>
      <c r="Y1543">
        <f>cleaneddata[[#This Row],[Unit Price]]-cleaneddata[[#This Row],[Discount]]</f>
        <v>115.97999999999999</v>
      </c>
      <c r="Z15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44" spans="1:26" x14ac:dyDescent="0.3">
      <c r="A1544">
        <v>2976</v>
      </c>
      <c r="B1544" t="s">
        <v>2598</v>
      </c>
      <c r="C1544" t="s">
        <v>92</v>
      </c>
      <c r="D1544">
        <v>0.01</v>
      </c>
      <c r="E1544">
        <v>35.99</v>
      </c>
      <c r="F1544">
        <v>0.99</v>
      </c>
      <c r="G1544" t="s">
        <v>14</v>
      </c>
      <c r="H1544" t="s">
        <v>3</v>
      </c>
      <c r="I1544" t="s">
        <v>16</v>
      </c>
      <c r="J1544" t="s">
        <v>111</v>
      </c>
      <c r="K1544" t="s">
        <v>18</v>
      </c>
      <c r="L1544" t="s">
        <v>1961</v>
      </c>
      <c r="M1544">
        <v>0.35</v>
      </c>
      <c r="N1544" t="s">
        <v>8</v>
      </c>
      <c r="O1544" t="s">
        <v>28</v>
      </c>
      <c r="P1544" t="s">
        <v>333</v>
      </c>
      <c r="Q1544" t="s">
        <v>2599</v>
      </c>
      <c r="R1544">
        <v>53154</v>
      </c>
      <c r="S1544" s="1">
        <v>42146</v>
      </c>
      <c r="T1544" s="1">
        <v>42147</v>
      </c>
      <c r="U1544">
        <v>882.48239999999998</v>
      </c>
      <c r="V1544">
        <v>41</v>
      </c>
      <c r="W1544">
        <v>1278.96</v>
      </c>
      <c r="X1544">
        <v>89047</v>
      </c>
      <c r="Y1544">
        <f>cleaneddata[[#This Row],[Unit Price]]-cleaneddata[[#This Row],[Discount]]</f>
        <v>35.980000000000004</v>
      </c>
      <c r="Z154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45" spans="1:26" x14ac:dyDescent="0.3">
      <c r="A1545">
        <v>2198</v>
      </c>
      <c r="B1545" t="s">
        <v>2600</v>
      </c>
      <c r="C1545" t="s">
        <v>46</v>
      </c>
      <c r="D1545">
        <v>0.03</v>
      </c>
      <c r="E1545">
        <v>25.98</v>
      </c>
      <c r="F1545">
        <v>4.08</v>
      </c>
      <c r="G1545" t="s">
        <v>14</v>
      </c>
      <c r="H1545" t="s">
        <v>3</v>
      </c>
      <c r="I1545" t="s">
        <v>24</v>
      </c>
      <c r="J1545" t="s">
        <v>25</v>
      </c>
      <c r="K1545" t="s">
        <v>18</v>
      </c>
      <c r="L1545" t="s">
        <v>2601</v>
      </c>
      <c r="M1545">
        <v>0.56999999999999995</v>
      </c>
      <c r="N1545" t="s">
        <v>8</v>
      </c>
      <c r="O1545" t="s">
        <v>87</v>
      </c>
      <c r="P1545" t="s">
        <v>88</v>
      </c>
      <c r="Q1545" t="s">
        <v>2602</v>
      </c>
      <c r="R1545">
        <v>11757</v>
      </c>
      <c r="S1545" s="1">
        <v>42146</v>
      </c>
      <c r="T1545" s="1">
        <v>42149</v>
      </c>
      <c r="U1545">
        <v>295.90649999999999</v>
      </c>
      <c r="V1545">
        <v>16</v>
      </c>
      <c r="W1545">
        <v>428.85</v>
      </c>
      <c r="X1545">
        <v>89174</v>
      </c>
      <c r="Y1545">
        <f>cleaneddata[[#This Row],[Unit Price]]-cleaneddata[[#This Row],[Discount]]</f>
        <v>25.95</v>
      </c>
      <c r="Z154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46" spans="1:26" x14ac:dyDescent="0.3">
      <c r="A1546">
        <v>2198</v>
      </c>
      <c r="B1546" t="s">
        <v>2600</v>
      </c>
      <c r="C1546" t="s">
        <v>46</v>
      </c>
      <c r="D1546">
        <v>0.1</v>
      </c>
      <c r="E1546">
        <v>20.98</v>
      </c>
      <c r="F1546">
        <v>53.03</v>
      </c>
      <c r="G1546" t="s">
        <v>2</v>
      </c>
      <c r="H1546" t="s">
        <v>3</v>
      </c>
      <c r="I1546" t="s">
        <v>24</v>
      </c>
      <c r="J1546" t="s">
        <v>54</v>
      </c>
      <c r="K1546" t="s">
        <v>33</v>
      </c>
      <c r="L1546" t="s">
        <v>1066</v>
      </c>
      <c r="M1546">
        <v>0.78</v>
      </c>
      <c r="N1546" t="s">
        <v>8</v>
      </c>
      <c r="O1546" t="s">
        <v>87</v>
      </c>
      <c r="P1546" t="s">
        <v>88</v>
      </c>
      <c r="Q1546" t="s">
        <v>2602</v>
      </c>
      <c r="R1546">
        <v>11757</v>
      </c>
      <c r="S1546" s="1">
        <v>42146</v>
      </c>
      <c r="T1546" s="1">
        <v>42146</v>
      </c>
      <c r="U1546">
        <v>-2111.36</v>
      </c>
      <c r="V1546">
        <v>16</v>
      </c>
      <c r="W1546">
        <v>342.54</v>
      </c>
      <c r="X1546">
        <v>89174</v>
      </c>
      <c r="Y1546">
        <f>cleaneddata[[#This Row],[Unit Price]]-cleaneddata[[#This Row],[Discount]]</f>
        <v>20.88</v>
      </c>
      <c r="Z15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47" spans="1:26" x14ac:dyDescent="0.3">
      <c r="A1547">
        <v>2526</v>
      </c>
      <c r="B1547" t="s">
        <v>2603</v>
      </c>
      <c r="C1547" t="s">
        <v>1</v>
      </c>
      <c r="D1547">
        <v>0.01</v>
      </c>
      <c r="E1547">
        <v>2.16</v>
      </c>
      <c r="F1547">
        <v>6.05</v>
      </c>
      <c r="G1547" t="s">
        <v>14</v>
      </c>
      <c r="H1547" t="s">
        <v>70</v>
      </c>
      <c r="I1547" t="s">
        <v>24</v>
      </c>
      <c r="J1547" t="s">
        <v>48</v>
      </c>
      <c r="K1547" t="s">
        <v>49</v>
      </c>
      <c r="L1547" t="s">
        <v>872</v>
      </c>
      <c r="M1547">
        <v>0.37</v>
      </c>
      <c r="N1547" t="s">
        <v>8</v>
      </c>
      <c r="O1547" t="s">
        <v>9</v>
      </c>
      <c r="P1547" t="s">
        <v>144</v>
      </c>
      <c r="Q1547" t="s">
        <v>2005</v>
      </c>
      <c r="R1547">
        <v>70506</v>
      </c>
      <c r="S1547" s="1">
        <v>42147</v>
      </c>
      <c r="T1547" s="1">
        <v>42149</v>
      </c>
      <c r="U1547">
        <v>395.76</v>
      </c>
      <c r="V1547">
        <v>24</v>
      </c>
      <c r="W1547">
        <v>58.05</v>
      </c>
      <c r="X1547">
        <v>87208</v>
      </c>
      <c r="Y1547">
        <f>cleaneddata[[#This Row],[Unit Price]]-cleaneddata[[#This Row],[Discount]]</f>
        <v>2.1500000000000004</v>
      </c>
      <c r="Z154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48" spans="1:26" x14ac:dyDescent="0.3">
      <c r="A1548">
        <v>2527</v>
      </c>
      <c r="B1548" t="s">
        <v>2604</v>
      </c>
      <c r="C1548" t="s">
        <v>1</v>
      </c>
      <c r="D1548">
        <v>7.0000000000000007E-2</v>
      </c>
      <c r="E1548">
        <v>21.38</v>
      </c>
      <c r="F1548">
        <v>8.99</v>
      </c>
      <c r="G1548" t="s">
        <v>14</v>
      </c>
      <c r="H1548" t="s">
        <v>70</v>
      </c>
      <c r="I1548" t="s">
        <v>24</v>
      </c>
      <c r="J1548" t="s">
        <v>25</v>
      </c>
      <c r="K1548" t="s">
        <v>18</v>
      </c>
      <c r="L1548" t="s">
        <v>1653</v>
      </c>
      <c r="M1548">
        <v>0.59</v>
      </c>
      <c r="N1548" t="s">
        <v>8</v>
      </c>
      <c r="O1548" t="s">
        <v>9</v>
      </c>
      <c r="P1548" t="s">
        <v>144</v>
      </c>
      <c r="Q1548" t="s">
        <v>2605</v>
      </c>
      <c r="R1548">
        <v>70601</v>
      </c>
      <c r="S1548" s="1">
        <v>42147</v>
      </c>
      <c r="T1548" s="1">
        <v>42149</v>
      </c>
      <c r="U1548">
        <v>-39.396000000000001</v>
      </c>
      <c r="V1548">
        <v>3</v>
      </c>
      <c r="W1548">
        <v>68.64</v>
      </c>
      <c r="X1548">
        <v>87208</v>
      </c>
      <c r="Y1548">
        <f>cleaneddata[[#This Row],[Unit Price]]-cleaneddata[[#This Row],[Discount]]</f>
        <v>21.31</v>
      </c>
      <c r="Z154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49" spans="1:26" x14ac:dyDescent="0.3">
      <c r="A1549">
        <v>1182</v>
      </c>
      <c r="B1549" t="s">
        <v>2606</v>
      </c>
      <c r="C1549" t="s">
        <v>13</v>
      </c>
      <c r="D1549">
        <v>7.0000000000000007E-2</v>
      </c>
      <c r="E1549">
        <v>2.61</v>
      </c>
      <c r="F1549">
        <v>0.5</v>
      </c>
      <c r="G1549" t="s">
        <v>14</v>
      </c>
      <c r="H1549" t="s">
        <v>47</v>
      </c>
      <c r="I1549" t="s">
        <v>24</v>
      </c>
      <c r="J1549" t="s">
        <v>128</v>
      </c>
      <c r="K1549" t="s">
        <v>49</v>
      </c>
      <c r="L1549" t="s">
        <v>1343</v>
      </c>
      <c r="M1549">
        <v>0.39</v>
      </c>
      <c r="N1549" t="s">
        <v>8</v>
      </c>
      <c r="O1549" t="s">
        <v>35</v>
      </c>
      <c r="P1549" t="s">
        <v>122</v>
      </c>
      <c r="Q1549" t="s">
        <v>2607</v>
      </c>
      <c r="R1549">
        <v>84660</v>
      </c>
      <c r="S1549" s="1">
        <v>42147</v>
      </c>
      <c r="T1549" s="1">
        <v>42147</v>
      </c>
      <c r="U1549">
        <v>27.013500000000001</v>
      </c>
      <c r="V1549">
        <v>15</v>
      </c>
      <c r="W1549">
        <v>39.15</v>
      </c>
      <c r="X1549">
        <v>86913</v>
      </c>
      <c r="Y1549">
        <f>cleaneddata[[#This Row],[Unit Price]]-cleaneddata[[#This Row],[Discount]]</f>
        <v>2.54</v>
      </c>
      <c r="Z154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50" spans="1:26" x14ac:dyDescent="0.3">
      <c r="A1550">
        <v>3249</v>
      </c>
      <c r="B1550" t="s">
        <v>2608</v>
      </c>
      <c r="C1550" t="s">
        <v>13</v>
      </c>
      <c r="D1550">
        <v>0.03</v>
      </c>
      <c r="E1550">
        <v>42.8</v>
      </c>
      <c r="F1550">
        <v>2.99</v>
      </c>
      <c r="G1550" t="s">
        <v>14</v>
      </c>
      <c r="H1550" t="s">
        <v>70</v>
      </c>
      <c r="I1550" t="s">
        <v>24</v>
      </c>
      <c r="J1550" t="s">
        <v>48</v>
      </c>
      <c r="K1550" t="s">
        <v>49</v>
      </c>
      <c r="L1550" t="s">
        <v>2609</v>
      </c>
      <c r="M1550">
        <v>0.36</v>
      </c>
      <c r="N1550" t="s">
        <v>8</v>
      </c>
      <c r="O1550" t="s">
        <v>87</v>
      </c>
      <c r="P1550" t="s">
        <v>394</v>
      </c>
      <c r="Q1550" t="s">
        <v>2610</v>
      </c>
      <c r="R1550">
        <v>21403</v>
      </c>
      <c r="S1550" s="1">
        <v>42147</v>
      </c>
      <c r="T1550" s="1">
        <v>42148</v>
      </c>
      <c r="U1550">
        <v>462.92099999999999</v>
      </c>
      <c r="V1550">
        <v>16</v>
      </c>
      <c r="W1550">
        <v>670.9</v>
      </c>
      <c r="X1550">
        <v>87298</v>
      </c>
      <c r="Y1550">
        <f>cleaneddata[[#This Row],[Unit Price]]-cleaneddata[[#This Row],[Discount]]</f>
        <v>42.769999999999996</v>
      </c>
      <c r="Z155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51" spans="1:26" x14ac:dyDescent="0.3">
      <c r="A1551">
        <v>460</v>
      </c>
      <c r="B1551" t="s">
        <v>2611</v>
      </c>
      <c r="C1551" t="s">
        <v>23</v>
      </c>
      <c r="D1551">
        <v>7.0000000000000007E-2</v>
      </c>
      <c r="E1551">
        <v>16.91</v>
      </c>
      <c r="F1551">
        <v>6.25</v>
      </c>
      <c r="G1551" t="s">
        <v>14</v>
      </c>
      <c r="H1551" t="s">
        <v>47</v>
      </c>
      <c r="I1551" t="s">
        <v>24</v>
      </c>
      <c r="J1551" t="s">
        <v>54</v>
      </c>
      <c r="K1551" t="s">
        <v>49</v>
      </c>
      <c r="L1551" t="s">
        <v>2612</v>
      </c>
      <c r="M1551">
        <v>0.57999999999999996</v>
      </c>
      <c r="N1551" t="s">
        <v>8</v>
      </c>
      <c r="O1551" t="s">
        <v>87</v>
      </c>
      <c r="P1551" t="s">
        <v>373</v>
      </c>
      <c r="Q1551" t="s">
        <v>2613</v>
      </c>
      <c r="R1551">
        <v>8332</v>
      </c>
      <c r="S1551" s="1">
        <v>42147</v>
      </c>
      <c r="T1551" s="1">
        <v>42154</v>
      </c>
      <c r="U1551">
        <v>7.9</v>
      </c>
      <c r="V1551">
        <v>31</v>
      </c>
      <c r="W1551">
        <v>492.9</v>
      </c>
      <c r="X1551">
        <v>86014</v>
      </c>
      <c r="Y1551">
        <f>cleaneddata[[#This Row],[Unit Price]]-cleaneddata[[#This Row],[Discount]]</f>
        <v>16.84</v>
      </c>
      <c r="Z155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52" spans="1:26" x14ac:dyDescent="0.3">
      <c r="A1552">
        <v>2858</v>
      </c>
      <c r="B1552" t="s">
        <v>2527</v>
      </c>
      <c r="C1552" t="s">
        <v>23</v>
      </c>
      <c r="D1552">
        <v>0.04</v>
      </c>
      <c r="E1552">
        <v>67.28</v>
      </c>
      <c r="F1552">
        <v>19.989999999999998</v>
      </c>
      <c r="G1552" t="s">
        <v>14</v>
      </c>
      <c r="H1552" t="s">
        <v>70</v>
      </c>
      <c r="I1552" t="s">
        <v>24</v>
      </c>
      <c r="J1552" t="s">
        <v>48</v>
      </c>
      <c r="K1552" t="s">
        <v>49</v>
      </c>
      <c r="L1552" t="s">
        <v>1927</v>
      </c>
      <c r="M1552">
        <v>0.4</v>
      </c>
      <c r="N1552" t="s">
        <v>8</v>
      </c>
      <c r="O1552" t="s">
        <v>9</v>
      </c>
      <c r="P1552" t="s">
        <v>99</v>
      </c>
      <c r="Q1552" t="s">
        <v>1339</v>
      </c>
      <c r="R1552">
        <v>32259</v>
      </c>
      <c r="S1552" s="1">
        <v>42147</v>
      </c>
      <c r="T1552" s="1">
        <v>42152</v>
      </c>
      <c r="U1552">
        <v>14.754</v>
      </c>
      <c r="V1552">
        <v>30</v>
      </c>
      <c r="W1552">
        <v>2051.6799999999998</v>
      </c>
      <c r="X1552">
        <v>88282</v>
      </c>
      <c r="Y1552">
        <f>cleaneddata[[#This Row],[Unit Price]]-cleaneddata[[#This Row],[Discount]]</f>
        <v>67.239999999999995</v>
      </c>
      <c r="Z155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53" spans="1:26" x14ac:dyDescent="0.3">
      <c r="A1553">
        <v>2858</v>
      </c>
      <c r="B1553" t="s">
        <v>2527</v>
      </c>
      <c r="C1553" t="s">
        <v>23</v>
      </c>
      <c r="D1553">
        <v>0.1</v>
      </c>
      <c r="E1553">
        <v>130.97999999999999</v>
      </c>
      <c r="F1553">
        <v>54.74</v>
      </c>
      <c r="G1553" t="s">
        <v>2</v>
      </c>
      <c r="H1553" t="s">
        <v>70</v>
      </c>
      <c r="I1553" t="s">
        <v>4</v>
      </c>
      <c r="J1553" t="s">
        <v>93</v>
      </c>
      <c r="K1553" t="s">
        <v>6</v>
      </c>
      <c r="L1553" t="s">
        <v>1379</v>
      </c>
      <c r="M1553">
        <v>0.69</v>
      </c>
      <c r="N1553" t="s">
        <v>8</v>
      </c>
      <c r="O1553" t="s">
        <v>9</v>
      </c>
      <c r="P1553" t="s">
        <v>99</v>
      </c>
      <c r="Q1553" t="s">
        <v>1339</v>
      </c>
      <c r="R1553">
        <v>32259</v>
      </c>
      <c r="S1553" s="1">
        <v>42147</v>
      </c>
      <c r="T1553" s="1">
        <v>42147</v>
      </c>
      <c r="U1553">
        <v>669.61199999999997</v>
      </c>
      <c r="V1553">
        <v>42</v>
      </c>
      <c r="W1553">
        <v>5295.03</v>
      </c>
      <c r="X1553">
        <v>88282</v>
      </c>
      <c r="Y1553">
        <f>cleaneddata[[#This Row],[Unit Price]]-cleaneddata[[#This Row],[Discount]]</f>
        <v>130.88</v>
      </c>
      <c r="Z155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54" spans="1:26" x14ac:dyDescent="0.3">
      <c r="A1554">
        <v>2858</v>
      </c>
      <c r="B1554" t="s">
        <v>2527</v>
      </c>
      <c r="C1554" t="s">
        <v>23</v>
      </c>
      <c r="D1554">
        <v>0.04</v>
      </c>
      <c r="E1554">
        <v>2.78</v>
      </c>
      <c r="F1554">
        <v>1.25</v>
      </c>
      <c r="G1554" t="s">
        <v>14</v>
      </c>
      <c r="H1554" t="s">
        <v>70</v>
      </c>
      <c r="I1554" t="s">
        <v>24</v>
      </c>
      <c r="J1554" t="s">
        <v>25</v>
      </c>
      <c r="K1554" t="s">
        <v>26</v>
      </c>
      <c r="L1554" t="s">
        <v>358</v>
      </c>
      <c r="M1554">
        <v>0.59</v>
      </c>
      <c r="N1554" t="s">
        <v>8</v>
      </c>
      <c r="O1554" t="s">
        <v>9</v>
      </c>
      <c r="P1554" t="s">
        <v>99</v>
      </c>
      <c r="Q1554" t="s">
        <v>1339</v>
      </c>
      <c r="R1554">
        <v>32259</v>
      </c>
      <c r="S1554" s="1">
        <v>42147</v>
      </c>
      <c r="T1554" s="1">
        <v>42147</v>
      </c>
      <c r="U1554">
        <v>213</v>
      </c>
      <c r="V1554">
        <v>28</v>
      </c>
      <c r="W1554">
        <v>80.27</v>
      </c>
      <c r="X1554">
        <v>88282</v>
      </c>
      <c r="Y1554">
        <f>cleaneddata[[#This Row],[Unit Price]]-cleaneddata[[#This Row],[Discount]]</f>
        <v>2.7399999999999998</v>
      </c>
      <c r="Z155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55" spans="1:26" x14ac:dyDescent="0.3">
      <c r="A1555">
        <v>398</v>
      </c>
      <c r="B1555" t="s">
        <v>2614</v>
      </c>
      <c r="C1555" t="s">
        <v>92</v>
      </c>
      <c r="D1555">
        <v>0.05</v>
      </c>
      <c r="E1555">
        <v>63.94</v>
      </c>
      <c r="F1555">
        <v>14.48</v>
      </c>
      <c r="G1555" t="s">
        <v>14</v>
      </c>
      <c r="H1555" t="s">
        <v>70</v>
      </c>
      <c r="I1555" t="s">
        <v>4</v>
      </c>
      <c r="J1555" t="s">
        <v>102</v>
      </c>
      <c r="K1555" t="s">
        <v>49</v>
      </c>
      <c r="L1555" t="s">
        <v>1970</v>
      </c>
      <c r="M1555">
        <v>0.46</v>
      </c>
      <c r="N1555" t="s">
        <v>8</v>
      </c>
      <c r="O1555" t="s">
        <v>87</v>
      </c>
      <c r="P1555" t="s">
        <v>293</v>
      </c>
      <c r="Q1555" t="s">
        <v>2615</v>
      </c>
      <c r="R1555">
        <v>45406</v>
      </c>
      <c r="S1555" s="1">
        <v>42147</v>
      </c>
      <c r="T1555" s="1">
        <v>42149</v>
      </c>
      <c r="U1555">
        <v>1372.6307999999999</v>
      </c>
      <c r="V1555">
        <v>31</v>
      </c>
      <c r="W1555">
        <v>1989.32</v>
      </c>
      <c r="X1555">
        <v>89320</v>
      </c>
      <c r="Y1555">
        <f>cleaneddata[[#This Row],[Unit Price]]-cleaneddata[[#This Row],[Discount]]</f>
        <v>63.89</v>
      </c>
      <c r="Z155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56" spans="1:26" x14ac:dyDescent="0.3">
      <c r="A1556">
        <v>540</v>
      </c>
      <c r="B1556" t="s">
        <v>2484</v>
      </c>
      <c r="C1556" t="s">
        <v>92</v>
      </c>
      <c r="D1556">
        <v>0.05</v>
      </c>
      <c r="E1556">
        <v>204.1</v>
      </c>
      <c r="F1556">
        <v>13.99</v>
      </c>
      <c r="G1556" t="s">
        <v>14</v>
      </c>
      <c r="H1556" t="s">
        <v>3</v>
      </c>
      <c r="I1556" t="s">
        <v>16</v>
      </c>
      <c r="J1556" t="s">
        <v>32</v>
      </c>
      <c r="K1556" t="s">
        <v>120</v>
      </c>
      <c r="L1556" t="s">
        <v>2616</v>
      </c>
      <c r="M1556">
        <v>0.37</v>
      </c>
      <c r="N1556" t="s">
        <v>8</v>
      </c>
      <c r="O1556" t="s">
        <v>28</v>
      </c>
      <c r="P1556" t="s">
        <v>79</v>
      </c>
      <c r="Q1556" t="s">
        <v>2486</v>
      </c>
      <c r="R1556">
        <v>60061</v>
      </c>
      <c r="S1556" s="1">
        <v>42147</v>
      </c>
      <c r="T1556" s="1">
        <v>42149</v>
      </c>
      <c r="U1556">
        <v>5924.1122999999998</v>
      </c>
      <c r="V1556">
        <v>41</v>
      </c>
      <c r="W1556">
        <v>8585.67</v>
      </c>
      <c r="X1556">
        <v>91175</v>
      </c>
      <c r="Y1556">
        <f>cleaneddata[[#This Row],[Unit Price]]-cleaneddata[[#This Row],[Discount]]</f>
        <v>204.04999999999998</v>
      </c>
      <c r="Z15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57" spans="1:26" x14ac:dyDescent="0.3">
      <c r="A1557">
        <v>2458</v>
      </c>
      <c r="B1557" t="s">
        <v>133</v>
      </c>
      <c r="C1557" t="s">
        <v>92</v>
      </c>
      <c r="D1557">
        <v>0.05</v>
      </c>
      <c r="E1557">
        <v>12.88</v>
      </c>
      <c r="F1557">
        <v>4.59</v>
      </c>
      <c r="G1557" t="s">
        <v>14</v>
      </c>
      <c r="H1557" t="s">
        <v>47</v>
      </c>
      <c r="I1557" t="s">
        <v>24</v>
      </c>
      <c r="J1557" t="s">
        <v>544</v>
      </c>
      <c r="K1557" t="s">
        <v>26</v>
      </c>
      <c r="L1557" t="s">
        <v>2007</v>
      </c>
      <c r="M1557">
        <v>0.82</v>
      </c>
      <c r="N1557" t="s">
        <v>8</v>
      </c>
      <c r="O1557" t="s">
        <v>28</v>
      </c>
      <c r="P1557" t="s">
        <v>60</v>
      </c>
      <c r="Q1557" t="s">
        <v>135</v>
      </c>
      <c r="R1557">
        <v>55410</v>
      </c>
      <c r="S1557" s="1">
        <v>42147</v>
      </c>
      <c r="T1557" s="1">
        <v>42149</v>
      </c>
      <c r="U1557">
        <v>5.98</v>
      </c>
      <c r="V1557">
        <v>3</v>
      </c>
      <c r="W1557">
        <v>42.35</v>
      </c>
      <c r="X1557">
        <v>91286</v>
      </c>
      <c r="Y1557">
        <f>cleaneddata[[#This Row],[Unit Price]]-cleaneddata[[#This Row],[Discount]]</f>
        <v>12.83</v>
      </c>
      <c r="Z155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58" spans="1:26" x14ac:dyDescent="0.3">
      <c r="A1558">
        <v>1814</v>
      </c>
      <c r="B1558" t="s">
        <v>2617</v>
      </c>
      <c r="C1558" t="s">
        <v>46</v>
      </c>
      <c r="D1558">
        <v>0.09</v>
      </c>
      <c r="E1558">
        <v>77.510000000000005</v>
      </c>
      <c r="F1558">
        <v>4</v>
      </c>
      <c r="G1558" t="s">
        <v>63</v>
      </c>
      <c r="H1558" t="s">
        <v>47</v>
      </c>
      <c r="I1558" t="s">
        <v>16</v>
      </c>
      <c r="J1558" t="s">
        <v>17</v>
      </c>
      <c r="K1558" t="s">
        <v>49</v>
      </c>
      <c r="L1558" t="s">
        <v>2025</v>
      </c>
      <c r="M1558">
        <v>0.76</v>
      </c>
      <c r="N1558" t="s">
        <v>8</v>
      </c>
      <c r="O1558" t="s">
        <v>9</v>
      </c>
      <c r="P1558" t="s">
        <v>10</v>
      </c>
      <c r="Q1558" t="s">
        <v>2618</v>
      </c>
      <c r="R1558">
        <v>38654</v>
      </c>
      <c r="S1558" s="1">
        <v>42147</v>
      </c>
      <c r="T1558" s="1">
        <v>42149</v>
      </c>
      <c r="U1558">
        <v>-986.524</v>
      </c>
      <c r="V1558">
        <v>17</v>
      </c>
      <c r="W1558">
        <v>1300.54</v>
      </c>
      <c r="X1558">
        <v>90524</v>
      </c>
      <c r="Y1558">
        <f>cleaneddata[[#This Row],[Unit Price]]-cleaneddata[[#This Row],[Discount]]</f>
        <v>77.42</v>
      </c>
      <c r="Z155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59" spans="1:26" x14ac:dyDescent="0.3">
      <c r="A1559">
        <v>1814</v>
      </c>
      <c r="B1559" t="s">
        <v>2617</v>
      </c>
      <c r="C1559" t="s">
        <v>46</v>
      </c>
      <c r="D1559">
        <v>0</v>
      </c>
      <c r="E1559">
        <v>2.88</v>
      </c>
      <c r="F1559">
        <v>0.7</v>
      </c>
      <c r="G1559" t="s">
        <v>14</v>
      </c>
      <c r="H1559" t="s">
        <v>47</v>
      </c>
      <c r="I1559" t="s">
        <v>24</v>
      </c>
      <c r="J1559" t="s">
        <v>25</v>
      </c>
      <c r="K1559" t="s">
        <v>26</v>
      </c>
      <c r="L1559" t="s">
        <v>615</v>
      </c>
      <c r="M1559">
        <v>0.56000000000000005</v>
      </c>
      <c r="N1559" t="s">
        <v>8</v>
      </c>
      <c r="O1559" t="s">
        <v>9</v>
      </c>
      <c r="P1559" t="s">
        <v>10</v>
      </c>
      <c r="Q1559" t="s">
        <v>2618</v>
      </c>
      <c r="R1559">
        <v>38654</v>
      </c>
      <c r="S1559" s="1">
        <v>42147</v>
      </c>
      <c r="T1559" s="1">
        <v>42149</v>
      </c>
      <c r="U1559">
        <v>-141.666</v>
      </c>
      <c r="V1559">
        <v>13</v>
      </c>
      <c r="W1559">
        <v>38.06</v>
      </c>
      <c r="X1559">
        <v>90524</v>
      </c>
      <c r="Y1559">
        <f>cleaneddata[[#This Row],[Unit Price]]-cleaneddata[[#This Row],[Discount]]</f>
        <v>2.88</v>
      </c>
      <c r="Z155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60" spans="1:26" x14ac:dyDescent="0.3">
      <c r="A1560">
        <v>2450</v>
      </c>
      <c r="B1560" t="s">
        <v>2619</v>
      </c>
      <c r="C1560" t="s">
        <v>46</v>
      </c>
      <c r="D1560">
        <v>0.08</v>
      </c>
      <c r="E1560">
        <v>4.13</v>
      </c>
      <c r="F1560">
        <v>1.17</v>
      </c>
      <c r="G1560" t="s">
        <v>14</v>
      </c>
      <c r="H1560" t="s">
        <v>47</v>
      </c>
      <c r="I1560" t="s">
        <v>24</v>
      </c>
      <c r="J1560" t="s">
        <v>25</v>
      </c>
      <c r="K1560" t="s">
        <v>26</v>
      </c>
      <c r="L1560" t="s">
        <v>2620</v>
      </c>
      <c r="M1560">
        <v>0.56999999999999995</v>
      </c>
      <c r="N1560" t="s">
        <v>8</v>
      </c>
      <c r="O1560" t="s">
        <v>28</v>
      </c>
      <c r="P1560" t="s">
        <v>333</v>
      </c>
      <c r="Q1560" t="s">
        <v>2621</v>
      </c>
      <c r="R1560">
        <v>53545</v>
      </c>
      <c r="S1560" s="1">
        <v>42147</v>
      </c>
      <c r="T1560" s="1">
        <v>42149</v>
      </c>
      <c r="U1560">
        <v>-5.54</v>
      </c>
      <c r="V1560">
        <v>1</v>
      </c>
      <c r="W1560">
        <v>4.21</v>
      </c>
      <c r="X1560">
        <v>90322</v>
      </c>
      <c r="Y1560">
        <f>cleaneddata[[#This Row],[Unit Price]]-cleaneddata[[#This Row],[Discount]]</f>
        <v>4.05</v>
      </c>
      <c r="Z156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61" spans="1:26" x14ac:dyDescent="0.3">
      <c r="A1561">
        <v>357</v>
      </c>
      <c r="B1561" t="s">
        <v>2622</v>
      </c>
      <c r="C1561" t="s">
        <v>1</v>
      </c>
      <c r="D1561">
        <v>7.0000000000000007E-2</v>
      </c>
      <c r="E1561">
        <v>124.49</v>
      </c>
      <c r="F1561">
        <v>51.94</v>
      </c>
      <c r="G1561" t="s">
        <v>2</v>
      </c>
      <c r="H1561" t="s">
        <v>70</v>
      </c>
      <c r="I1561" t="s">
        <v>4</v>
      </c>
      <c r="J1561" t="s">
        <v>5</v>
      </c>
      <c r="K1561" t="s">
        <v>6</v>
      </c>
      <c r="L1561" t="s">
        <v>1125</v>
      </c>
      <c r="M1561">
        <v>0.63</v>
      </c>
      <c r="N1561" t="s">
        <v>8</v>
      </c>
      <c r="O1561" t="s">
        <v>35</v>
      </c>
      <c r="P1561" t="s">
        <v>564</v>
      </c>
      <c r="Q1561" t="s">
        <v>2623</v>
      </c>
      <c r="R1561">
        <v>86401</v>
      </c>
      <c r="S1561" s="1">
        <v>42148</v>
      </c>
      <c r="T1561" s="1">
        <v>42149</v>
      </c>
      <c r="U1561">
        <v>1074.44</v>
      </c>
      <c r="V1561">
        <v>14</v>
      </c>
      <c r="W1561">
        <v>1714.93</v>
      </c>
      <c r="X1561">
        <v>91131</v>
      </c>
      <c r="Y1561">
        <f>cleaneddata[[#This Row],[Unit Price]]-cleaneddata[[#This Row],[Discount]]</f>
        <v>124.42</v>
      </c>
      <c r="Z15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62" spans="1:26" x14ac:dyDescent="0.3">
      <c r="A1562">
        <v>885</v>
      </c>
      <c r="B1562" t="s">
        <v>2624</v>
      </c>
      <c r="C1562" t="s">
        <v>1</v>
      </c>
      <c r="D1562">
        <v>0.06</v>
      </c>
      <c r="E1562">
        <v>25.98</v>
      </c>
      <c r="F1562">
        <v>14.36</v>
      </c>
      <c r="G1562" t="s">
        <v>2</v>
      </c>
      <c r="H1562" t="s">
        <v>70</v>
      </c>
      <c r="I1562" t="s">
        <v>4</v>
      </c>
      <c r="J1562" t="s">
        <v>85</v>
      </c>
      <c r="K1562" t="s">
        <v>33</v>
      </c>
      <c r="L1562" t="s">
        <v>760</v>
      </c>
      <c r="M1562">
        <v>0.6</v>
      </c>
      <c r="N1562" t="s">
        <v>8</v>
      </c>
      <c r="O1562" t="s">
        <v>28</v>
      </c>
      <c r="P1562" t="s">
        <v>163</v>
      </c>
      <c r="Q1562" t="s">
        <v>2625</v>
      </c>
      <c r="R1562">
        <v>79109</v>
      </c>
      <c r="S1562" s="1">
        <v>42148</v>
      </c>
      <c r="T1562" s="1">
        <v>42149</v>
      </c>
      <c r="U1562">
        <v>55.887999999999998</v>
      </c>
      <c r="V1562">
        <v>41</v>
      </c>
      <c r="W1562">
        <v>1033.56</v>
      </c>
      <c r="X1562">
        <v>89537</v>
      </c>
      <c r="Y1562">
        <f>cleaneddata[[#This Row],[Unit Price]]-cleaneddata[[#This Row],[Discount]]</f>
        <v>25.92</v>
      </c>
      <c r="Z156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63" spans="1:26" x14ac:dyDescent="0.3">
      <c r="A1563">
        <v>1623</v>
      </c>
      <c r="B1563" t="s">
        <v>2626</v>
      </c>
      <c r="C1563" t="s">
        <v>13</v>
      </c>
      <c r="D1563">
        <v>0.06</v>
      </c>
      <c r="E1563">
        <v>15.01</v>
      </c>
      <c r="F1563">
        <v>8.4</v>
      </c>
      <c r="G1563" t="s">
        <v>14</v>
      </c>
      <c r="H1563" t="s">
        <v>3</v>
      </c>
      <c r="I1563" t="s">
        <v>24</v>
      </c>
      <c r="J1563" t="s">
        <v>48</v>
      </c>
      <c r="K1563" t="s">
        <v>49</v>
      </c>
      <c r="L1563" t="s">
        <v>2627</v>
      </c>
      <c r="M1563">
        <v>0.39</v>
      </c>
      <c r="N1563" t="s">
        <v>8</v>
      </c>
      <c r="O1563" t="s">
        <v>28</v>
      </c>
      <c r="P1563" t="s">
        <v>29</v>
      </c>
      <c r="Q1563" t="s">
        <v>2628</v>
      </c>
      <c r="R1563">
        <v>46375</v>
      </c>
      <c r="S1563" s="1">
        <v>42148</v>
      </c>
      <c r="T1563" s="1">
        <v>42150</v>
      </c>
      <c r="U1563">
        <v>1.6169</v>
      </c>
      <c r="V1563">
        <v>22</v>
      </c>
      <c r="W1563">
        <v>333.04</v>
      </c>
      <c r="X1563">
        <v>87611</v>
      </c>
      <c r="Y1563">
        <f>cleaneddata[[#This Row],[Unit Price]]-cleaneddata[[#This Row],[Discount]]</f>
        <v>14.95</v>
      </c>
      <c r="Z156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64" spans="1:26" x14ac:dyDescent="0.3">
      <c r="A1564">
        <v>1623</v>
      </c>
      <c r="B1564" t="s">
        <v>2626</v>
      </c>
      <c r="C1564" t="s">
        <v>13</v>
      </c>
      <c r="D1564">
        <v>0.09</v>
      </c>
      <c r="E1564">
        <v>40.479999999999997</v>
      </c>
      <c r="F1564">
        <v>19.989999999999998</v>
      </c>
      <c r="G1564" t="s">
        <v>14</v>
      </c>
      <c r="H1564" t="s">
        <v>3</v>
      </c>
      <c r="I1564" t="s">
        <v>16</v>
      </c>
      <c r="J1564" t="s">
        <v>17</v>
      </c>
      <c r="K1564" t="s">
        <v>49</v>
      </c>
      <c r="L1564" t="s">
        <v>2030</v>
      </c>
      <c r="M1564">
        <v>0.77</v>
      </c>
      <c r="N1564" t="s">
        <v>8</v>
      </c>
      <c r="O1564" t="s">
        <v>28</v>
      </c>
      <c r="P1564" t="s">
        <v>29</v>
      </c>
      <c r="Q1564" t="s">
        <v>2628</v>
      </c>
      <c r="R1564">
        <v>46375</v>
      </c>
      <c r="S1564" s="1">
        <v>42148</v>
      </c>
      <c r="T1564" s="1">
        <v>42150</v>
      </c>
      <c r="U1564">
        <v>65.394000000000005</v>
      </c>
      <c r="V1564">
        <v>12</v>
      </c>
      <c r="W1564">
        <v>472.44</v>
      </c>
      <c r="X1564">
        <v>87611</v>
      </c>
      <c r="Y1564">
        <f>cleaneddata[[#This Row],[Unit Price]]-cleaneddata[[#This Row],[Discount]]</f>
        <v>40.389999999999993</v>
      </c>
      <c r="Z15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65" spans="1:26" x14ac:dyDescent="0.3">
      <c r="A1565">
        <v>1623</v>
      </c>
      <c r="B1565" t="s">
        <v>2626</v>
      </c>
      <c r="C1565" t="s">
        <v>13</v>
      </c>
      <c r="D1565">
        <v>0.05</v>
      </c>
      <c r="E1565">
        <v>12.28</v>
      </c>
      <c r="F1565">
        <v>6.13</v>
      </c>
      <c r="G1565" t="s">
        <v>14</v>
      </c>
      <c r="H1565" t="s">
        <v>3</v>
      </c>
      <c r="I1565" t="s">
        <v>24</v>
      </c>
      <c r="J1565" t="s">
        <v>54</v>
      </c>
      <c r="K1565" t="s">
        <v>49</v>
      </c>
      <c r="L1565" t="s">
        <v>2362</v>
      </c>
      <c r="M1565">
        <v>0.56999999999999995</v>
      </c>
      <c r="N1565" t="s">
        <v>8</v>
      </c>
      <c r="O1565" t="s">
        <v>28</v>
      </c>
      <c r="P1565" t="s">
        <v>29</v>
      </c>
      <c r="Q1565" t="s">
        <v>2628</v>
      </c>
      <c r="R1565">
        <v>46375</v>
      </c>
      <c r="S1565" s="1">
        <v>42148</v>
      </c>
      <c r="T1565" s="1">
        <v>42149</v>
      </c>
      <c r="U1565">
        <v>1.3360000000000001</v>
      </c>
      <c r="V1565">
        <v>1</v>
      </c>
      <c r="W1565">
        <v>18.73</v>
      </c>
      <c r="X1565">
        <v>87611</v>
      </c>
      <c r="Y1565">
        <f>cleaneddata[[#This Row],[Unit Price]]-cleaneddata[[#This Row],[Discount]]</f>
        <v>12.229999999999999</v>
      </c>
      <c r="Z156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66" spans="1:26" x14ac:dyDescent="0.3">
      <c r="A1566">
        <v>3096</v>
      </c>
      <c r="B1566" t="s">
        <v>2629</v>
      </c>
      <c r="C1566" t="s">
        <v>13</v>
      </c>
      <c r="D1566">
        <v>0.08</v>
      </c>
      <c r="E1566">
        <v>40.98</v>
      </c>
      <c r="F1566">
        <v>7.2</v>
      </c>
      <c r="G1566" t="s">
        <v>63</v>
      </c>
      <c r="H1566" t="s">
        <v>15</v>
      </c>
      <c r="I1566" t="s">
        <v>24</v>
      </c>
      <c r="J1566" t="s">
        <v>71</v>
      </c>
      <c r="K1566" t="s">
        <v>49</v>
      </c>
      <c r="L1566" t="s">
        <v>2630</v>
      </c>
      <c r="M1566">
        <v>0.6</v>
      </c>
      <c r="N1566" t="s">
        <v>8</v>
      </c>
      <c r="O1566" t="s">
        <v>87</v>
      </c>
      <c r="P1566" t="s">
        <v>293</v>
      </c>
      <c r="Q1566" t="s">
        <v>2416</v>
      </c>
      <c r="R1566">
        <v>43026</v>
      </c>
      <c r="S1566" s="1">
        <v>42148</v>
      </c>
      <c r="T1566" s="1">
        <v>42149</v>
      </c>
      <c r="U1566">
        <v>-16.64</v>
      </c>
      <c r="V1566">
        <v>3</v>
      </c>
      <c r="W1566">
        <v>119.86</v>
      </c>
      <c r="X1566">
        <v>86221</v>
      </c>
      <c r="Y1566">
        <f>cleaneddata[[#This Row],[Unit Price]]-cleaneddata[[#This Row],[Discount]]</f>
        <v>40.9</v>
      </c>
      <c r="Z156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67" spans="1:26" x14ac:dyDescent="0.3">
      <c r="A1567">
        <v>3096</v>
      </c>
      <c r="B1567" t="s">
        <v>2629</v>
      </c>
      <c r="C1567" t="s">
        <v>13</v>
      </c>
      <c r="D1567">
        <v>0.08</v>
      </c>
      <c r="E1567">
        <v>8.1199999999999992</v>
      </c>
      <c r="F1567">
        <v>2.83</v>
      </c>
      <c r="G1567" t="s">
        <v>63</v>
      </c>
      <c r="H1567" t="s">
        <v>15</v>
      </c>
      <c r="I1567" t="s">
        <v>16</v>
      </c>
      <c r="J1567" t="s">
        <v>17</v>
      </c>
      <c r="K1567" t="s">
        <v>18</v>
      </c>
      <c r="L1567" t="s">
        <v>1674</v>
      </c>
      <c r="M1567">
        <v>0.77</v>
      </c>
      <c r="N1567" t="s">
        <v>8</v>
      </c>
      <c r="O1567" t="s">
        <v>87</v>
      </c>
      <c r="P1567" t="s">
        <v>293</v>
      </c>
      <c r="Q1567" t="s">
        <v>2416</v>
      </c>
      <c r="R1567">
        <v>43026</v>
      </c>
      <c r="S1567" s="1">
        <v>42148</v>
      </c>
      <c r="T1567" s="1">
        <v>42149</v>
      </c>
      <c r="U1567">
        <v>-59.73</v>
      </c>
      <c r="V1567">
        <v>12</v>
      </c>
      <c r="W1567">
        <v>98.77</v>
      </c>
      <c r="X1567">
        <v>86221</v>
      </c>
      <c r="Y1567">
        <f>cleaneddata[[#This Row],[Unit Price]]-cleaneddata[[#This Row],[Discount]]</f>
        <v>8.0399999999999991</v>
      </c>
      <c r="Z15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68" spans="1:26" x14ac:dyDescent="0.3">
      <c r="A1568">
        <v>3096</v>
      </c>
      <c r="B1568" t="s">
        <v>2629</v>
      </c>
      <c r="C1568" t="s">
        <v>13</v>
      </c>
      <c r="D1568">
        <v>0.02</v>
      </c>
      <c r="E1568">
        <v>262.11</v>
      </c>
      <c r="F1568">
        <v>62.74</v>
      </c>
      <c r="G1568" t="s">
        <v>2</v>
      </c>
      <c r="H1568" t="s">
        <v>15</v>
      </c>
      <c r="I1568" t="s">
        <v>4</v>
      </c>
      <c r="J1568" t="s">
        <v>5</v>
      </c>
      <c r="K1568" t="s">
        <v>6</v>
      </c>
      <c r="L1568" t="s">
        <v>2631</v>
      </c>
      <c r="M1568">
        <v>0.75</v>
      </c>
      <c r="N1568" t="s">
        <v>8</v>
      </c>
      <c r="O1568" t="s">
        <v>87</v>
      </c>
      <c r="P1568" t="s">
        <v>293</v>
      </c>
      <c r="Q1568" t="s">
        <v>2416</v>
      </c>
      <c r="R1568">
        <v>43026</v>
      </c>
      <c r="S1568" s="1">
        <v>42148</v>
      </c>
      <c r="T1568" s="1">
        <v>42149</v>
      </c>
      <c r="U1568">
        <v>-633.441237</v>
      </c>
      <c r="V1568">
        <v>9</v>
      </c>
      <c r="W1568">
        <v>2495.35</v>
      </c>
      <c r="X1568">
        <v>86221</v>
      </c>
      <c r="Y1568">
        <f>cleaneddata[[#This Row],[Unit Price]]-cleaneddata[[#This Row],[Discount]]</f>
        <v>262.09000000000003</v>
      </c>
      <c r="Z156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69" spans="1:26" x14ac:dyDescent="0.3">
      <c r="A1569">
        <v>3366</v>
      </c>
      <c r="B1569" t="s">
        <v>2632</v>
      </c>
      <c r="C1569" t="s">
        <v>23</v>
      </c>
      <c r="D1569">
        <v>0.1</v>
      </c>
      <c r="E1569">
        <v>80.97</v>
      </c>
      <c r="F1569">
        <v>33.6</v>
      </c>
      <c r="G1569" t="s">
        <v>2</v>
      </c>
      <c r="H1569" t="s">
        <v>47</v>
      </c>
      <c r="I1569" t="s">
        <v>16</v>
      </c>
      <c r="J1569" t="s">
        <v>32</v>
      </c>
      <c r="K1569" t="s">
        <v>33</v>
      </c>
      <c r="L1569" t="s">
        <v>885</v>
      </c>
      <c r="M1569">
        <v>0.37</v>
      </c>
      <c r="N1569" t="s">
        <v>8</v>
      </c>
      <c r="O1569" t="s">
        <v>87</v>
      </c>
      <c r="P1569" t="s">
        <v>293</v>
      </c>
      <c r="Q1569" t="s">
        <v>557</v>
      </c>
      <c r="R1569">
        <v>45373</v>
      </c>
      <c r="S1569" s="1">
        <v>42148</v>
      </c>
      <c r="T1569" s="1">
        <v>42153</v>
      </c>
      <c r="U1569">
        <v>66.22</v>
      </c>
      <c r="V1569">
        <v>11</v>
      </c>
      <c r="W1569">
        <v>837.57</v>
      </c>
      <c r="X1569">
        <v>90501</v>
      </c>
      <c r="Y1569">
        <f>cleaneddata[[#This Row],[Unit Price]]-cleaneddata[[#This Row],[Discount]]</f>
        <v>80.87</v>
      </c>
      <c r="Z156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70" spans="1:26" x14ac:dyDescent="0.3">
      <c r="A1570">
        <v>3366</v>
      </c>
      <c r="B1570" t="s">
        <v>2632</v>
      </c>
      <c r="C1570" t="s">
        <v>23</v>
      </c>
      <c r="D1570">
        <v>0.02</v>
      </c>
      <c r="E1570">
        <v>6.48</v>
      </c>
      <c r="F1570">
        <v>5.1100000000000003</v>
      </c>
      <c r="G1570" t="s">
        <v>14</v>
      </c>
      <c r="H1570" t="s">
        <v>47</v>
      </c>
      <c r="I1570" t="s">
        <v>24</v>
      </c>
      <c r="J1570" t="s">
        <v>64</v>
      </c>
      <c r="K1570" t="s">
        <v>49</v>
      </c>
      <c r="L1570" t="s">
        <v>2568</v>
      </c>
      <c r="M1570">
        <v>0.37</v>
      </c>
      <c r="N1570" t="s">
        <v>8</v>
      </c>
      <c r="O1570" t="s">
        <v>87</v>
      </c>
      <c r="P1570" t="s">
        <v>293</v>
      </c>
      <c r="Q1570" t="s">
        <v>557</v>
      </c>
      <c r="R1570">
        <v>45373</v>
      </c>
      <c r="S1570" s="1">
        <v>42148</v>
      </c>
      <c r="T1570" s="1">
        <v>42152</v>
      </c>
      <c r="U1570">
        <v>-23.53</v>
      </c>
      <c r="V1570">
        <v>8</v>
      </c>
      <c r="W1570">
        <v>56.22</v>
      </c>
      <c r="X1570">
        <v>90501</v>
      </c>
      <c r="Y1570">
        <f>cleaneddata[[#This Row],[Unit Price]]-cleaneddata[[#This Row],[Discount]]</f>
        <v>6.4600000000000009</v>
      </c>
      <c r="Z157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71" spans="1:26" x14ac:dyDescent="0.3">
      <c r="A1571">
        <v>1450</v>
      </c>
      <c r="B1571" t="s">
        <v>2633</v>
      </c>
      <c r="C1571" t="s">
        <v>92</v>
      </c>
      <c r="D1571">
        <v>0.1</v>
      </c>
      <c r="E1571">
        <v>218.08</v>
      </c>
      <c r="F1571">
        <v>18.059999999999999</v>
      </c>
      <c r="G1571" t="s">
        <v>63</v>
      </c>
      <c r="H1571" t="s">
        <v>15</v>
      </c>
      <c r="I1571" t="s">
        <v>4</v>
      </c>
      <c r="J1571" t="s">
        <v>85</v>
      </c>
      <c r="K1571" t="s">
        <v>40</v>
      </c>
      <c r="L1571" t="s">
        <v>2592</v>
      </c>
      <c r="M1571">
        <v>0.56999999999999995</v>
      </c>
      <c r="N1571" t="s">
        <v>8</v>
      </c>
      <c r="O1571" t="s">
        <v>35</v>
      </c>
      <c r="P1571" t="s">
        <v>66</v>
      </c>
      <c r="Q1571" t="s">
        <v>2634</v>
      </c>
      <c r="R1571">
        <v>96150</v>
      </c>
      <c r="S1571" s="1">
        <v>42148</v>
      </c>
      <c r="T1571" s="1">
        <v>42149</v>
      </c>
      <c r="U1571">
        <v>1318.83</v>
      </c>
      <c r="V1571">
        <v>12</v>
      </c>
      <c r="W1571">
        <v>2366.5100000000002</v>
      </c>
      <c r="X1571">
        <v>86735</v>
      </c>
      <c r="Y1571">
        <f>cleaneddata[[#This Row],[Unit Price]]-cleaneddata[[#This Row],[Discount]]</f>
        <v>217.98000000000002</v>
      </c>
      <c r="Z157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72" spans="1:26" x14ac:dyDescent="0.3">
      <c r="A1572">
        <v>2422</v>
      </c>
      <c r="B1572" t="s">
        <v>701</v>
      </c>
      <c r="C1572" t="s">
        <v>46</v>
      </c>
      <c r="D1572">
        <v>0.05</v>
      </c>
      <c r="E1572">
        <v>150.97999999999999</v>
      </c>
      <c r="F1572">
        <v>43.71</v>
      </c>
      <c r="G1572" t="s">
        <v>2</v>
      </c>
      <c r="H1572" t="s">
        <v>47</v>
      </c>
      <c r="I1572" t="s">
        <v>4</v>
      </c>
      <c r="J1572" t="s">
        <v>85</v>
      </c>
      <c r="K1572" t="s">
        <v>33</v>
      </c>
      <c r="L1572" t="s">
        <v>2635</v>
      </c>
      <c r="M1572">
        <v>0.55000000000000004</v>
      </c>
      <c r="N1572" t="s">
        <v>8</v>
      </c>
      <c r="O1572" t="s">
        <v>28</v>
      </c>
      <c r="P1572" t="s">
        <v>163</v>
      </c>
      <c r="Q1572" t="s">
        <v>703</v>
      </c>
      <c r="R1572">
        <v>77340</v>
      </c>
      <c r="S1572" s="1">
        <v>42148</v>
      </c>
      <c r="T1572" s="1">
        <v>42149</v>
      </c>
      <c r="U1572">
        <v>650.29999999999995</v>
      </c>
      <c r="V1572">
        <v>12</v>
      </c>
      <c r="W1572">
        <v>1857.08</v>
      </c>
      <c r="X1572">
        <v>89053</v>
      </c>
      <c r="Y1572">
        <f>cleaneddata[[#This Row],[Unit Price]]-cleaneddata[[#This Row],[Discount]]</f>
        <v>150.92999999999998</v>
      </c>
      <c r="Z15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73" spans="1:26" x14ac:dyDescent="0.3">
      <c r="A1573">
        <v>3063</v>
      </c>
      <c r="B1573" t="s">
        <v>1367</v>
      </c>
      <c r="C1573" t="s">
        <v>46</v>
      </c>
      <c r="D1573">
        <v>0.03</v>
      </c>
      <c r="E1573">
        <v>20.99</v>
      </c>
      <c r="F1573">
        <v>0.99</v>
      </c>
      <c r="G1573" t="s">
        <v>14</v>
      </c>
      <c r="H1573" t="s">
        <v>15</v>
      </c>
      <c r="I1573" t="s">
        <v>16</v>
      </c>
      <c r="J1573" t="s">
        <v>111</v>
      </c>
      <c r="K1573" t="s">
        <v>26</v>
      </c>
      <c r="L1573" t="s">
        <v>2307</v>
      </c>
      <c r="M1573">
        <v>0.56999999999999995</v>
      </c>
      <c r="N1573" t="s">
        <v>8</v>
      </c>
      <c r="O1573" t="s">
        <v>35</v>
      </c>
      <c r="P1573" t="s">
        <v>42</v>
      </c>
      <c r="Q1573" t="s">
        <v>1368</v>
      </c>
      <c r="R1573">
        <v>98034</v>
      </c>
      <c r="S1573" s="1">
        <v>42148</v>
      </c>
      <c r="T1573" s="1">
        <v>42150</v>
      </c>
      <c r="U1573">
        <v>4.1821999999999999</v>
      </c>
      <c r="V1573">
        <v>9</v>
      </c>
      <c r="W1573">
        <v>158.87</v>
      </c>
      <c r="X1573">
        <v>88449</v>
      </c>
      <c r="Y1573">
        <f>cleaneddata[[#This Row],[Unit Price]]-cleaneddata[[#This Row],[Discount]]</f>
        <v>20.959999999999997</v>
      </c>
      <c r="Z157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74" spans="1:26" x14ac:dyDescent="0.3">
      <c r="A1574">
        <v>444</v>
      </c>
      <c r="B1574" t="s">
        <v>2636</v>
      </c>
      <c r="C1574" t="s">
        <v>1</v>
      </c>
      <c r="D1574">
        <v>0</v>
      </c>
      <c r="E1574">
        <v>7.59</v>
      </c>
      <c r="F1574">
        <v>4</v>
      </c>
      <c r="G1574" t="s">
        <v>14</v>
      </c>
      <c r="H1574" t="s">
        <v>3</v>
      </c>
      <c r="I1574" t="s">
        <v>4</v>
      </c>
      <c r="J1574" t="s">
        <v>102</v>
      </c>
      <c r="K1574" t="s">
        <v>26</v>
      </c>
      <c r="L1574" t="s">
        <v>1663</v>
      </c>
      <c r="M1574">
        <v>0.42</v>
      </c>
      <c r="N1574" t="s">
        <v>8</v>
      </c>
      <c r="O1574" t="s">
        <v>28</v>
      </c>
      <c r="P1574" t="s">
        <v>79</v>
      </c>
      <c r="Q1574" t="s">
        <v>2483</v>
      </c>
      <c r="R1574">
        <v>61801</v>
      </c>
      <c r="S1574" s="1">
        <v>42149</v>
      </c>
      <c r="T1574" s="1">
        <v>42152</v>
      </c>
      <c r="U1574">
        <v>86.438000000000002</v>
      </c>
      <c r="V1574">
        <v>43</v>
      </c>
      <c r="W1574">
        <v>355.92</v>
      </c>
      <c r="X1574">
        <v>88085</v>
      </c>
      <c r="Y1574">
        <f>cleaneddata[[#This Row],[Unit Price]]-cleaneddata[[#This Row],[Discount]]</f>
        <v>7.59</v>
      </c>
      <c r="Z157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75" spans="1:26" x14ac:dyDescent="0.3">
      <c r="A1575">
        <v>526</v>
      </c>
      <c r="B1575" t="s">
        <v>588</v>
      </c>
      <c r="C1575" t="s">
        <v>13</v>
      </c>
      <c r="D1575">
        <v>0.09</v>
      </c>
      <c r="E1575">
        <v>17.98</v>
      </c>
      <c r="F1575">
        <v>8.51</v>
      </c>
      <c r="G1575" t="s">
        <v>14</v>
      </c>
      <c r="H1575" t="s">
        <v>47</v>
      </c>
      <c r="I1575" t="s">
        <v>16</v>
      </c>
      <c r="J1575" t="s">
        <v>32</v>
      </c>
      <c r="K1575" t="s">
        <v>120</v>
      </c>
      <c r="L1575" t="s">
        <v>1856</v>
      </c>
      <c r="M1575">
        <v>0.4</v>
      </c>
      <c r="N1575" t="s">
        <v>8</v>
      </c>
      <c r="O1575" t="s">
        <v>35</v>
      </c>
      <c r="P1575" t="s">
        <v>564</v>
      </c>
      <c r="Q1575" t="s">
        <v>590</v>
      </c>
      <c r="R1575">
        <v>85204</v>
      </c>
      <c r="S1575" s="1">
        <v>42149</v>
      </c>
      <c r="T1575" s="1">
        <v>42151</v>
      </c>
      <c r="U1575">
        <v>-6.6120000000000001</v>
      </c>
      <c r="V1575">
        <v>12</v>
      </c>
      <c r="W1575">
        <v>211.13</v>
      </c>
      <c r="X1575">
        <v>90026</v>
      </c>
      <c r="Y1575">
        <f>cleaneddata[[#This Row],[Unit Price]]-cleaneddata[[#This Row],[Discount]]</f>
        <v>17.89</v>
      </c>
      <c r="Z15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76" spans="1:26" x14ac:dyDescent="0.3">
      <c r="A1576">
        <v>1008</v>
      </c>
      <c r="B1576" t="s">
        <v>2637</v>
      </c>
      <c r="C1576" t="s">
        <v>13</v>
      </c>
      <c r="D1576">
        <v>0.01</v>
      </c>
      <c r="E1576">
        <v>3.15</v>
      </c>
      <c r="F1576">
        <v>0.49</v>
      </c>
      <c r="G1576" t="s">
        <v>14</v>
      </c>
      <c r="H1576" t="s">
        <v>47</v>
      </c>
      <c r="I1576" t="s">
        <v>24</v>
      </c>
      <c r="J1576" t="s">
        <v>128</v>
      </c>
      <c r="K1576" t="s">
        <v>49</v>
      </c>
      <c r="L1576" t="s">
        <v>2638</v>
      </c>
      <c r="M1576">
        <v>0.37</v>
      </c>
      <c r="N1576" t="s">
        <v>8</v>
      </c>
      <c r="O1576" t="s">
        <v>87</v>
      </c>
      <c r="P1576" t="s">
        <v>307</v>
      </c>
      <c r="Q1576" t="s">
        <v>2639</v>
      </c>
      <c r="R1576">
        <v>4038</v>
      </c>
      <c r="S1576" s="1">
        <v>42149</v>
      </c>
      <c r="T1576" s="1">
        <v>42151</v>
      </c>
      <c r="U1576">
        <v>17.505299999999998</v>
      </c>
      <c r="V1576">
        <v>8</v>
      </c>
      <c r="W1576">
        <v>25.37</v>
      </c>
      <c r="X1576">
        <v>88371</v>
      </c>
      <c r="Y1576">
        <f>cleaneddata[[#This Row],[Unit Price]]-cleaneddata[[#This Row],[Discount]]</f>
        <v>3.14</v>
      </c>
      <c r="Z157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77" spans="1:26" x14ac:dyDescent="0.3">
      <c r="A1577">
        <v>744</v>
      </c>
      <c r="B1577" t="s">
        <v>562</v>
      </c>
      <c r="C1577" t="s">
        <v>23</v>
      </c>
      <c r="D1577">
        <v>0.09</v>
      </c>
      <c r="E1577">
        <v>125.99</v>
      </c>
      <c r="F1577">
        <v>8.99</v>
      </c>
      <c r="G1577" t="s">
        <v>14</v>
      </c>
      <c r="H1577" t="s">
        <v>15</v>
      </c>
      <c r="I1577" t="s">
        <v>16</v>
      </c>
      <c r="J1577" t="s">
        <v>111</v>
      </c>
      <c r="K1577" t="s">
        <v>49</v>
      </c>
      <c r="L1577" t="s">
        <v>1630</v>
      </c>
      <c r="M1577">
        <v>0.55000000000000004</v>
      </c>
      <c r="N1577" t="s">
        <v>8</v>
      </c>
      <c r="O1577" t="s">
        <v>35</v>
      </c>
      <c r="P1577" t="s">
        <v>564</v>
      </c>
      <c r="Q1577" t="s">
        <v>565</v>
      </c>
      <c r="R1577">
        <v>85737</v>
      </c>
      <c r="S1577" s="1">
        <v>42149</v>
      </c>
      <c r="T1577" s="1">
        <v>42157</v>
      </c>
      <c r="U1577">
        <v>916.68060000000003</v>
      </c>
      <c r="V1577">
        <v>20</v>
      </c>
      <c r="W1577">
        <v>2104.9899999999998</v>
      </c>
      <c r="X1577">
        <v>87727</v>
      </c>
      <c r="Y1577">
        <f>cleaneddata[[#This Row],[Unit Price]]-cleaneddata[[#This Row],[Discount]]</f>
        <v>125.89999999999999</v>
      </c>
      <c r="Z157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78" spans="1:26" x14ac:dyDescent="0.3">
      <c r="A1578">
        <v>3287</v>
      </c>
      <c r="B1578" t="s">
        <v>2640</v>
      </c>
      <c r="C1578" t="s">
        <v>23</v>
      </c>
      <c r="D1578">
        <v>0.08</v>
      </c>
      <c r="E1578">
        <v>30.56</v>
      </c>
      <c r="F1578">
        <v>2.99</v>
      </c>
      <c r="G1578" t="s">
        <v>14</v>
      </c>
      <c r="H1578" t="s">
        <v>3</v>
      </c>
      <c r="I1578" t="s">
        <v>24</v>
      </c>
      <c r="J1578" t="s">
        <v>48</v>
      </c>
      <c r="K1578" t="s">
        <v>49</v>
      </c>
      <c r="L1578" t="s">
        <v>1029</v>
      </c>
      <c r="M1578">
        <v>0.35</v>
      </c>
      <c r="N1578" t="s">
        <v>8</v>
      </c>
      <c r="O1578" t="s">
        <v>35</v>
      </c>
      <c r="P1578" t="s">
        <v>66</v>
      </c>
      <c r="Q1578" t="s">
        <v>2641</v>
      </c>
      <c r="R1578">
        <v>95746</v>
      </c>
      <c r="S1578" s="1">
        <v>42149</v>
      </c>
      <c r="T1578" s="1">
        <v>42151</v>
      </c>
      <c r="U1578">
        <v>352.87979999999999</v>
      </c>
      <c r="V1578">
        <v>17</v>
      </c>
      <c r="W1578">
        <v>511.42</v>
      </c>
      <c r="X1578">
        <v>89897</v>
      </c>
      <c r="Y1578">
        <f>cleaneddata[[#This Row],[Unit Price]]-cleaneddata[[#This Row],[Discount]]</f>
        <v>30.48</v>
      </c>
      <c r="Z157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79" spans="1:26" x14ac:dyDescent="0.3">
      <c r="A1579">
        <v>827</v>
      </c>
      <c r="B1579" t="s">
        <v>2642</v>
      </c>
      <c r="C1579" t="s">
        <v>92</v>
      </c>
      <c r="D1579">
        <v>0.01</v>
      </c>
      <c r="E1579">
        <v>6.98</v>
      </c>
      <c r="F1579">
        <v>1.6</v>
      </c>
      <c r="G1579" t="s">
        <v>14</v>
      </c>
      <c r="H1579" t="s">
        <v>47</v>
      </c>
      <c r="I1579" t="s">
        <v>24</v>
      </c>
      <c r="J1579" t="s">
        <v>64</v>
      </c>
      <c r="K1579" t="s">
        <v>26</v>
      </c>
      <c r="L1579" t="s">
        <v>698</v>
      </c>
      <c r="M1579">
        <v>0.38</v>
      </c>
      <c r="N1579" t="s">
        <v>8</v>
      </c>
      <c r="O1579" t="s">
        <v>28</v>
      </c>
      <c r="P1579" t="s">
        <v>163</v>
      </c>
      <c r="Q1579" t="s">
        <v>2625</v>
      </c>
      <c r="R1579">
        <v>79109</v>
      </c>
      <c r="S1579" s="1">
        <v>42149</v>
      </c>
      <c r="T1579" s="1">
        <v>42150</v>
      </c>
      <c r="U1579">
        <v>0.34599999999999997</v>
      </c>
      <c r="V1579">
        <v>3</v>
      </c>
      <c r="W1579">
        <v>21.93</v>
      </c>
      <c r="X1579">
        <v>89259</v>
      </c>
      <c r="Y1579">
        <f>cleaneddata[[#This Row],[Unit Price]]-cleaneddata[[#This Row],[Discount]]</f>
        <v>6.9700000000000006</v>
      </c>
      <c r="Z157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80" spans="1:26" x14ac:dyDescent="0.3">
      <c r="A1580">
        <v>1237</v>
      </c>
      <c r="B1580" t="s">
        <v>1892</v>
      </c>
      <c r="C1580" t="s">
        <v>92</v>
      </c>
      <c r="D1580">
        <v>0.05</v>
      </c>
      <c r="E1580">
        <v>300.98</v>
      </c>
      <c r="F1580">
        <v>13.99</v>
      </c>
      <c r="G1580" t="s">
        <v>14</v>
      </c>
      <c r="H1580" t="s">
        <v>70</v>
      </c>
      <c r="I1580" t="s">
        <v>16</v>
      </c>
      <c r="J1580" t="s">
        <v>32</v>
      </c>
      <c r="K1580" t="s">
        <v>120</v>
      </c>
      <c r="L1580" t="s">
        <v>2643</v>
      </c>
      <c r="M1580">
        <v>0.39</v>
      </c>
      <c r="N1580" t="s">
        <v>8</v>
      </c>
      <c r="O1580" t="s">
        <v>28</v>
      </c>
      <c r="P1580" t="s">
        <v>163</v>
      </c>
      <c r="Q1580" t="s">
        <v>1894</v>
      </c>
      <c r="R1580">
        <v>75007</v>
      </c>
      <c r="S1580" s="1">
        <v>42149</v>
      </c>
      <c r="T1580" s="1">
        <v>42150</v>
      </c>
      <c r="U1580">
        <v>3985.3089</v>
      </c>
      <c r="V1580">
        <v>20</v>
      </c>
      <c r="W1580">
        <v>5775.81</v>
      </c>
      <c r="X1580">
        <v>86077</v>
      </c>
      <c r="Y1580">
        <f>cleaneddata[[#This Row],[Unit Price]]-cleaneddata[[#This Row],[Discount]]</f>
        <v>300.93</v>
      </c>
      <c r="Z158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81" spans="1:26" x14ac:dyDescent="0.3">
      <c r="A1581">
        <v>1237</v>
      </c>
      <c r="B1581" t="s">
        <v>1892</v>
      </c>
      <c r="C1581" t="s">
        <v>92</v>
      </c>
      <c r="D1581">
        <v>0.04</v>
      </c>
      <c r="E1581">
        <v>205.99</v>
      </c>
      <c r="F1581">
        <v>5</v>
      </c>
      <c r="G1581" t="s">
        <v>63</v>
      </c>
      <c r="H1581" t="s">
        <v>70</v>
      </c>
      <c r="I1581" t="s">
        <v>16</v>
      </c>
      <c r="J1581" t="s">
        <v>111</v>
      </c>
      <c r="K1581" t="s">
        <v>49</v>
      </c>
      <c r="L1581" t="s">
        <v>2644</v>
      </c>
      <c r="M1581">
        <v>0.59</v>
      </c>
      <c r="N1581" t="s">
        <v>8</v>
      </c>
      <c r="O1581" t="s">
        <v>28</v>
      </c>
      <c r="P1581" t="s">
        <v>163</v>
      </c>
      <c r="Q1581" t="s">
        <v>1894</v>
      </c>
      <c r="R1581">
        <v>75007</v>
      </c>
      <c r="S1581" s="1">
        <v>42149</v>
      </c>
      <c r="T1581" s="1">
        <v>42150</v>
      </c>
      <c r="U1581">
        <v>13.956799999999999</v>
      </c>
      <c r="V1581">
        <v>11</v>
      </c>
      <c r="W1581">
        <v>1878.24</v>
      </c>
      <c r="X1581">
        <v>86077</v>
      </c>
      <c r="Y1581">
        <f>cleaneddata[[#This Row],[Unit Price]]-cleaneddata[[#This Row],[Discount]]</f>
        <v>205.95000000000002</v>
      </c>
      <c r="Z158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82" spans="1:26" x14ac:dyDescent="0.3">
      <c r="A1582">
        <v>1472</v>
      </c>
      <c r="B1582" t="s">
        <v>2645</v>
      </c>
      <c r="C1582" t="s">
        <v>92</v>
      </c>
      <c r="D1582">
        <v>0.05</v>
      </c>
      <c r="E1582">
        <v>20.27</v>
      </c>
      <c r="F1582">
        <v>3.99</v>
      </c>
      <c r="G1582" t="s">
        <v>14</v>
      </c>
      <c r="H1582" t="s">
        <v>47</v>
      </c>
      <c r="I1582" t="s">
        <v>24</v>
      </c>
      <c r="J1582" t="s">
        <v>71</v>
      </c>
      <c r="K1582" t="s">
        <v>49</v>
      </c>
      <c r="L1582" t="s">
        <v>1776</v>
      </c>
      <c r="M1582">
        <v>0.56999999999999995</v>
      </c>
      <c r="N1582" t="s">
        <v>8</v>
      </c>
      <c r="O1582" t="s">
        <v>87</v>
      </c>
      <c r="P1582" t="s">
        <v>293</v>
      </c>
      <c r="Q1582" t="s">
        <v>2646</v>
      </c>
      <c r="R1582">
        <v>44145</v>
      </c>
      <c r="S1582" s="1">
        <v>42149</v>
      </c>
      <c r="T1582" s="1">
        <v>42150</v>
      </c>
      <c r="U1582">
        <v>309.25400000000002</v>
      </c>
      <c r="V1582">
        <v>30</v>
      </c>
      <c r="W1582">
        <v>621.55999999999995</v>
      </c>
      <c r="X1582">
        <v>87079</v>
      </c>
      <c r="Y1582">
        <f>cleaneddata[[#This Row],[Unit Price]]-cleaneddata[[#This Row],[Discount]]</f>
        <v>20.22</v>
      </c>
      <c r="Z158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83" spans="1:26" x14ac:dyDescent="0.3">
      <c r="A1583">
        <v>2339</v>
      </c>
      <c r="B1583" t="s">
        <v>2647</v>
      </c>
      <c r="C1583" t="s">
        <v>92</v>
      </c>
      <c r="D1583">
        <v>0.05</v>
      </c>
      <c r="E1583">
        <v>11.58</v>
      </c>
      <c r="F1583">
        <v>6.97</v>
      </c>
      <c r="G1583" t="s">
        <v>14</v>
      </c>
      <c r="H1583" t="s">
        <v>47</v>
      </c>
      <c r="I1583" t="s">
        <v>24</v>
      </c>
      <c r="J1583" t="s">
        <v>321</v>
      </c>
      <c r="K1583" t="s">
        <v>49</v>
      </c>
      <c r="L1583" t="s">
        <v>600</v>
      </c>
      <c r="M1583">
        <v>0.35</v>
      </c>
      <c r="N1583" t="s">
        <v>8</v>
      </c>
      <c r="O1583" t="s">
        <v>28</v>
      </c>
      <c r="P1583" t="s">
        <v>163</v>
      </c>
      <c r="Q1583" t="s">
        <v>2648</v>
      </c>
      <c r="R1583">
        <v>77015</v>
      </c>
      <c r="S1583" s="1">
        <v>42149</v>
      </c>
      <c r="T1583" s="1">
        <v>42152</v>
      </c>
      <c r="U1583">
        <v>2.806</v>
      </c>
      <c r="V1583">
        <v>6</v>
      </c>
      <c r="W1583">
        <v>73.959999999999994</v>
      </c>
      <c r="X1583">
        <v>91482</v>
      </c>
      <c r="Y1583">
        <f>cleaneddata[[#This Row],[Unit Price]]-cleaneddata[[#This Row],[Discount]]</f>
        <v>11.53</v>
      </c>
      <c r="Z158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84" spans="1:26" x14ac:dyDescent="0.3">
      <c r="A1584">
        <v>2652</v>
      </c>
      <c r="B1584" t="s">
        <v>2649</v>
      </c>
      <c r="C1584" t="s">
        <v>92</v>
      </c>
      <c r="D1584">
        <v>0.06</v>
      </c>
      <c r="E1584">
        <v>47.9</v>
      </c>
      <c r="F1584">
        <v>5.86</v>
      </c>
      <c r="G1584" t="s">
        <v>14</v>
      </c>
      <c r="H1584" t="s">
        <v>15</v>
      </c>
      <c r="I1584" t="s">
        <v>24</v>
      </c>
      <c r="J1584" t="s">
        <v>64</v>
      </c>
      <c r="K1584" t="s">
        <v>49</v>
      </c>
      <c r="L1584" t="s">
        <v>1285</v>
      </c>
      <c r="M1584">
        <v>0.37</v>
      </c>
      <c r="N1584" t="s">
        <v>8</v>
      </c>
      <c r="O1584" t="s">
        <v>35</v>
      </c>
      <c r="P1584" t="s">
        <v>66</v>
      </c>
      <c r="Q1584" t="s">
        <v>1670</v>
      </c>
      <c r="R1584">
        <v>93309</v>
      </c>
      <c r="S1584" s="1">
        <v>42149</v>
      </c>
      <c r="T1584" s="1">
        <v>42151</v>
      </c>
      <c r="U1584">
        <v>21.78</v>
      </c>
      <c r="V1584">
        <v>2</v>
      </c>
      <c r="W1584">
        <v>94.2</v>
      </c>
      <c r="X1584">
        <v>89361</v>
      </c>
      <c r="Y1584">
        <f>cleaneddata[[#This Row],[Unit Price]]-cleaneddata[[#This Row],[Discount]]</f>
        <v>47.839999999999996</v>
      </c>
      <c r="Z158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85" spans="1:26" x14ac:dyDescent="0.3">
      <c r="A1585">
        <v>129</v>
      </c>
      <c r="B1585" t="s">
        <v>807</v>
      </c>
      <c r="C1585" t="s">
        <v>46</v>
      </c>
      <c r="D1585">
        <v>7.0000000000000007E-2</v>
      </c>
      <c r="E1585">
        <v>15.74</v>
      </c>
      <c r="F1585">
        <v>1.39</v>
      </c>
      <c r="G1585" t="s">
        <v>14</v>
      </c>
      <c r="H1585" t="s">
        <v>3</v>
      </c>
      <c r="I1585" t="s">
        <v>24</v>
      </c>
      <c r="J1585" t="s">
        <v>321</v>
      </c>
      <c r="K1585" t="s">
        <v>49</v>
      </c>
      <c r="L1585" t="s">
        <v>2650</v>
      </c>
      <c r="M1585">
        <v>0.4</v>
      </c>
      <c r="N1585" t="s">
        <v>8</v>
      </c>
      <c r="O1585" t="s">
        <v>28</v>
      </c>
      <c r="P1585" t="s">
        <v>79</v>
      </c>
      <c r="Q1585" t="s">
        <v>808</v>
      </c>
      <c r="R1585">
        <v>62002</v>
      </c>
      <c r="S1585" s="1">
        <v>42149</v>
      </c>
      <c r="T1585" s="1">
        <v>42150</v>
      </c>
      <c r="U1585">
        <v>149.8887</v>
      </c>
      <c r="V1585">
        <v>14</v>
      </c>
      <c r="W1585">
        <v>217.23</v>
      </c>
      <c r="X1585">
        <v>86694</v>
      </c>
      <c r="Y1585">
        <f>cleaneddata[[#This Row],[Unit Price]]-cleaneddata[[#This Row],[Discount]]</f>
        <v>15.67</v>
      </c>
      <c r="Z158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86" spans="1:26" x14ac:dyDescent="0.3">
      <c r="A1586">
        <v>1054</v>
      </c>
      <c r="B1586" t="s">
        <v>2651</v>
      </c>
      <c r="C1586" t="s">
        <v>46</v>
      </c>
      <c r="D1586">
        <v>0.03</v>
      </c>
      <c r="E1586">
        <v>5.44</v>
      </c>
      <c r="F1586">
        <v>7.46</v>
      </c>
      <c r="G1586" t="s">
        <v>63</v>
      </c>
      <c r="H1586" t="s">
        <v>70</v>
      </c>
      <c r="I1586" t="s">
        <v>24</v>
      </c>
      <c r="J1586" t="s">
        <v>48</v>
      </c>
      <c r="K1586" t="s">
        <v>49</v>
      </c>
      <c r="L1586" t="s">
        <v>1218</v>
      </c>
      <c r="M1586">
        <v>0.36</v>
      </c>
      <c r="N1586" t="s">
        <v>8</v>
      </c>
      <c r="O1586" t="s">
        <v>35</v>
      </c>
      <c r="P1586" t="s">
        <v>564</v>
      </c>
      <c r="Q1586" t="s">
        <v>2652</v>
      </c>
      <c r="R1586">
        <v>85374</v>
      </c>
      <c r="S1586" s="1">
        <v>42149</v>
      </c>
      <c r="T1586" s="1">
        <v>42151</v>
      </c>
      <c r="U1586">
        <v>-51.704000000000001</v>
      </c>
      <c r="V1586">
        <v>4</v>
      </c>
      <c r="W1586">
        <v>26.31</v>
      </c>
      <c r="X1586">
        <v>90069</v>
      </c>
      <c r="Y1586">
        <f>cleaneddata[[#This Row],[Unit Price]]-cleaneddata[[#This Row],[Discount]]</f>
        <v>5.41</v>
      </c>
      <c r="Z158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87" spans="1:26" x14ac:dyDescent="0.3">
      <c r="A1587">
        <v>1054</v>
      </c>
      <c r="B1587" t="s">
        <v>2651</v>
      </c>
      <c r="C1587" t="s">
        <v>46</v>
      </c>
      <c r="D1587">
        <v>0.08</v>
      </c>
      <c r="E1587">
        <v>26.38</v>
      </c>
      <c r="F1587">
        <v>5.58</v>
      </c>
      <c r="G1587" t="s">
        <v>14</v>
      </c>
      <c r="H1587" t="s">
        <v>70</v>
      </c>
      <c r="I1587" t="s">
        <v>24</v>
      </c>
      <c r="J1587" t="s">
        <v>64</v>
      </c>
      <c r="K1587" t="s">
        <v>49</v>
      </c>
      <c r="L1587" t="s">
        <v>2653</v>
      </c>
      <c r="M1587">
        <v>0.39</v>
      </c>
      <c r="N1587" t="s">
        <v>8</v>
      </c>
      <c r="O1587" t="s">
        <v>35</v>
      </c>
      <c r="P1587" t="s">
        <v>564</v>
      </c>
      <c r="Q1587" t="s">
        <v>2652</v>
      </c>
      <c r="R1587">
        <v>85374</v>
      </c>
      <c r="S1587" s="1">
        <v>42149</v>
      </c>
      <c r="T1587" s="1">
        <v>42150</v>
      </c>
      <c r="U1587">
        <v>144.7482</v>
      </c>
      <c r="V1587">
        <v>8</v>
      </c>
      <c r="W1587">
        <v>209.78</v>
      </c>
      <c r="X1587">
        <v>90069</v>
      </c>
      <c r="Y1587">
        <f>cleaneddata[[#This Row],[Unit Price]]-cleaneddata[[#This Row],[Discount]]</f>
        <v>26.3</v>
      </c>
      <c r="Z158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88" spans="1:26" x14ac:dyDescent="0.3">
      <c r="A1588">
        <v>1054</v>
      </c>
      <c r="B1588" t="s">
        <v>2651</v>
      </c>
      <c r="C1588" t="s">
        <v>46</v>
      </c>
      <c r="D1588">
        <v>0.06</v>
      </c>
      <c r="E1588">
        <v>20.99</v>
      </c>
      <c r="F1588">
        <v>2.5</v>
      </c>
      <c r="G1588" t="s">
        <v>14</v>
      </c>
      <c r="H1588" t="s">
        <v>70</v>
      </c>
      <c r="I1588" t="s">
        <v>16</v>
      </c>
      <c r="J1588" t="s">
        <v>111</v>
      </c>
      <c r="K1588" t="s">
        <v>26</v>
      </c>
      <c r="L1588" t="s">
        <v>1177</v>
      </c>
      <c r="M1588">
        <v>0.81</v>
      </c>
      <c r="N1588" t="s">
        <v>8</v>
      </c>
      <c r="O1588" t="s">
        <v>35</v>
      </c>
      <c r="P1588" t="s">
        <v>564</v>
      </c>
      <c r="Q1588" t="s">
        <v>2652</v>
      </c>
      <c r="R1588">
        <v>85374</v>
      </c>
      <c r="S1588" s="1">
        <v>42149</v>
      </c>
      <c r="T1588" s="1">
        <v>42151</v>
      </c>
      <c r="U1588">
        <v>-112.18899999999999</v>
      </c>
      <c r="V1588">
        <v>1</v>
      </c>
      <c r="W1588">
        <v>17.829999999999998</v>
      </c>
      <c r="X1588">
        <v>90069</v>
      </c>
      <c r="Y1588">
        <f>cleaneddata[[#This Row],[Unit Price]]-cleaneddata[[#This Row],[Discount]]</f>
        <v>20.93</v>
      </c>
      <c r="Z158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89" spans="1:26" x14ac:dyDescent="0.3">
      <c r="A1589">
        <v>2391</v>
      </c>
      <c r="B1589" t="s">
        <v>2654</v>
      </c>
      <c r="C1589" t="s">
        <v>46</v>
      </c>
      <c r="D1589">
        <v>0.06</v>
      </c>
      <c r="E1589">
        <v>4.7699999999999996</v>
      </c>
      <c r="F1589">
        <v>2.39</v>
      </c>
      <c r="G1589" t="s">
        <v>14</v>
      </c>
      <c r="H1589" t="s">
        <v>70</v>
      </c>
      <c r="I1589" t="s">
        <v>16</v>
      </c>
      <c r="J1589" t="s">
        <v>17</v>
      </c>
      <c r="K1589" t="s">
        <v>18</v>
      </c>
      <c r="L1589" t="s">
        <v>2655</v>
      </c>
      <c r="M1589">
        <v>0.72</v>
      </c>
      <c r="N1589" t="s">
        <v>8</v>
      </c>
      <c r="O1589" t="s">
        <v>87</v>
      </c>
      <c r="P1589" t="s">
        <v>88</v>
      </c>
      <c r="Q1589" t="s">
        <v>2656</v>
      </c>
      <c r="R1589">
        <v>11572</v>
      </c>
      <c r="S1589" s="1">
        <v>42149</v>
      </c>
      <c r="T1589" s="1">
        <v>42150</v>
      </c>
      <c r="U1589">
        <v>-45.64</v>
      </c>
      <c r="V1589">
        <v>9</v>
      </c>
      <c r="W1589">
        <v>42.46</v>
      </c>
      <c r="X1589">
        <v>91122</v>
      </c>
      <c r="Y1589">
        <f>cleaneddata[[#This Row],[Unit Price]]-cleaneddata[[#This Row],[Discount]]</f>
        <v>4.71</v>
      </c>
      <c r="Z158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90" spans="1:26" x14ac:dyDescent="0.3">
      <c r="A1590">
        <v>2391</v>
      </c>
      <c r="B1590" t="s">
        <v>2654</v>
      </c>
      <c r="C1590" t="s">
        <v>46</v>
      </c>
      <c r="D1590">
        <v>0.1</v>
      </c>
      <c r="E1590">
        <v>27.18</v>
      </c>
      <c r="F1590">
        <v>8.23</v>
      </c>
      <c r="G1590" t="s">
        <v>14</v>
      </c>
      <c r="H1590" t="s">
        <v>70</v>
      </c>
      <c r="I1590" t="s">
        <v>24</v>
      </c>
      <c r="J1590" t="s">
        <v>321</v>
      </c>
      <c r="K1590" t="s">
        <v>49</v>
      </c>
      <c r="L1590" t="s">
        <v>2657</v>
      </c>
      <c r="M1590">
        <v>0.38</v>
      </c>
      <c r="N1590" t="s">
        <v>8</v>
      </c>
      <c r="O1590" t="s">
        <v>87</v>
      </c>
      <c r="P1590" t="s">
        <v>88</v>
      </c>
      <c r="Q1590" t="s">
        <v>2656</v>
      </c>
      <c r="R1590">
        <v>11572</v>
      </c>
      <c r="S1590" s="1">
        <v>42149</v>
      </c>
      <c r="T1590" s="1">
        <v>42151</v>
      </c>
      <c r="U1590">
        <v>204.49</v>
      </c>
      <c r="V1590">
        <v>12</v>
      </c>
      <c r="W1590">
        <v>314.06</v>
      </c>
      <c r="X1590">
        <v>91122</v>
      </c>
      <c r="Y1590">
        <f>cleaneddata[[#This Row],[Unit Price]]-cleaneddata[[#This Row],[Discount]]</f>
        <v>27.08</v>
      </c>
      <c r="Z159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91" spans="1:26" x14ac:dyDescent="0.3">
      <c r="A1591">
        <v>2868</v>
      </c>
      <c r="B1591" t="s">
        <v>298</v>
      </c>
      <c r="C1591" t="s">
        <v>46</v>
      </c>
      <c r="D1591">
        <v>0.08</v>
      </c>
      <c r="E1591">
        <v>15.99</v>
      </c>
      <c r="F1591">
        <v>13.18</v>
      </c>
      <c r="G1591" t="s">
        <v>63</v>
      </c>
      <c r="H1591" t="s">
        <v>70</v>
      </c>
      <c r="I1591" t="s">
        <v>24</v>
      </c>
      <c r="J1591" t="s">
        <v>48</v>
      </c>
      <c r="K1591" t="s">
        <v>49</v>
      </c>
      <c r="L1591" t="s">
        <v>271</v>
      </c>
      <c r="M1591">
        <v>0.37</v>
      </c>
      <c r="N1591" t="s">
        <v>8</v>
      </c>
      <c r="O1591" t="s">
        <v>35</v>
      </c>
      <c r="P1591" t="s">
        <v>42</v>
      </c>
      <c r="Q1591" t="s">
        <v>300</v>
      </c>
      <c r="R1591">
        <v>98026</v>
      </c>
      <c r="S1591" s="1">
        <v>42149</v>
      </c>
      <c r="T1591" s="1">
        <v>42151</v>
      </c>
      <c r="U1591">
        <v>-66.584999999999994</v>
      </c>
      <c r="V1591">
        <v>4</v>
      </c>
      <c r="W1591">
        <v>66.02</v>
      </c>
      <c r="X1591">
        <v>85828</v>
      </c>
      <c r="Y1591">
        <f>cleaneddata[[#This Row],[Unit Price]]-cleaneddata[[#This Row],[Discount]]</f>
        <v>15.91</v>
      </c>
      <c r="Z159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92" spans="1:26" x14ac:dyDescent="0.3">
      <c r="A1592">
        <v>2266</v>
      </c>
      <c r="B1592" t="s">
        <v>2658</v>
      </c>
      <c r="C1592" t="s">
        <v>1</v>
      </c>
      <c r="D1592">
        <v>0.02</v>
      </c>
      <c r="E1592">
        <v>11.33</v>
      </c>
      <c r="F1592">
        <v>6.12</v>
      </c>
      <c r="G1592" t="s">
        <v>14</v>
      </c>
      <c r="H1592" t="s">
        <v>70</v>
      </c>
      <c r="I1592" t="s">
        <v>24</v>
      </c>
      <c r="J1592" t="s">
        <v>71</v>
      </c>
      <c r="K1592" t="s">
        <v>120</v>
      </c>
      <c r="L1592" t="s">
        <v>1929</v>
      </c>
      <c r="M1592">
        <v>0.42</v>
      </c>
      <c r="N1592" t="s">
        <v>8</v>
      </c>
      <c r="O1592" t="s">
        <v>28</v>
      </c>
      <c r="P1592" t="s">
        <v>56</v>
      </c>
      <c r="Q1592" t="s">
        <v>2659</v>
      </c>
      <c r="R1592">
        <v>63122</v>
      </c>
      <c r="S1592" s="1">
        <v>42150</v>
      </c>
      <c r="T1592" s="1">
        <v>42152</v>
      </c>
      <c r="U1592">
        <v>-14.52</v>
      </c>
      <c r="V1592">
        <v>3</v>
      </c>
      <c r="W1592">
        <v>35.35</v>
      </c>
      <c r="X1592">
        <v>86610</v>
      </c>
      <c r="Y1592">
        <f>cleaneddata[[#This Row],[Unit Price]]-cleaneddata[[#This Row],[Discount]]</f>
        <v>11.31</v>
      </c>
      <c r="Z15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93" spans="1:26" x14ac:dyDescent="0.3">
      <c r="A1593">
        <v>2266</v>
      </c>
      <c r="B1593" t="s">
        <v>2658</v>
      </c>
      <c r="C1593" t="s">
        <v>1</v>
      </c>
      <c r="D1593">
        <v>0.01</v>
      </c>
      <c r="E1593">
        <v>15.67</v>
      </c>
      <c r="F1593">
        <v>1.39</v>
      </c>
      <c r="G1593" t="s">
        <v>14</v>
      </c>
      <c r="H1593" t="s">
        <v>70</v>
      </c>
      <c r="I1593" t="s">
        <v>24</v>
      </c>
      <c r="J1593" t="s">
        <v>321</v>
      </c>
      <c r="K1593" t="s">
        <v>49</v>
      </c>
      <c r="L1593" t="s">
        <v>2460</v>
      </c>
      <c r="M1593">
        <v>0.38</v>
      </c>
      <c r="N1593" t="s">
        <v>8</v>
      </c>
      <c r="O1593" t="s">
        <v>28</v>
      </c>
      <c r="P1593" t="s">
        <v>56</v>
      </c>
      <c r="Q1593" t="s">
        <v>2659</v>
      </c>
      <c r="R1593">
        <v>63122</v>
      </c>
      <c r="S1593" s="1">
        <v>42150</v>
      </c>
      <c r="T1593" s="1">
        <v>42151</v>
      </c>
      <c r="U1593">
        <v>171.26490000000001</v>
      </c>
      <c r="V1593">
        <v>16</v>
      </c>
      <c r="W1593">
        <v>248.21</v>
      </c>
      <c r="X1593">
        <v>86610</v>
      </c>
      <c r="Y1593">
        <f>cleaneddata[[#This Row],[Unit Price]]-cleaneddata[[#This Row],[Discount]]</f>
        <v>15.66</v>
      </c>
      <c r="Z15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594" spans="1:26" x14ac:dyDescent="0.3">
      <c r="A1594">
        <v>2928</v>
      </c>
      <c r="B1594" t="s">
        <v>2660</v>
      </c>
      <c r="C1594" t="s">
        <v>1</v>
      </c>
      <c r="D1594">
        <v>0.02</v>
      </c>
      <c r="E1594">
        <v>5.58</v>
      </c>
      <c r="F1594">
        <v>2.99</v>
      </c>
      <c r="G1594" t="s">
        <v>14</v>
      </c>
      <c r="H1594" t="s">
        <v>15</v>
      </c>
      <c r="I1594" t="s">
        <v>24</v>
      </c>
      <c r="J1594" t="s">
        <v>48</v>
      </c>
      <c r="K1594" t="s">
        <v>49</v>
      </c>
      <c r="L1594" t="s">
        <v>2661</v>
      </c>
      <c r="M1594">
        <v>0.37</v>
      </c>
      <c r="N1594" t="s">
        <v>8</v>
      </c>
      <c r="O1594" t="s">
        <v>9</v>
      </c>
      <c r="P1594" t="s">
        <v>247</v>
      </c>
      <c r="Q1594" t="s">
        <v>2662</v>
      </c>
      <c r="R1594">
        <v>29418</v>
      </c>
      <c r="S1594" s="1">
        <v>42150</v>
      </c>
      <c r="T1594" s="1">
        <v>42152</v>
      </c>
      <c r="U1594">
        <v>689.32799999999997</v>
      </c>
      <c r="V1594">
        <v>42</v>
      </c>
      <c r="W1594">
        <v>236.83</v>
      </c>
      <c r="X1594">
        <v>90218</v>
      </c>
      <c r="Y1594">
        <f>cleaneddata[[#This Row],[Unit Price]]-cleaneddata[[#This Row],[Discount]]</f>
        <v>5.5600000000000005</v>
      </c>
      <c r="Z159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95" spans="1:26" x14ac:dyDescent="0.3">
      <c r="A1595">
        <v>2928</v>
      </c>
      <c r="B1595" t="s">
        <v>2660</v>
      </c>
      <c r="C1595" t="s">
        <v>1</v>
      </c>
      <c r="D1595">
        <v>0.02</v>
      </c>
      <c r="E1595">
        <v>54.1</v>
      </c>
      <c r="F1595">
        <v>19.989999999999998</v>
      </c>
      <c r="G1595" t="s">
        <v>14</v>
      </c>
      <c r="H1595" t="s">
        <v>15</v>
      </c>
      <c r="I1595" t="s">
        <v>24</v>
      </c>
      <c r="J1595" t="s">
        <v>54</v>
      </c>
      <c r="K1595" t="s">
        <v>49</v>
      </c>
      <c r="L1595" t="s">
        <v>1240</v>
      </c>
      <c r="M1595">
        <v>0.59</v>
      </c>
      <c r="N1595" t="s">
        <v>8</v>
      </c>
      <c r="O1595" t="s">
        <v>9</v>
      </c>
      <c r="P1595" t="s">
        <v>247</v>
      </c>
      <c r="Q1595" t="s">
        <v>2662</v>
      </c>
      <c r="R1595">
        <v>29418</v>
      </c>
      <c r="S1595" s="1">
        <v>42150</v>
      </c>
      <c r="T1595" s="1">
        <v>42151</v>
      </c>
      <c r="U1595">
        <v>-33.585999999999999</v>
      </c>
      <c r="V1595">
        <v>36</v>
      </c>
      <c r="W1595">
        <v>1944.87</v>
      </c>
      <c r="X1595">
        <v>90218</v>
      </c>
      <c r="Y1595">
        <f>cleaneddata[[#This Row],[Unit Price]]-cleaneddata[[#This Row],[Discount]]</f>
        <v>54.08</v>
      </c>
      <c r="Z159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596" spans="1:26" x14ac:dyDescent="0.3">
      <c r="A1596">
        <v>2941</v>
      </c>
      <c r="B1596" t="s">
        <v>2663</v>
      </c>
      <c r="C1596" t="s">
        <v>1</v>
      </c>
      <c r="D1596">
        <v>0.05</v>
      </c>
      <c r="E1596">
        <v>2.62</v>
      </c>
      <c r="F1596">
        <v>0.8</v>
      </c>
      <c r="G1596" t="s">
        <v>14</v>
      </c>
      <c r="H1596" t="s">
        <v>3</v>
      </c>
      <c r="I1596" t="s">
        <v>24</v>
      </c>
      <c r="J1596" t="s">
        <v>152</v>
      </c>
      <c r="K1596" t="s">
        <v>26</v>
      </c>
      <c r="L1596" t="s">
        <v>2100</v>
      </c>
      <c r="M1596">
        <v>0.39</v>
      </c>
      <c r="N1596" t="s">
        <v>8</v>
      </c>
      <c r="O1596" t="s">
        <v>87</v>
      </c>
      <c r="P1596" t="s">
        <v>373</v>
      </c>
      <c r="Q1596" t="s">
        <v>1617</v>
      </c>
      <c r="R1596">
        <v>7960</v>
      </c>
      <c r="S1596" s="1">
        <v>42150</v>
      </c>
      <c r="T1596" s="1">
        <v>42151</v>
      </c>
      <c r="U1596">
        <v>12.71</v>
      </c>
      <c r="V1596">
        <v>8</v>
      </c>
      <c r="W1596">
        <v>21.41</v>
      </c>
      <c r="X1596">
        <v>87618</v>
      </c>
      <c r="Y1596">
        <f>cleaneddata[[#This Row],[Unit Price]]-cleaneddata[[#This Row],[Discount]]</f>
        <v>2.5700000000000003</v>
      </c>
      <c r="Z159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597" spans="1:26" x14ac:dyDescent="0.3">
      <c r="A1597">
        <v>241</v>
      </c>
      <c r="B1597" t="s">
        <v>2216</v>
      </c>
      <c r="C1597" t="s">
        <v>23</v>
      </c>
      <c r="D1597">
        <v>0.01</v>
      </c>
      <c r="E1597">
        <v>5.94</v>
      </c>
      <c r="F1597">
        <v>9.92</v>
      </c>
      <c r="G1597" t="s">
        <v>14</v>
      </c>
      <c r="H1597" t="s">
        <v>3</v>
      </c>
      <c r="I1597" t="s">
        <v>24</v>
      </c>
      <c r="J1597" t="s">
        <v>48</v>
      </c>
      <c r="K1597" t="s">
        <v>49</v>
      </c>
      <c r="L1597" t="s">
        <v>2567</v>
      </c>
      <c r="M1597">
        <v>0.38</v>
      </c>
      <c r="N1597" t="s">
        <v>8</v>
      </c>
      <c r="O1597" t="s">
        <v>35</v>
      </c>
      <c r="P1597" t="s">
        <v>36</v>
      </c>
      <c r="Q1597" t="s">
        <v>2217</v>
      </c>
      <c r="R1597">
        <v>81503</v>
      </c>
      <c r="S1597" s="1">
        <v>42150</v>
      </c>
      <c r="T1597" s="1">
        <v>42157</v>
      </c>
      <c r="U1597">
        <v>-256.51900000000001</v>
      </c>
      <c r="V1597">
        <v>13</v>
      </c>
      <c r="W1597">
        <v>79.930000000000007</v>
      </c>
      <c r="X1597">
        <v>90480</v>
      </c>
      <c r="Y1597">
        <f>cleaneddata[[#This Row],[Unit Price]]-cleaneddata[[#This Row],[Discount]]</f>
        <v>5.9300000000000006</v>
      </c>
      <c r="Z159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98" spans="1:26" x14ac:dyDescent="0.3">
      <c r="A1598">
        <v>241</v>
      </c>
      <c r="B1598" t="s">
        <v>2216</v>
      </c>
      <c r="C1598" t="s">
        <v>23</v>
      </c>
      <c r="D1598">
        <v>0.02</v>
      </c>
      <c r="E1598">
        <v>125.99</v>
      </c>
      <c r="F1598">
        <v>3</v>
      </c>
      <c r="G1598" t="s">
        <v>14</v>
      </c>
      <c r="H1598" t="s">
        <v>3</v>
      </c>
      <c r="I1598" t="s">
        <v>16</v>
      </c>
      <c r="J1598" t="s">
        <v>111</v>
      </c>
      <c r="K1598" t="s">
        <v>49</v>
      </c>
      <c r="L1598" t="s">
        <v>2664</v>
      </c>
      <c r="M1598">
        <v>0.59</v>
      </c>
      <c r="N1598" t="s">
        <v>8</v>
      </c>
      <c r="O1598" t="s">
        <v>35</v>
      </c>
      <c r="P1598" t="s">
        <v>36</v>
      </c>
      <c r="Q1598" t="s">
        <v>2217</v>
      </c>
      <c r="R1598">
        <v>81503</v>
      </c>
      <c r="S1598" s="1">
        <v>42150</v>
      </c>
      <c r="T1598" s="1">
        <v>42150</v>
      </c>
      <c r="U1598">
        <v>398.358</v>
      </c>
      <c r="V1598">
        <v>8</v>
      </c>
      <c r="W1598">
        <v>873.18</v>
      </c>
      <c r="X1598">
        <v>90480</v>
      </c>
      <c r="Y1598">
        <f>cleaneddata[[#This Row],[Unit Price]]-cleaneddata[[#This Row],[Discount]]</f>
        <v>125.97</v>
      </c>
      <c r="Z159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599" spans="1:26" x14ac:dyDescent="0.3">
      <c r="A1599">
        <v>451</v>
      </c>
      <c r="B1599" t="s">
        <v>195</v>
      </c>
      <c r="C1599" t="s">
        <v>1</v>
      </c>
      <c r="D1599">
        <v>0.04</v>
      </c>
      <c r="E1599">
        <v>37.700000000000003</v>
      </c>
      <c r="F1599">
        <v>2.99</v>
      </c>
      <c r="G1599" t="s">
        <v>14</v>
      </c>
      <c r="H1599" t="s">
        <v>47</v>
      </c>
      <c r="I1599" t="s">
        <v>24</v>
      </c>
      <c r="J1599" t="s">
        <v>48</v>
      </c>
      <c r="K1599" t="s">
        <v>49</v>
      </c>
      <c r="L1599" t="s">
        <v>2492</v>
      </c>
      <c r="M1599">
        <v>0.35</v>
      </c>
      <c r="N1599" t="s">
        <v>8</v>
      </c>
      <c r="O1599" t="s">
        <v>35</v>
      </c>
      <c r="P1599" t="s">
        <v>66</v>
      </c>
      <c r="Q1599" t="s">
        <v>197</v>
      </c>
      <c r="R1599">
        <v>94024</v>
      </c>
      <c r="S1599" s="1">
        <v>42151</v>
      </c>
      <c r="T1599" s="1">
        <v>42152</v>
      </c>
      <c r="U1599">
        <v>299.6739</v>
      </c>
      <c r="V1599">
        <v>12</v>
      </c>
      <c r="W1599">
        <v>434.31</v>
      </c>
      <c r="X1599">
        <v>86012</v>
      </c>
      <c r="Y1599">
        <f>cleaneddata[[#This Row],[Unit Price]]-cleaneddata[[#This Row],[Discount]]</f>
        <v>37.660000000000004</v>
      </c>
      <c r="Z159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00" spans="1:26" x14ac:dyDescent="0.3">
      <c r="A1600">
        <v>452</v>
      </c>
      <c r="B1600" t="s">
        <v>2665</v>
      </c>
      <c r="C1600" t="s">
        <v>1</v>
      </c>
      <c r="D1600">
        <v>0.01</v>
      </c>
      <c r="E1600">
        <v>55.99</v>
      </c>
      <c r="F1600">
        <v>5</v>
      </c>
      <c r="G1600" t="s">
        <v>14</v>
      </c>
      <c r="H1600" t="s">
        <v>47</v>
      </c>
      <c r="I1600" t="s">
        <v>16</v>
      </c>
      <c r="J1600" t="s">
        <v>111</v>
      </c>
      <c r="K1600" t="s">
        <v>18</v>
      </c>
      <c r="L1600" t="s">
        <v>1914</v>
      </c>
      <c r="M1600">
        <v>0.83</v>
      </c>
      <c r="N1600" t="s">
        <v>8</v>
      </c>
      <c r="O1600" t="s">
        <v>35</v>
      </c>
      <c r="P1600" t="s">
        <v>66</v>
      </c>
      <c r="Q1600" t="s">
        <v>2666</v>
      </c>
      <c r="R1600">
        <v>93635</v>
      </c>
      <c r="S1600" s="1">
        <v>42151</v>
      </c>
      <c r="T1600" s="1">
        <v>42152</v>
      </c>
      <c r="U1600">
        <v>-235.89500000000001</v>
      </c>
      <c r="V1600">
        <v>1</v>
      </c>
      <c r="W1600">
        <v>51.83</v>
      </c>
      <c r="X1600">
        <v>86012</v>
      </c>
      <c r="Y1600">
        <f>cleaneddata[[#This Row],[Unit Price]]-cleaneddata[[#This Row],[Discount]]</f>
        <v>55.980000000000004</v>
      </c>
      <c r="Z160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01" spans="1:26" x14ac:dyDescent="0.3">
      <c r="A1601">
        <v>865</v>
      </c>
      <c r="B1601" t="s">
        <v>1362</v>
      </c>
      <c r="C1601" t="s">
        <v>1</v>
      </c>
      <c r="D1601">
        <v>0.03</v>
      </c>
      <c r="E1601">
        <v>14.2</v>
      </c>
      <c r="F1601">
        <v>5.3</v>
      </c>
      <c r="G1601" t="s">
        <v>14</v>
      </c>
      <c r="H1601" t="s">
        <v>70</v>
      </c>
      <c r="I1601" t="s">
        <v>4</v>
      </c>
      <c r="J1601" t="s">
        <v>102</v>
      </c>
      <c r="K1601" t="s">
        <v>26</v>
      </c>
      <c r="L1601" t="s">
        <v>264</v>
      </c>
      <c r="M1601">
        <v>0.46</v>
      </c>
      <c r="N1601" t="s">
        <v>8</v>
      </c>
      <c r="O1601" t="s">
        <v>28</v>
      </c>
      <c r="P1601" t="s">
        <v>29</v>
      </c>
      <c r="Q1601" t="s">
        <v>1018</v>
      </c>
      <c r="R1601">
        <v>46312</v>
      </c>
      <c r="S1601" s="1">
        <v>42151</v>
      </c>
      <c r="T1601" s="1">
        <v>42152</v>
      </c>
      <c r="U1601">
        <v>122.21</v>
      </c>
      <c r="V1601">
        <v>18</v>
      </c>
      <c r="W1601">
        <v>267.2</v>
      </c>
      <c r="X1601">
        <v>90674</v>
      </c>
      <c r="Y1601">
        <f>cleaneddata[[#This Row],[Unit Price]]-cleaneddata[[#This Row],[Discount]]</f>
        <v>14.17</v>
      </c>
      <c r="Z160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02" spans="1:26" x14ac:dyDescent="0.3">
      <c r="A1602">
        <v>370</v>
      </c>
      <c r="B1602" t="s">
        <v>2667</v>
      </c>
      <c r="C1602" t="s">
        <v>46</v>
      </c>
      <c r="D1602">
        <v>0.02</v>
      </c>
      <c r="E1602">
        <v>20.99</v>
      </c>
      <c r="F1602">
        <v>4.8099999999999996</v>
      </c>
      <c r="G1602" t="s">
        <v>14</v>
      </c>
      <c r="H1602" t="s">
        <v>70</v>
      </c>
      <c r="I1602" t="s">
        <v>16</v>
      </c>
      <c r="J1602" t="s">
        <v>111</v>
      </c>
      <c r="K1602" t="s">
        <v>120</v>
      </c>
      <c r="L1602" t="s">
        <v>1407</v>
      </c>
      <c r="M1602">
        <v>0.57999999999999996</v>
      </c>
      <c r="N1602" t="s">
        <v>8</v>
      </c>
      <c r="O1602" t="s">
        <v>87</v>
      </c>
      <c r="P1602" t="s">
        <v>307</v>
      </c>
      <c r="Q1602" t="s">
        <v>1634</v>
      </c>
      <c r="R1602">
        <v>4240</v>
      </c>
      <c r="S1602" s="1">
        <v>42151</v>
      </c>
      <c r="T1602" s="1">
        <v>42153</v>
      </c>
      <c r="U1602">
        <v>49.787999999999997</v>
      </c>
      <c r="V1602">
        <v>15</v>
      </c>
      <c r="W1602">
        <v>266.39</v>
      </c>
      <c r="X1602">
        <v>90291</v>
      </c>
      <c r="Y1602">
        <f>cleaneddata[[#This Row],[Unit Price]]-cleaneddata[[#This Row],[Discount]]</f>
        <v>20.97</v>
      </c>
      <c r="Z160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03" spans="1:26" x14ac:dyDescent="0.3">
      <c r="A1603">
        <v>371</v>
      </c>
      <c r="B1603" t="s">
        <v>2668</v>
      </c>
      <c r="C1603" t="s">
        <v>46</v>
      </c>
      <c r="D1603">
        <v>0.05</v>
      </c>
      <c r="E1603">
        <v>5.4</v>
      </c>
      <c r="F1603">
        <v>7.78</v>
      </c>
      <c r="G1603" t="s">
        <v>63</v>
      </c>
      <c r="H1603" t="s">
        <v>70</v>
      </c>
      <c r="I1603" t="s">
        <v>24</v>
      </c>
      <c r="J1603" t="s">
        <v>48</v>
      </c>
      <c r="K1603" t="s">
        <v>49</v>
      </c>
      <c r="L1603" t="s">
        <v>1460</v>
      </c>
      <c r="M1603">
        <v>0.37</v>
      </c>
      <c r="N1603" t="s">
        <v>8</v>
      </c>
      <c r="O1603" t="s">
        <v>87</v>
      </c>
      <c r="P1603" t="s">
        <v>379</v>
      </c>
      <c r="Q1603" t="s">
        <v>2669</v>
      </c>
      <c r="R1603">
        <v>2149</v>
      </c>
      <c r="S1603" s="1">
        <v>42151</v>
      </c>
      <c r="T1603" s="1">
        <v>42153</v>
      </c>
      <c r="U1603">
        <v>-132.62950000000001</v>
      </c>
      <c r="V1603">
        <v>9</v>
      </c>
      <c r="W1603">
        <v>51.82</v>
      </c>
      <c r="X1603">
        <v>90291</v>
      </c>
      <c r="Y1603">
        <f>cleaneddata[[#This Row],[Unit Price]]-cleaneddata[[#This Row],[Discount]]</f>
        <v>5.3500000000000005</v>
      </c>
      <c r="Z160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04" spans="1:26" x14ac:dyDescent="0.3">
      <c r="A1604">
        <v>250</v>
      </c>
      <c r="B1604" t="s">
        <v>2670</v>
      </c>
      <c r="C1604" t="s">
        <v>1</v>
      </c>
      <c r="D1604">
        <v>0.02</v>
      </c>
      <c r="E1604">
        <v>2.58</v>
      </c>
      <c r="F1604">
        <v>1.3</v>
      </c>
      <c r="G1604" t="s">
        <v>63</v>
      </c>
      <c r="H1604" t="s">
        <v>70</v>
      </c>
      <c r="I1604" t="s">
        <v>24</v>
      </c>
      <c r="J1604" t="s">
        <v>25</v>
      </c>
      <c r="K1604" t="s">
        <v>26</v>
      </c>
      <c r="L1604" t="s">
        <v>2671</v>
      </c>
      <c r="M1604">
        <v>0.59</v>
      </c>
      <c r="N1604" t="s">
        <v>8</v>
      </c>
      <c r="O1604" t="s">
        <v>28</v>
      </c>
      <c r="P1604" t="s">
        <v>60</v>
      </c>
      <c r="Q1604" t="s">
        <v>2672</v>
      </c>
      <c r="R1604">
        <v>55423</v>
      </c>
      <c r="S1604" s="1">
        <v>42152</v>
      </c>
      <c r="T1604" s="1">
        <v>42153</v>
      </c>
      <c r="U1604">
        <v>1.1080000000000001</v>
      </c>
      <c r="V1604">
        <v>39</v>
      </c>
      <c r="W1604">
        <v>109.74</v>
      </c>
      <c r="X1604">
        <v>87214</v>
      </c>
      <c r="Y1604">
        <f>cleaneddata[[#This Row],[Unit Price]]-cleaneddata[[#This Row],[Discount]]</f>
        <v>2.56</v>
      </c>
      <c r="Z160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05" spans="1:26" x14ac:dyDescent="0.3">
      <c r="A1605">
        <v>250</v>
      </c>
      <c r="B1605" t="s">
        <v>2670</v>
      </c>
      <c r="C1605" t="s">
        <v>1</v>
      </c>
      <c r="D1605">
        <v>0.02</v>
      </c>
      <c r="E1605">
        <v>65.989999999999995</v>
      </c>
      <c r="F1605">
        <v>3.9</v>
      </c>
      <c r="G1605" t="s">
        <v>14</v>
      </c>
      <c r="H1605" t="s">
        <v>70</v>
      </c>
      <c r="I1605" t="s">
        <v>16</v>
      </c>
      <c r="J1605" t="s">
        <v>111</v>
      </c>
      <c r="K1605" t="s">
        <v>49</v>
      </c>
      <c r="L1605" t="s">
        <v>2673</v>
      </c>
      <c r="M1605">
        <v>0.55000000000000004</v>
      </c>
      <c r="N1605" t="s">
        <v>8</v>
      </c>
      <c r="O1605" t="s">
        <v>28</v>
      </c>
      <c r="P1605" t="s">
        <v>60</v>
      </c>
      <c r="Q1605" t="s">
        <v>2672</v>
      </c>
      <c r="R1605">
        <v>55423</v>
      </c>
      <c r="S1605" s="1">
        <v>42152</v>
      </c>
      <c r="T1605" s="1">
        <v>42153</v>
      </c>
      <c r="U1605">
        <v>1061.3789999999999</v>
      </c>
      <c r="V1605">
        <v>27</v>
      </c>
      <c r="W1605">
        <v>1543.55</v>
      </c>
      <c r="X1605">
        <v>87214</v>
      </c>
      <c r="Y1605">
        <f>cleaneddata[[#This Row],[Unit Price]]-cleaneddata[[#This Row],[Discount]]</f>
        <v>65.97</v>
      </c>
      <c r="Z16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06" spans="1:26" x14ac:dyDescent="0.3">
      <c r="A1606">
        <v>3011</v>
      </c>
      <c r="B1606" t="s">
        <v>2290</v>
      </c>
      <c r="C1606" t="s">
        <v>1</v>
      </c>
      <c r="D1606">
        <v>0.03</v>
      </c>
      <c r="E1606">
        <v>5.98</v>
      </c>
      <c r="F1606">
        <v>5.35</v>
      </c>
      <c r="G1606" t="s">
        <v>14</v>
      </c>
      <c r="H1606" t="s">
        <v>70</v>
      </c>
      <c r="I1606" t="s">
        <v>24</v>
      </c>
      <c r="J1606" t="s">
        <v>64</v>
      </c>
      <c r="K1606" t="s">
        <v>49</v>
      </c>
      <c r="L1606" t="s">
        <v>785</v>
      </c>
      <c r="M1606">
        <v>0.4</v>
      </c>
      <c r="N1606" t="s">
        <v>8</v>
      </c>
      <c r="O1606" t="s">
        <v>87</v>
      </c>
      <c r="P1606" t="s">
        <v>379</v>
      </c>
      <c r="Q1606" t="s">
        <v>764</v>
      </c>
      <c r="R1606">
        <v>2113</v>
      </c>
      <c r="S1606" s="1">
        <v>42152</v>
      </c>
      <c r="T1606" s="1">
        <v>42153</v>
      </c>
      <c r="U1606">
        <v>-23.5</v>
      </c>
      <c r="V1606">
        <v>16</v>
      </c>
      <c r="W1606">
        <v>107.08</v>
      </c>
      <c r="X1606">
        <v>56486</v>
      </c>
      <c r="Y1606">
        <f>cleaneddata[[#This Row],[Unit Price]]-cleaneddata[[#This Row],[Discount]]</f>
        <v>5.95</v>
      </c>
      <c r="Z160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07" spans="1:26" x14ac:dyDescent="0.3">
      <c r="A1607">
        <v>3154</v>
      </c>
      <c r="B1607" t="s">
        <v>757</v>
      </c>
      <c r="C1607" t="s">
        <v>1</v>
      </c>
      <c r="D1607">
        <v>0.03</v>
      </c>
      <c r="E1607">
        <v>17.7</v>
      </c>
      <c r="F1607">
        <v>9.4700000000000006</v>
      </c>
      <c r="G1607" t="s">
        <v>14</v>
      </c>
      <c r="H1607" t="s">
        <v>15</v>
      </c>
      <c r="I1607" t="s">
        <v>24</v>
      </c>
      <c r="J1607" t="s">
        <v>54</v>
      </c>
      <c r="K1607" t="s">
        <v>49</v>
      </c>
      <c r="L1607" t="s">
        <v>1027</v>
      </c>
      <c r="M1607">
        <v>0.59</v>
      </c>
      <c r="N1607" t="s">
        <v>8</v>
      </c>
      <c r="O1607" t="s">
        <v>9</v>
      </c>
      <c r="P1607" t="s">
        <v>99</v>
      </c>
      <c r="Q1607" t="s">
        <v>759</v>
      </c>
      <c r="R1607">
        <v>33710</v>
      </c>
      <c r="S1607" s="1">
        <v>42152</v>
      </c>
      <c r="T1607" s="1">
        <v>42154</v>
      </c>
      <c r="U1607">
        <v>28.182600000000001</v>
      </c>
      <c r="V1607">
        <v>11</v>
      </c>
      <c r="W1607">
        <v>201.77</v>
      </c>
      <c r="X1607">
        <v>86900</v>
      </c>
      <c r="Y1607">
        <f>cleaneddata[[#This Row],[Unit Price]]-cleaneddata[[#This Row],[Discount]]</f>
        <v>17.669999999999998</v>
      </c>
      <c r="Z16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08" spans="1:26" x14ac:dyDescent="0.3">
      <c r="A1608">
        <v>1627</v>
      </c>
      <c r="B1608" t="s">
        <v>2674</v>
      </c>
      <c r="C1608" t="s">
        <v>13</v>
      </c>
      <c r="D1608">
        <v>0.06</v>
      </c>
      <c r="E1608">
        <v>43.57</v>
      </c>
      <c r="F1608">
        <v>16.36</v>
      </c>
      <c r="G1608" t="s">
        <v>14</v>
      </c>
      <c r="H1608" t="s">
        <v>70</v>
      </c>
      <c r="I1608" t="s">
        <v>24</v>
      </c>
      <c r="J1608" t="s">
        <v>54</v>
      </c>
      <c r="K1608" t="s">
        <v>49</v>
      </c>
      <c r="L1608" t="s">
        <v>2675</v>
      </c>
      <c r="M1608">
        <v>0.55000000000000004</v>
      </c>
      <c r="N1608" t="s">
        <v>8</v>
      </c>
      <c r="O1608" t="s">
        <v>9</v>
      </c>
      <c r="P1608" t="s">
        <v>376</v>
      </c>
      <c r="Q1608" t="s">
        <v>2676</v>
      </c>
      <c r="R1608">
        <v>37743</v>
      </c>
      <c r="S1608" s="1">
        <v>42152</v>
      </c>
      <c r="T1608" s="1">
        <v>42154</v>
      </c>
      <c r="U1608">
        <v>-38.808</v>
      </c>
      <c r="V1608">
        <v>17</v>
      </c>
      <c r="W1608">
        <v>710.16</v>
      </c>
      <c r="X1608">
        <v>90602</v>
      </c>
      <c r="Y1608">
        <f>cleaneddata[[#This Row],[Unit Price]]-cleaneddata[[#This Row],[Discount]]</f>
        <v>43.51</v>
      </c>
      <c r="Z16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09" spans="1:26" x14ac:dyDescent="0.3">
      <c r="A1609">
        <v>2765</v>
      </c>
      <c r="B1609" t="s">
        <v>2677</v>
      </c>
      <c r="C1609" t="s">
        <v>23</v>
      </c>
      <c r="D1609">
        <v>0.03</v>
      </c>
      <c r="E1609">
        <v>5.85</v>
      </c>
      <c r="F1609">
        <v>2.27</v>
      </c>
      <c r="G1609" t="s">
        <v>14</v>
      </c>
      <c r="H1609" t="s">
        <v>70</v>
      </c>
      <c r="I1609" t="s">
        <v>24</v>
      </c>
      <c r="J1609" t="s">
        <v>25</v>
      </c>
      <c r="K1609" t="s">
        <v>26</v>
      </c>
      <c r="L1609" t="s">
        <v>2678</v>
      </c>
      <c r="M1609">
        <v>0.56000000000000005</v>
      </c>
      <c r="N1609" t="s">
        <v>8</v>
      </c>
      <c r="O1609" t="s">
        <v>87</v>
      </c>
      <c r="P1609" t="s">
        <v>373</v>
      </c>
      <c r="Q1609" t="s">
        <v>2679</v>
      </c>
      <c r="R1609">
        <v>8021</v>
      </c>
      <c r="S1609" s="1">
        <v>42152</v>
      </c>
      <c r="T1609" s="1">
        <v>42154</v>
      </c>
      <c r="U1609">
        <v>-5.08</v>
      </c>
      <c r="V1609">
        <v>7</v>
      </c>
      <c r="W1609">
        <v>41.4</v>
      </c>
      <c r="X1609">
        <v>90725</v>
      </c>
      <c r="Y1609">
        <f>cleaneddata[[#This Row],[Unit Price]]-cleaneddata[[#This Row],[Discount]]</f>
        <v>5.8199999999999994</v>
      </c>
      <c r="Z160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0" spans="1:26" x14ac:dyDescent="0.3">
      <c r="A1610">
        <v>15</v>
      </c>
      <c r="B1610" t="s">
        <v>2047</v>
      </c>
      <c r="C1610" t="s">
        <v>92</v>
      </c>
      <c r="D1610">
        <v>0.01</v>
      </c>
      <c r="E1610">
        <v>35.94</v>
      </c>
      <c r="F1610">
        <v>6.66</v>
      </c>
      <c r="G1610" t="s">
        <v>14</v>
      </c>
      <c r="H1610" t="s">
        <v>3</v>
      </c>
      <c r="I1610" t="s">
        <v>24</v>
      </c>
      <c r="J1610" t="s">
        <v>321</v>
      </c>
      <c r="K1610" t="s">
        <v>49</v>
      </c>
      <c r="L1610" t="s">
        <v>2098</v>
      </c>
      <c r="M1610">
        <v>0.4</v>
      </c>
      <c r="N1610" t="s">
        <v>8</v>
      </c>
      <c r="O1610" t="s">
        <v>87</v>
      </c>
      <c r="P1610" t="s">
        <v>88</v>
      </c>
      <c r="Q1610" t="s">
        <v>2049</v>
      </c>
      <c r="R1610">
        <v>11787</v>
      </c>
      <c r="S1610" s="1">
        <v>42152</v>
      </c>
      <c r="T1610" s="1">
        <v>42152</v>
      </c>
      <c r="U1610">
        <v>261.87569999999999</v>
      </c>
      <c r="V1610">
        <v>10</v>
      </c>
      <c r="W1610">
        <v>379.53</v>
      </c>
      <c r="X1610">
        <v>86839</v>
      </c>
      <c r="Y1610">
        <f>cleaneddata[[#This Row],[Unit Price]]-cleaneddata[[#This Row],[Discount]]</f>
        <v>35.93</v>
      </c>
      <c r="Z161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1" spans="1:26" x14ac:dyDescent="0.3">
      <c r="A1611">
        <v>2709</v>
      </c>
      <c r="B1611" t="s">
        <v>2680</v>
      </c>
      <c r="C1611" t="s">
        <v>92</v>
      </c>
      <c r="D1611">
        <v>7.0000000000000007E-2</v>
      </c>
      <c r="E1611">
        <v>60.97</v>
      </c>
      <c r="F1611">
        <v>4.5</v>
      </c>
      <c r="G1611" t="s">
        <v>14</v>
      </c>
      <c r="H1611" t="s">
        <v>15</v>
      </c>
      <c r="I1611" t="s">
        <v>24</v>
      </c>
      <c r="J1611" t="s">
        <v>71</v>
      </c>
      <c r="K1611" t="s">
        <v>49</v>
      </c>
      <c r="L1611" t="s">
        <v>72</v>
      </c>
      <c r="M1611">
        <v>0.56000000000000005</v>
      </c>
      <c r="N1611" t="s">
        <v>8</v>
      </c>
      <c r="O1611" t="s">
        <v>87</v>
      </c>
      <c r="P1611" t="s">
        <v>394</v>
      </c>
      <c r="Q1611" t="s">
        <v>2681</v>
      </c>
      <c r="R1611">
        <v>21042</v>
      </c>
      <c r="S1611" s="1">
        <v>42152</v>
      </c>
      <c r="T1611" s="1">
        <v>42154</v>
      </c>
      <c r="U1611">
        <v>-41.77</v>
      </c>
      <c r="V1611">
        <v>1</v>
      </c>
      <c r="W1611">
        <v>57.84</v>
      </c>
      <c r="X1611">
        <v>89240</v>
      </c>
      <c r="Y1611">
        <f>cleaneddata[[#This Row],[Unit Price]]-cleaneddata[[#This Row],[Discount]]</f>
        <v>60.9</v>
      </c>
      <c r="Z161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2" spans="1:26" x14ac:dyDescent="0.3">
      <c r="A1612">
        <v>2709</v>
      </c>
      <c r="B1612" t="s">
        <v>2680</v>
      </c>
      <c r="C1612" t="s">
        <v>92</v>
      </c>
      <c r="D1612">
        <v>0</v>
      </c>
      <c r="E1612">
        <v>90.98</v>
      </c>
      <c r="F1612">
        <v>56.2</v>
      </c>
      <c r="G1612" t="s">
        <v>14</v>
      </c>
      <c r="H1612" t="s">
        <v>15</v>
      </c>
      <c r="I1612" t="s">
        <v>4</v>
      </c>
      <c r="J1612" t="s">
        <v>102</v>
      </c>
      <c r="K1612" t="s">
        <v>120</v>
      </c>
      <c r="L1612" t="s">
        <v>783</v>
      </c>
      <c r="M1612">
        <v>0.74</v>
      </c>
      <c r="N1612" t="s">
        <v>8</v>
      </c>
      <c r="O1612" t="s">
        <v>87</v>
      </c>
      <c r="P1612" t="s">
        <v>394</v>
      </c>
      <c r="Q1612" t="s">
        <v>2681</v>
      </c>
      <c r="R1612">
        <v>21042</v>
      </c>
      <c r="S1612" s="1">
        <v>42152</v>
      </c>
      <c r="T1612" s="1">
        <v>42154</v>
      </c>
      <c r="U1612">
        <v>-1014.11</v>
      </c>
      <c r="V1612">
        <v>15</v>
      </c>
      <c r="W1612">
        <v>1425.71</v>
      </c>
      <c r="X1612">
        <v>89240</v>
      </c>
      <c r="Y1612">
        <f>cleaneddata[[#This Row],[Unit Price]]-cleaneddata[[#This Row],[Discount]]</f>
        <v>90.98</v>
      </c>
      <c r="Z161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3" spans="1:26" x14ac:dyDescent="0.3">
      <c r="A1613">
        <v>3206</v>
      </c>
      <c r="B1613" t="s">
        <v>1902</v>
      </c>
      <c r="C1613" t="s">
        <v>46</v>
      </c>
      <c r="D1613">
        <v>0.05</v>
      </c>
      <c r="E1613">
        <v>35.44</v>
      </c>
      <c r="F1613">
        <v>5.09</v>
      </c>
      <c r="G1613" t="s">
        <v>14</v>
      </c>
      <c r="H1613" t="s">
        <v>15</v>
      </c>
      <c r="I1613" t="s">
        <v>24</v>
      </c>
      <c r="J1613" t="s">
        <v>64</v>
      </c>
      <c r="K1613" t="s">
        <v>49</v>
      </c>
      <c r="L1613" t="s">
        <v>2054</v>
      </c>
      <c r="M1613">
        <v>0.38</v>
      </c>
      <c r="N1613" t="s">
        <v>8</v>
      </c>
      <c r="O1613" t="s">
        <v>35</v>
      </c>
      <c r="P1613" t="s">
        <v>466</v>
      </c>
      <c r="Q1613" t="s">
        <v>1904</v>
      </c>
      <c r="R1613">
        <v>83301</v>
      </c>
      <c r="S1613" s="1">
        <v>42152</v>
      </c>
      <c r="T1613" s="1">
        <v>42153</v>
      </c>
      <c r="U1613">
        <v>553.33169999999996</v>
      </c>
      <c r="V1613">
        <v>23</v>
      </c>
      <c r="W1613">
        <v>801.93</v>
      </c>
      <c r="X1613">
        <v>87935</v>
      </c>
      <c r="Y1613">
        <f>cleaneddata[[#This Row],[Unit Price]]-cleaneddata[[#This Row],[Discount]]</f>
        <v>35.39</v>
      </c>
      <c r="Z161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14" spans="1:26" x14ac:dyDescent="0.3">
      <c r="A1614">
        <v>663</v>
      </c>
      <c r="B1614" t="s">
        <v>2682</v>
      </c>
      <c r="C1614" t="s">
        <v>1</v>
      </c>
      <c r="D1614">
        <v>0.02</v>
      </c>
      <c r="E1614">
        <v>14.58</v>
      </c>
      <c r="F1614">
        <v>7.4</v>
      </c>
      <c r="G1614" t="s">
        <v>14</v>
      </c>
      <c r="H1614" t="s">
        <v>47</v>
      </c>
      <c r="I1614" t="s">
        <v>4</v>
      </c>
      <c r="J1614" t="s">
        <v>102</v>
      </c>
      <c r="K1614" t="s">
        <v>49</v>
      </c>
      <c r="L1614" t="s">
        <v>2683</v>
      </c>
      <c r="M1614">
        <v>0.48</v>
      </c>
      <c r="N1614" t="s">
        <v>8</v>
      </c>
      <c r="O1614" t="s">
        <v>87</v>
      </c>
      <c r="P1614" t="s">
        <v>293</v>
      </c>
      <c r="Q1614" t="s">
        <v>2230</v>
      </c>
      <c r="R1614">
        <v>43952</v>
      </c>
      <c r="S1614" s="1">
        <v>42153</v>
      </c>
      <c r="T1614" s="1">
        <v>42156</v>
      </c>
      <c r="U1614">
        <v>10.802</v>
      </c>
      <c r="V1614">
        <v>17</v>
      </c>
      <c r="W1614">
        <v>261.33999999999997</v>
      </c>
      <c r="X1614">
        <v>90922</v>
      </c>
      <c r="Y1614">
        <f>cleaneddata[[#This Row],[Unit Price]]-cleaneddata[[#This Row],[Discount]]</f>
        <v>14.56</v>
      </c>
      <c r="Z161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5" spans="1:26" x14ac:dyDescent="0.3">
      <c r="A1615">
        <v>1026</v>
      </c>
      <c r="B1615" t="s">
        <v>1031</v>
      </c>
      <c r="C1615" t="s">
        <v>13</v>
      </c>
      <c r="D1615">
        <v>0.1</v>
      </c>
      <c r="E1615">
        <v>5.98</v>
      </c>
      <c r="F1615">
        <v>3.85</v>
      </c>
      <c r="G1615" t="s">
        <v>14</v>
      </c>
      <c r="H1615" t="s">
        <v>3</v>
      </c>
      <c r="I1615" t="s">
        <v>16</v>
      </c>
      <c r="J1615" t="s">
        <v>17</v>
      </c>
      <c r="K1615" t="s">
        <v>18</v>
      </c>
      <c r="L1615" t="s">
        <v>1074</v>
      </c>
      <c r="M1615">
        <v>0.68</v>
      </c>
      <c r="N1615" t="s">
        <v>8</v>
      </c>
      <c r="O1615" t="s">
        <v>87</v>
      </c>
      <c r="P1615" t="s">
        <v>88</v>
      </c>
      <c r="Q1615" t="s">
        <v>1033</v>
      </c>
      <c r="R1615">
        <v>11722</v>
      </c>
      <c r="S1615" s="1">
        <v>42153</v>
      </c>
      <c r="T1615" s="1">
        <v>42154</v>
      </c>
      <c r="U1615">
        <v>18.922000000000001</v>
      </c>
      <c r="V1615">
        <v>26</v>
      </c>
      <c r="W1615">
        <v>151.55000000000001</v>
      </c>
      <c r="X1615">
        <v>89008</v>
      </c>
      <c r="Y1615">
        <f>cleaneddata[[#This Row],[Unit Price]]-cleaneddata[[#This Row],[Discount]]</f>
        <v>5.8800000000000008</v>
      </c>
      <c r="Z161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6" spans="1:26" x14ac:dyDescent="0.3">
      <c r="A1616">
        <v>1026</v>
      </c>
      <c r="B1616" t="s">
        <v>1031</v>
      </c>
      <c r="C1616" t="s">
        <v>13</v>
      </c>
      <c r="D1616">
        <v>7.0000000000000007E-2</v>
      </c>
      <c r="E1616">
        <v>2.61</v>
      </c>
      <c r="F1616">
        <v>0.5</v>
      </c>
      <c r="G1616" t="s">
        <v>14</v>
      </c>
      <c r="H1616" t="s">
        <v>3</v>
      </c>
      <c r="I1616" t="s">
        <v>24</v>
      </c>
      <c r="J1616" t="s">
        <v>128</v>
      </c>
      <c r="K1616" t="s">
        <v>49</v>
      </c>
      <c r="L1616" t="s">
        <v>1343</v>
      </c>
      <c r="M1616">
        <v>0.39</v>
      </c>
      <c r="N1616" t="s">
        <v>8</v>
      </c>
      <c r="O1616" t="s">
        <v>87</v>
      </c>
      <c r="P1616" t="s">
        <v>88</v>
      </c>
      <c r="Q1616" t="s">
        <v>1033</v>
      </c>
      <c r="R1616">
        <v>11722</v>
      </c>
      <c r="S1616" s="1">
        <v>42153</v>
      </c>
      <c r="T1616" s="1">
        <v>42156</v>
      </c>
      <c r="U1616">
        <v>39.350700000000003</v>
      </c>
      <c r="V1616">
        <v>22</v>
      </c>
      <c r="W1616">
        <v>57.03</v>
      </c>
      <c r="X1616">
        <v>89008</v>
      </c>
      <c r="Y1616">
        <f>cleaneddata[[#This Row],[Unit Price]]-cleaneddata[[#This Row],[Discount]]</f>
        <v>2.54</v>
      </c>
      <c r="Z161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17" spans="1:26" x14ac:dyDescent="0.3">
      <c r="A1617">
        <v>1713</v>
      </c>
      <c r="B1617" t="s">
        <v>2684</v>
      </c>
      <c r="C1617" t="s">
        <v>13</v>
      </c>
      <c r="D1617">
        <v>0.01</v>
      </c>
      <c r="E1617">
        <v>23.99</v>
      </c>
      <c r="F1617">
        <v>6.3</v>
      </c>
      <c r="G1617" t="s">
        <v>14</v>
      </c>
      <c r="H1617" t="s">
        <v>70</v>
      </c>
      <c r="I1617" t="s">
        <v>16</v>
      </c>
      <c r="J1617" t="s">
        <v>32</v>
      </c>
      <c r="K1617" t="s">
        <v>120</v>
      </c>
      <c r="L1617" t="s">
        <v>2685</v>
      </c>
      <c r="M1617">
        <v>0.38</v>
      </c>
      <c r="N1617" t="s">
        <v>8</v>
      </c>
      <c r="O1617" t="s">
        <v>9</v>
      </c>
      <c r="P1617" t="s">
        <v>51</v>
      </c>
      <c r="Q1617" t="s">
        <v>1843</v>
      </c>
      <c r="R1617">
        <v>30265</v>
      </c>
      <c r="S1617" s="1">
        <v>42153</v>
      </c>
      <c r="T1617" s="1">
        <v>42155</v>
      </c>
      <c r="U1617">
        <v>-6.202</v>
      </c>
      <c r="V1617">
        <v>11</v>
      </c>
      <c r="W1617">
        <v>284.39</v>
      </c>
      <c r="X1617">
        <v>87748</v>
      </c>
      <c r="Y1617">
        <f>cleaneddata[[#This Row],[Unit Price]]-cleaneddata[[#This Row],[Discount]]</f>
        <v>23.979999999999997</v>
      </c>
      <c r="Z161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18" spans="1:26" x14ac:dyDescent="0.3">
      <c r="A1618">
        <v>2670</v>
      </c>
      <c r="B1618" t="s">
        <v>2686</v>
      </c>
      <c r="C1618" t="s">
        <v>13</v>
      </c>
      <c r="D1618">
        <v>0.05</v>
      </c>
      <c r="E1618">
        <v>165.2</v>
      </c>
      <c r="F1618">
        <v>19.989999999999998</v>
      </c>
      <c r="G1618" t="s">
        <v>14</v>
      </c>
      <c r="H1618" t="s">
        <v>47</v>
      </c>
      <c r="I1618" t="s">
        <v>24</v>
      </c>
      <c r="J1618" t="s">
        <v>54</v>
      </c>
      <c r="K1618" t="s">
        <v>49</v>
      </c>
      <c r="L1618" t="s">
        <v>459</v>
      </c>
      <c r="M1618">
        <v>0.59</v>
      </c>
      <c r="N1618" t="s">
        <v>8</v>
      </c>
      <c r="O1618" t="s">
        <v>35</v>
      </c>
      <c r="P1618" t="s">
        <v>66</v>
      </c>
      <c r="Q1618" t="s">
        <v>76</v>
      </c>
      <c r="R1618">
        <v>90049</v>
      </c>
      <c r="S1618" s="1">
        <v>42153</v>
      </c>
      <c r="T1618" s="1">
        <v>42153</v>
      </c>
      <c r="U1618">
        <v>2008.71</v>
      </c>
      <c r="V1618">
        <v>167</v>
      </c>
      <c r="W1618">
        <v>27587.55</v>
      </c>
      <c r="X1618">
        <v>37924</v>
      </c>
      <c r="Y1618">
        <f>cleaneddata[[#This Row],[Unit Price]]-cleaneddata[[#This Row],[Discount]]</f>
        <v>165.14999999999998</v>
      </c>
      <c r="Z161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19" spans="1:26" x14ac:dyDescent="0.3">
      <c r="A1619">
        <v>2670</v>
      </c>
      <c r="B1619" t="s">
        <v>2686</v>
      </c>
      <c r="C1619" t="s">
        <v>13</v>
      </c>
      <c r="D1619">
        <v>0.09</v>
      </c>
      <c r="E1619">
        <v>17.989999999999998</v>
      </c>
      <c r="F1619">
        <v>8.65</v>
      </c>
      <c r="G1619" t="s">
        <v>14</v>
      </c>
      <c r="H1619" t="s">
        <v>47</v>
      </c>
      <c r="I1619" t="s">
        <v>24</v>
      </c>
      <c r="J1619" t="s">
        <v>25</v>
      </c>
      <c r="K1619" t="s">
        <v>49</v>
      </c>
      <c r="L1619" t="s">
        <v>2687</v>
      </c>
      <c r="M1619">
        <v>0.56999999999999995</v>
      </c>
      <c r="N1619" t="s">
        <v>8</v>
      </c>
      <c r="O1619" t="s">
        <v>35</v>
      </c>
      <c r="P1619" t="s">
        <v>66</v>
      </c>
      <c r="Q1619" t="s">
        <v>76</v>
      </c>
      <c r="R1619">
        <v>90049</v>
      </c>
      <c r="S1619" s="1">
        <v>42153</v>
      </c>
      <c r="T1619" s="1">
        <v>42153</v>
      </c>
      <c r="U1619">
        <v>-80.53</v>
      </c>
      <c r="V1619">
        <v>71</v>
      </c>
      <c r="W1619">
        <v>1191.58</v>
      </c>
      <c r="X1619">
        <v>37924</v>
      </c>
      <c r="Y1619">
        <f>cleaneddata[[#This Row],[Unit Price]]-cleaneddata[[#This Row],[Discount]]</f>
        <v>17.899999999999999</v>
      </c>
      <c r="Z16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20" spans="1:26" x14ac:dyDescent="0.3">
      <c r="A1620">
        <v>2671</v>
      </c>
      <c r="B1620" t="s">
        <v>2688</v>
      </c>
      <c r="C1620" t="s">
        <v>13</v>
      </c>
      <c r="D1620">
        <v>0.05</v>
      </c>
      <c r="E1620">
        <v>165.2</v>
      </c>
      <c r="F1620">
        <v>19.989999999999998</v>
      </c>
      <c r="G1620" t="s">
        <v>14</v>
      </c>
      <c r="H1620" t="s">
        <v>47</v>
      </c>
      <c r="I1620" t="s">
        <v>24</v>
      </c>
      <c r="J1620" t="s">
        <v>54</v>
      </c>
      <c r="K1620" t="s">
        <v>49</v>
      </c>
      <c r="L1620" t="s">
        <v>459</v>
      </c>
      <c r="M1620">
        <v>0.59</v>
      </c>
      <c r="N1620" t="s">
        <v>8</v>
      </c>
      <c r="O1620" t="s">
        <v>9</v>
      </c>
      <c r="P1620" t="s">
        <v>376</v>
      </c>
      <c r="Q1620" t="s">
        <v>1712</v>
      </c>
      <c r="R1620">
        <v>37027</v>
      </c>
      <c r="S1620" s="1">
        <v>42153</v>
      </c>
      <c r="T1620" s="1">
        <v>42153</v>
      </c>
      <c r="U1620">
        <v>-48.957999999999998</v>
      </c>
      <c r="V1620">
        <v>42</v>
      </c>
      <c r="W1620">
        <v>6938.19</v>
      </c>
      <c r="X1620">
        <v>90551</v>
      </c>
      <c r="Y1620">
        <f>cleaneddata[[#This Row],[Unit Price]]-cleaneddata[[#This Row],[Discount]]</f>
        <v>165.14999999999998</v>
      </c>
      <c r="Z162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21" spans="1:26" x14ac:dyDescent="0.3">
      <c r="A1621">
        <v>759</v>
      </c>
      <c r="B1621" t="s">
        <v>2689</v>
      </c>
      <c r="C1621" t="s">
        <v>23</v>
      </c>
      <c r="D1621">
        <v>0</v>
      </c>
      <c r="E1621">
        <v>20.99</v>
      </c>
      <c r="F1621">
        <v>3.3</v>
      </c>
      <c r="G1621" t="s">
        <v>14</v>
      </c>
      <c r="H1621" t="s">
        <v>3</v>
      </c>
      <c r="I1621" t="s">
        <v>16</v>
      </c>
      <c r="J1621" t="s">
        <v>111</v>
      </c>
      <c r="K1621" t="s">
        <v>18</v>
      </c>
      <c r="L1621" t="s">
        <v>1559</v>
      </c>
      <c r="M1621">
        <v>0.81</v>
      </c>
      <c r="N1621" t="s">
        <v>8</v>
      </c>
      <c r="O1621" t="s">
        <v>28</v>
      </c>
      <c r="P1621" t="s">
        <v>79</v>
      </c>
      <c r="Q1621" t="s">
        <v>2690</v>
      </c>
      <c r="R1621">
        <v>62301</v>
      </c>
      <c r="S1621" s="1">
        <v>42153</v>
      </c>
      <c r="T1621" s="1">
        <v>42160</v>
      </c>
      <c r="U1621">
        <v>-92.960999999999999</v>
      </c>
      <c r="V1621">
        <v>5</v>
      </c>
      <c r="W1621">
        <v>92.96</v>
      </c>
      <c r="X1621">
        <v>86639</v>
      </c>
      <c r="Y1621">
        <f>cleaneddata[[#This Row],[Unit Price]]-cleaneddata[[#This Row],[Discount]]</f>
        <v>20.99</v>
      </c>
      <c r="Z162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22" spans="1:26" x14ac:dyDescent="0.3">
      <c r="A1622">
        <v>649</v>
      </c>
      <c r="B1622" t="s">
        <v>2691</v>
      </c>
      <c r="C1622" t="s">
        <v>92</v>
      </c>
      <c r="D1622">
        <v>0.02</v>
      </c>
      <c r="E1622">
        <v>3.78</v>
      </c>
      <c r="F1622">
        <v>0.71</v>
      </c>
      <c r="G1622" t="s">
        <v>14</v>
      </c>
      <c r="H1622" t="s">
        <v>47</v>
      </c>
      <c r="I1622" t="s">
        <v>24</v>
      </c>
      <c r="J1622" t="s">
        <v>152</v>
      </c>
      <c r="K1622" t="s">
        <v>26</v>
      </c>
      <c r="L1622" t="s">
        <v>2692</v>
      </c>
      <c r="M1622">
        <v>0.39</v>
      </c>
      <c r="N1622" t="s">
        <v>8</v>
      </c>
      <c r="O1622" t="s">
        <v>28</v>
      </c>
      <c r="P1622" t="s">
        <v>79</v>
      </c>
      <c r="Q1622" t="s">
        <v>1375</v>
      </c>
      <c r="R1622">
        <v>60089</v>
      </c>
      <c r="S1622" s="1">
        <v>42153</v>
      </c>
      <c r="T1622" s="1">
        <v>42154</v>
      </c>
      <c r="U1622">
        <v>106.7499</v>
      </c>
      <c r="V1622">
        <v>40</v>
      </c>
      <c r="W1622">
        <v>154.71</v>
      </c>
      <c r="X1622">
        <v>91366</v>
      </c>
      <c r="Y1622">
        <f>cleaneddata[[#This Row],[Unit Price]]-cleaneddata[[#This Row],[Discount]]</f>
        <v>3.76</v>
      </c>
      <c r="Z162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23" spans="1:26" x14ac:dyDescent="0.3">
      <c r="A1623">
        <v>2393</v>
      </c>
      <c r="B1623" t="s">
        <v>169</v>
      </c>
      <c r="C1623" t="s">
        <v>92</v>
      </c>
      <c r="D1623">
        <v>0.02</v>
      </c>
      <c r="E1623">
        <v>6.48</v>
      </c>
      <c r="F1623">
        <v>7.91</v>
      </c>
      <c r="G1623" t="s">
        <v>14</v>
      </c>
      <c r="H1623" t="s">
        <v>70</v>
      </c>
      <c r="I1623" t="s">
        <v>24</v>
      </c>
      <c r="J1623" t="s">
        <v>64</v>
      </c>
      <c r="K1623" t="s">
        <v>49</v>
      </c>
      <c r="L1623" t="s">
        <v>1596</v>
      </c>
      <c r="M1623">
        <v>0.37</v>
      </c>
      <c r="N1623" t="s">
        <v>8</v>
      </c>
      <c r="O1623" t="s">
        <v>9</v>
      </c>
      <c r="P1623" t="s">
        <v>51</v>
      </c>
      <c r="Q1623" t="s">
        <v>171</v>
      </c>
      <c r="R1623">
        <v>30076</v>
      </c>
      <c r="S1623" s="1">
        <v>42153</v>
      </c>
      <c r="T1623" s="1">
        <v>42155</v>
      </c>
      <c r="U1623">
        <v>-1191.5260000000001</v>
      </c>
      <c r="V1623">
        <v>2</v>
      </c>
      <c r="W1623">
        <v>16.5</v>
      </c>
      <c r="X1623">
        <v>86950</v>
      </c>
      <c r="Y1623">
        <f>cleaneddata[[#This Row],[Unit Price]]-cleaneddata[[#This Row],[Discount]]</f>
        <v>6.4600000000000009</v>
      </c>
      <c r="Z162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24" spans="1:26" x14ac:dyDescent="0.3">
      <c r="A1624">
        <v>1060</v>
      </c>
      <c r="B1624" t="s">
        <v>1801</v>
      </c>
      <c r="C1624" t="s">
        <v>23</v>
      </c>
      <c r="D1624">
        <v>7.0000000000000007E-2</v>
      </c>
      <c r="E1624">
        <v>6.3</v>
      </c>
      <c r="F1624">
        <v>0.5</v>
      </c>
      <c r="G1624" t="s">
        <v>14</v>
      </c>
      <c r="H1624" t="s">
        <v>3</v>
      </c>
      <c r="I1624" t="s">
        <v>24</v>
      </c>
      <c r="J1624" t="s">
        <v>128</v>
      </c>
      <c r="K1624" t="s">
        <v>49</v>
      </c>
      <c r="L1624" t="s">
        <v>398</v>
      </c>
      <c r="M1624">
        <v>0.39</v>
      </c>
      <c r="N1624" t="s">
        <v>8</v>
      </c>
      <c r="O1624" t="s">
        <v>9</v>
      </c>
      <c r="P1624" t="s">
        <v>51</v>
      </c>
      <c r="Q1624" t="s">
        <v>337</v>
      </c>
      <c r="R1624">
        <v>30318</v>
      </c>
      <c r="S1624" s="1">
        <v>42154</v>
      </c>
      <c r="T1624" s="1">
        <v>42154</v>
      </c>
      <c r="U1624">
        <v>4.1673999999999998</v>
      </c>
      <c r="V1624">
        <v>20</v>
      </c>
      <c r="W1624">
        <v>121.87</v>
      </c>
      <c r="X1624">
        <v>57061</v>
      </c>
      <c r="Y1624">
        <f>cleaneddata[[#This Row],[Unit Price]]-cleaneddata[[#This Row],[Discount]]</f>
        <v>6.2299999999999995</v>
      </c>
      <c r="Z162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25" spans="1:26" x14ac:dyDescent="0.3">
      <c r="A1625">
        <v>1062</v>
      </c>
      <c r="B1625" t="s">
        <v>1803</v>
      </c>
      <c r="C1625" t="s">
        <v>23</v>
      </c>
      <c r="D1625">
        <v>0.04</v>
      </c>
      <c r="E1625">
        <v>22.38</v>
      </c>
      <c r="F1625">
        <v>15.1</v>
      </c>
      <c r="G1625" t="s">
        <v>14</v>
      </c>
      <c r="H1625" t="s">
        <v>3</v>
      </c>
      <c r="I1625" t="s">
        <v>24</v>
      </c>
      <c r="J1625" t="s">
        <v>48</v>
      </c>
      <c r="K1625" t="s">
        <v>49</v>
      </c>
      <c r="L1625" t="s">
        <v>1061</v>
      </c>
      <c r="M1625">
        <v>0.38</v>
      </c>
      <c r="N1625" t="s">
        <v>8</v>
      </c>
      <c r="O1625" t="s">
        <v>87</v>
      </c>
      <c r="P1625" t="s">
        <v>88</v>
      </c>
      <c r="Q1625" t="s">
        <v>1804</v>
      </c>
      <c r="R1625">
        <v>11727</v>
      </c>
      <c r="S1625" s="1">
        <v>42154</v>
      </c>
      <c r="T1625" s="1">
        <v>42162</v>
      </c>
      <c r="U1625">
        <v>16.021799999999999</v>
      </c>
      <c r="V1625">
        <v>18</v>
      </c>
      <c r="W1625">
        <v>403.53</v>
      </c>
      <c r="X1625">
        <v>91355</v>
      </c>
      <c r="Y1625">
        <f>cleaneddata[[#This Row],[Unit Price]]-cleaneddata[[#This Row],[Discount]]</f>
        <v>22.34</v>
      </c>
      <c r="Z162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26" spans="1:26" x14ac:dyDescent="0.3">
      <c r="A1626">
        <v>1062</v>
      </c>
      <c r="B1626" t="s">
        <v>1803</v>
      </c>
      <c r="C1626" t="s">
        <v>23</v>
      </c>
      <c r="D1626">
        <v>0.06</v>
      </c>
      <c r="E1626">
        <v>17.78</v>
      </c>
      <c r="F1626">
        <v>5.03</v>
      </c>
      <c r="G1626" t="s">
        <v>14</v>
      </c>
      <c r="H1626" t="s">
        <v>3</v>
      </c>
      <c r="I1626" t="s">
        <v>4</v>
      </c>
      <c r="J1626" t="s">
        <v>102</v>
      </c>
      <c r="K1626" t="s">
        <v>49</v>
      </c>
      <c r="L1626" t="s">
        <v>2693</v>
      </c>
      <c r="M1626">
        <v>0.54</v>
      </c>
      <c r="N1626" t="s">
        <v>8</v>
      </c>
      <c r="O1626" t="s">
        <v>87</v>
      </c>
      <c r="P1626" t="s">
        <v>88</v>
      </c>
      <c r="Q1626" t="s">
        <v>1804</v>
      </c>
      <c r="R1626">
        <v>11727</v>
      </c>
      <c r="S1626" s="1">
        <v>42154</v>
      </c>
      <c r="T1626" s="1">
        <v>42157</v>
      </c>
      <c r="U1626">
        <v>38.067300000000003</v>
      </c>
      <c r="V1626">
        <v>3</v>
      </c>
      <c r="W1626">
        <v>55.17</v>
      </c>
      <c r="X1626">
        <v>91355</v>
      </c>
      <c r="Y1626">
        <f>cleaneddata[[#This Row],[Unit Price]]-cleaneddata[[#This Row],[Discount]]</f>
        <v>17.720000000000002</v>
      </c>
      <c r="Z162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27" spans="1:26" x14ac:dyDescent="0.3">
      <c r="A1627">
        <v>1934</v>
      </c>
      <c r="B1627" t="s">
        <v>2694</v>
      </c>
      <c r="C1627" t="s">
        <v>23</v>
      </c>
      <c r="D1627">
        <v>0.04</v>
      </c>
      <c r="E1627">
        <v>180.98</v>
      </c>
      <c r="F1627">
        <v>30</v>
      </c>
      <c r="G1627" t="s">
        <v>2</v>
      </c>
      <c r="H1627" t="s">
        <v>47</v>
      </c>
      <c r="I1627" t="s">
        <v>4</v>
      </c>
      <c r="J1627" t="s">
        <v>85</v>
      </c>
      <c r="K1627" t="s">
        <v>33</v>
      </c>
      <c r="L1627" t="s">
        <v>921</v>
      </c>
      <c r="M1627">
        <v>0.69</v>
      </c>
      <c r="N1627" t="s">
        <v>8</v>
      </c>
      <c r="O1627" t="s">
        <v>28</v>
      </c>
      <c r="P1627" t="s">
        <v>163</v>
      </c>
      <c r="Q1627" t="s">
        <v>1380</v>
      </c>
      <c r="R1627">
        <v>78626</v>
      </c>
      <c r="S1627" s="1">
        <v>42154</v>
      </c>
      <c r="T1627" s="1">
        <v>42154</v>
      </c>
      <c r="U1627">
        <v>52.988</v>
      </c>
      <c r="V1627">
        <v>3</v>
      </c>
      <c r="W1627">
        <v>561.65</v>
      </c>
      <c r="X1627">
        <v>86688</v>
      </c>
      <c r="Y1627">
        <f>cleaneddata[[#This Row],[Unit Price]]-cleaneddata[[#This Row],[Discount]]</f>
        <v>180.94</v>
      </c>
      <c r="Z162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28" spans="1:26" x14ac:dyDescent="0.3">
      <c r="A1628">
        <v>1935</v>
      </c>
      <c r="B1628" t="s">
        <v>2050</v>
      </c>
      <c r="C1628" t="s">
        <v>23</v>
      </c>
      <c r="D1628">
        <v>0.06</v>
      </c>
      <c r="E1628">
        <v>3.25</v>
      </c>
      <c r="F1628">
        <v>49</v>
      </c>
      <c r="G1628" t="s">
        <v>14</v>
      </c>
      <c r="H1628" t="s">
        <v>47</v>
      </c>
      <c r="I1628" t="s">
        <v>24</v>
      </c>
      <c r="J1628" t="s">
        <v>71</v>
      </c>
      <c r="K1628" t="s">
        <v>40</v>
      </c>
      <c r="L1628" t="s">
        <v>2695</v>
      </c>
      <c r="M1628">
        <v>0.56000000000000005</v>
      </c>
      <c r="N1628" t="s">
        <v>8</v>
      </c>
      <c r="O1628" t="s">
        <v>28</v>
      </c>
      <c r="P1628" t="s">
        <v>163</v>
      </c>
      <c r="Q1628" t="s">
        <v>2051</v>
      </c>
      <c r="R1628">
        <v>75051</v>
      </c>
      <c r="S1628" s="1">
        <v>42154</v>
      </c>
      <c r="T1628" s="1">
        <v>42160</v>
      </c>
      <c r="U1628">
        <v>10.507999999999999</v>
      </c>
      <c r="V1628">
        <v>2</v>
      </c>
      <c r="W1628">
        <v>55.6</v>
      </c>
      <c r="X1628">
        <v>86688</v>
      </c>
      <c r="Y1628">
        <f>cleaneddata[[#This Row],[Unit Price]]-cleaneddata[[#This Row],[Discount]]</f>
        <v>3.19</v>
      </c>
      <c r="Z16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29" spans="1:26" x14ac:dyDescent="0.3">
      <c r="A1629">
        <v>1935</v>
      </c>
      <c r="B1629" t="s">
        <v>2050</v>
      </c>
      <c r="C1629" t="s">
        <v>23</v>
      </c>
      <c r="D1629">
        <v>0.01</v>
      </c>
      <c r="E1629">
        <v>110.98</v>
      </c>
      <c r="F1629">
        <v>13.99</v>
      </c>
      <c r="G1629" t="s">
        <v>14</v>
      </c>
      <c r="H1629" t="s">
        <v>47</v>
      </c>
      <c r="I1629" t="s">
        <v>4</v>
      </c>
      <c r="J1629" t="s">
        <v>102</v>
      </c>
      <c r="K1629" t="s">
        <v>120</v>
      </c>
      <c r="L1629" t="s">
        <v>521</v>
      </c>
      <c r="M1629">
        <v>0.69</v>
      </c>
      <c r="N1629" t="s">
        <v>8</v>
      </c>
      <c r="O1629" t="s">
        <v>28</v>
      </c>
      <c r="P1629" t="s">
        <v>163</v>
      </c>
      <c r="Q1629" t="s">
        <v>2051</v>
      </c>
      <c r="R1629">
        <v>75051</v>
      </c>
      <c r="S1629" s="1">
        <v>42154</v>
      </c>
      <c r="T1629" s="1">
        <v>42159</v>
      </c>
      <c r="U1629">
        <v>1448.7309</v>
      </c>
      <c r="V1629">
        <v>19</v>
      </c>
      <c r="W1629">
        <v>2099.61</v>
      </c>
      <c r="X1629">
        <v>86688</v>
      </c>
      <c r="Y1629">
        <f>cleaneddata[[#This Row],[Unit Price]]-cleaneddata[[#This Row],[Discount]]</f>
        <v>110.97</v>
      </c>
      <c r="Z162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30" spans="1:26" x14ac:dyDescent="0.3">
      <c r="A1630">
        <v>1935</v>
      </c>
      <c r="B1630" t="s">
        <v>2050</v>
      </c>
      <c r="C1630" t="s">
        <v>23</v>
      </c>
      <c r="D1630">
        <v>0.05</v>
      </c>
      <c r="E1630">
        <v>3.95</v>
      </c>
      <c r="F1630">
        <v>2</v>
      </c>
      <c r="G1630" t="s">
        <v>63</v>
      </c>
      <c r="H1630" t="s">
        <v>47</v>
      </c>
      <c r="I1630" t="s">
        <v>24</v>
      </c>
      <c r="J1630" t="s">
        <v>152</v>
      </c>
      <c r="K1630" t="s">
        <v>26</v>
      </c>
      <c r="L1630" t="s">
        <v>1805</v>
      </c>
      <c r="M1630">
        <v>0.53</v>
      </c>
      <c r="N1630" t="s">
        <v>8</v>
      </c>
      <c r="O1630" t="s">
        <v>28</v>
      </c>
      <c r="P1630" t="s">
        <v>163</v>
      </c>
      <c r="Q1630" t="s">
        <v>2051</v>
      </c>
      <c r="R1630">
        <v>75051</v>
      </c>
      <c r="S1630" s="1">
        <v>42154</v>
      </c>
      <c r="T1630" s="1">
        <v>42162</v>
      </c>
      <c r="U1630">
        <v>1.004</v>
      </c>
      <c r="V1630">
        <v>23</v>
      </c>
      <c r="W1630">
        <v>96.6</v>
      </c>
      <c r="X1630">
        <v>86688</v>
      </c>
      <c r="Y1630">
        <f>cleaneddata[[#This Row],[Unit Price]]-cleaneddata[[#This Row],[Discount]]</f>
        <v>3.9000000000000004</v>
      </c>
      <c r="Z16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31" spans="1:26" x14ac:dyDescent="0.3">
      <c r="A1631">
        <v>2980</v>
      </c>
      <c r="B1631" t="s">
        <v>797</v>
      </c>
      <c r="C1631" t="s">
        <v>23</v>
      </c>
      <c r="D1631">
        <v>0.04</v>
      </c>
      <c r="E1631">
        <v>2.88</v>
      </c>
      <c r="F1631">
        <v>1.01</v>
      </c>
      <c r="G1631" t="s">
        <v>14</v>
      </c>
      <c r="H1631" t="s">
        <v>70</v>
      </c>
      <c r="I1631" t="s">
        <v>24</v>
      </c>
      <c r="J1631" t="s">
        <v>25</v>
      </c>
      <c r="K1631" t="s">
        <v>26</v>
      </c>
      <c r="L1631" t="s">
        <v>967</v>
      </c>
      <c r="M1631">
        <v>0.55000000000000004</v>
      </c>
      <c r="N1631" t="s">
        <v>8</v>
      </c>
      <c r="O1631" t="s">
        <v>87</v>
      </c>
      <c r="P1631" t="s">
        <v>293</v>
      </c>
      <c r="Q1631" t="s">
        <v>799</v>
      </c>
      <c r="R1631">
        <v>44870</v>
      </c>
      <c r="S1631" s="1">
        <v>42154</v>
      </c>
      <c r="T1631" s="1">
        <v>42159</v>
      </c>
      <c r="U1631">
        <v>15.246</v>
      </c>
      <c r="V1631">
        <v>39</v>
      </c>
      <c r="W1631">
        <v>111.92</v>
      </c>
      <c r="X1631">
        <v>86548</v>
      </c>
      <c r="Y1631">
        <f>cleaneddata[[#This Row],[Unit Price]]-cleaneddata[[#This Row],[Discount]]</f>
        <v>2.84</v>
      </c>
      <c r="Z163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32" spans="1:26" x14ac:dyDescent="0.3">
      <c r="A1632">
        <v>3124</v>
      </c>
      <c r="B1632" t="s">
        <v>2696</v>
      </c>
      <c r="C1632" t="s">
        <v>46</v>
      </c>
      <c r="D1632">
        <v>0.05</v>
      </c>
      <c r="E1632">
        <v>120.98</v>
      </c>
      <c r="F1632">
        <v>9.07</v>
      </c>
      <c r="G1632" t="s">
        <v>14</v>
      </c>
      <c r="H1632" t="s">
        <v>47</v>
      </c>
      <c r="I1632" t="s">
        <v>24</v>
      </c>
      <c r="J1632" t="s">
        <v>48</v>
      </c>
      <c r="K1632" t="s">
        <v>49</v>
      </c>
      <c r="L1632" t="s">
        <v>1399</v>
      </c>
      <c r="M1632">
        <v>0.35</v>
      </c>
      <c r="N1632" t="s">
        <v>8</v>
      </c>
      <c r="O1632" t="s">
        <v>28</v>
      </c>
      <c r="P1632" t="s">
        <v>79</v>
      </c>
      <c r="Q1632" t="s">
        <v>2697</v>
      </c>
      <c r="R1632">
        <v>61265</v>
      </c>
      <c r="S1632" s="1">
        <v>42154</v>
      </c>
      <c r="T1632" s="1">
        <v>42155</v>
      </c>
      <c r="U1632">
        <v>881.04719999999998</v>
      </c>
      <c r="V1632">
        <v>11</v>
      </c>
      <c r="W1632">
        <v>1276.8800000000001</v>
      </c>
      <c r="X1632">
        <v>87286</v>
      </c>
      <c r="Y1632">
        <f>cleaneddata[[#This Row],[Unit Price]]-cleaneddata[[#This Row],[Discount]]</f>
        <v>120.93</v>
      </c>
      <c r="Z163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33" spans="1:26" x14ac:dyDescent="0.3">
      <c r="A1633">
        <v>1802</v>
      </c>
      <c r="B1633" t="s">
        <v>2698</v>
      </c>
      <c r="C1633" t="s">
        <v>1</v>
      </c>
      <c r="D1633">
        <v>0.04</v>
      </c>
      <c r="E1633">
        <v>3.68</v>
      </c>
      <c r="F1633">
        <v>1.32</v>
      </c>
      <c r="G1633" t="s">
        <v>14</v>
      </c>
      <c r="H1633" t="s">
        <v>70</v>
      </c>
      <c r="I1633" t="s">
        <v>24</v>
      </c>
      <c r="J1633" t="s">
        <v>544</v>
      </c>
      <c r="K1633" t="s">
        <v>26</v>
      </c>
      <c r="L1633" t="s">
        <v>2502</v>
      </c>
      <c r="M1633">
        <v>0.83</v>
      </c>
      <c r="N1633" t="s">
        <v>8</v>
      </c>
      <c r="O1633" t="s">
        <v>9</v>
      </c>
      <c r="P1633" t="s">
        <v>99</v>
      </c>
      <c r="Q1633" t="s">
        <v>689</v>
      </c>
      <c r="R1633">
        <v>34698</v>
      </c>
      <c r="S1633" s="1">
        <v>42156</v>
      </c>
      <c r="T1633" s="1">
        <v>42157</v>
      </c>
      <c r="U1633">
        <v>300.92579999999998</v>
      </c>
      <c r="V1633">
        <v>11</v>
      </c>
      <c r="W1633">
        <v>41.29</v>
      </c>
      <c r="X1633">
        <v>91543</v>
      </c>
      <c r="Y1633">
        <f>cleaneddata[[#This Row],[Unit Price]]-cleaneddata[[#This Row],[Discount]]</f>
        <v>3.64</v>
      </c>
      <c r="Z16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34" spans="1:26" x14ac:dyDescent="0.3">
      <c r="A1634">
        <v>2817</v>
      </c>
      <c r="B1634" t="s">
        <v>2699</v>
      </c>
      <c r="C1634" t="s">
        <v>13</v>
      </c>
      <c r="D1634">
        <v>0.05</v>
      </c>
      <c r="E1634">
        <v>4.71</v>
      </c>
      <c r="F1634">
        <v>0.7</v>
      </c>
      <c r="G1634" t="s">
        <v>63</v>
      </c>
      <c r="H1634" t="s">
        <v>70</v>
      </c>
      <c r="I1634" t="s">
        <v>24</v>
      </c>
      <c r="J1634" t="s">
        <v>152</v>
      </c>
      <c r="K1634" t="s">
        <v>26</v>
      </c>
      <c r="L1634" t="s">
        <v>2700</v>
      </c>
      <c r="M1634">
        <v>0.8</v>
      </c>
      <c r="N1634" t="s">
        <v>8</v>
      </c>
      <c r="O1634" t="s">
        <v>87</v>
      </c>
      <c r="P1634" t="s">
        <v>293</v>
      </c>
      <c r="Q1634" t="s">
        <v>2701</v>
      </c>
      <c r="R1634">
        <v>43055</v>
      </c>
      <c r="S1634" s="1">
        <v>42156</v>
      </c>
      <c r="T1634" s="1">
        <v>42157</v>
      </c>
      <c r="U1634">
        <v>-2.3759999999999999</v>
      </c>
      <c r="V1634">
        <v>2</v>
      </c>
      <c r="W1634">
        <v>12.16</v>
      </c>
      <c r="X1634">
        <v>89743</v>
      </c>
      <c r="Y1634">
        <f>cleaneddata[[#This Row],[Unit Price]]-cleaneddata[[#This Row],[Discount]]</f>
        <v>4.66</v>
      </c>
      <c r="Z16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35" spans="1:26" x14ac:dyDescent="0.3">
      <c r="A1635">
        <v>2817</v>
      </c>
      <c r="B1635" t="s">
        <v>2699</v>
      </c>
      <c r="C1635" t="s">
        <v>13</v>
      </c>
      <c r="D1635">
        <v>0.04</v>
      </c>
      <c r="E1635">
        <v>55.99</v>
      </c>
      <c r="F1635">
        <v>1.25</v>
      </c>
      <c r="G1635" t="s">
        <v>63</v>
      </c>
      <c r="H1635" t="s">
        <v>70</v>
      </c>
      <c r="I1635" t="s">
        <v>16</v>
      </c>
      <c r="J1635" t="s">
        <v>111</v>
      </c>
      <c r="K1635" t="s">
        <v>18</v>
      </c>
      <c r="L1635" t="s">
        <v>2702</v>
      </c>
      <c r="M1635">
        <v>0.35</v>
      </c>
      <c r="N1635" t="s">
        <v>8</v>
      </c>
      <c r="O1635" t="s">
        <v>87</v>
      </c>
      <c r="P1635" t="s">
        <v>293</v>
      </c>
      <c r="Q1635" t="s">
        <v>2701</v>
      </c>
      <c r="R1635">
        <v>43055</v>
      </c>
      <c r="S1635" s="1">
        <v>42156</v>
      </c>
      <c r="T1635" s="1">
        <v>42157</v>
      </c>
      <c r="U1635">
        <v>-18.3216</v>
      </c>
      <c r="V1635">
        <v>3</v>
      </c>
      <c r="W1635">
        <v>147.56</v>
      </c>
      <c r="X1635">
        <v>89743</v>
      </c>
      <c r="Y1635">
        <f>cleaneddata[[#This Row],[Unit Price]]-cleaneddata[[#This Row],[Discount]]</f>
        <v>55.95</v>
      </c>
      <c r="Z163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36" spans="1:26" x14ac:dyDescent="0.3">
      <c r="A1636">
        <v>3069</v>
      </c>
      <c r="B1636" t="s">
        <v>1144</v>
      </c>
      <c r="C1636" t="s">
        <v>13</v>
      </c>
      <c r="D1636">
        <v>0.03</v>
      </c>
      <c r="E1636">
        <v>120.98</v>
      </c>
      <c r="F1636">
        <v>30</v>
      </c>
      <c r="G1636" t="s">
        <v>2</v>
      </c>
      <c r="H1636" t="s">
        <v>15</v>
      </c>
      <c r="I1636" t="s">
        <v>4</v>
      </c>
      <c r="J1636" t="s">
        <v>85</v>
      </c>
      <c r="K1636" t="s">
        <v>33</v>
      </c>
      <c r="L1636" t="s">
        <v>1101</v>
      </c>
      <c r="M1636">
        <v>0.64</v>
      </c>
      <c r="N1636" t="s">
        <v>8</v>
      </c>
      <c r="O1636" t="s">
        <v>28</v>
      </c>
      <c r="P1636" t="s">
        <v>60</v>
      </c>
      <c r="Q1636" t="s">
        <v>1146</v>
      </c>
      <c r="R1636">
        <v>55128</v>
      </c>
      <c r="S1636" s="1">
        <v>42156</v>
      </c>
      <c r="T1636" s="1">
        <v>42158</v>
      </c>
      <c r="U1636">
        <v>638.02800000000002</v>
      </c>
      <c r="V1636">
        <v>15</v>
      </c>
      <c r="W1636">
        <v>1894.45</v>
      </c>
      <c r="X1636">
        <v>88191</v>
      </c>
      <c r="Y1636">
        <f>cleaneddata[[#This Row],[Unit Price]]-cleaneddata[[#This Row],[Discount]]</f>
        <v>120.95</v>
      </c>
      <c r="Z163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37" spans="1:26" x14ac:dyDescent="0.3">
      <c r="A1637">
        <v>3069</v>
      </c>
      <c r="B1637" t="s">
        <v>1144</v>
      </c>
      <c r="C1637" t="s">
        <v>13</v>
      </c>
      <c r="D1637">
        <v>0.01</v>
      </c>
      <c r="E1637">
        <v>15.68</v>
      </c>
      <c r="F1637">
        <v>3.73</v>
      </c>
      <c r="G1637" t="s">
        <v>14</v>
      </c>
      <c r="H1637" t="s">
        <v>15</v>
      </c>
      <c r="I1637" t="s">
        <v>4</v>
      </c>
      <c r="J1637" t="s">
        <v>102</v>
      </c>
      <c r="K1637" t="s">
        <v>18</v>
      </c>
      <c r="L1637" t="s">
        <v>2703</v>
      </c>
      <c r="M1637">
        <v>0.46</v>
      </c>
      <c r="N1637" t="s">
        <v>8</v>
      </c>
      <c r="O1637" t="s">
        <v>28</v>
      </c>
      <c r="P1637" t="s">
        <v>60</v>
      </c>
      <c r="Q1637" t="s">
        <v>1146</v>
      </c>
      <c r="R1637">
        <v>55128</v>
      </c>
      <c r="S1637" s="1">
        <v>42156</v>
      </c>
      <c r="T1637" s="1">
        <v>42158</v>
      </c>
      <c r="U1637">
        <v>138.49680000000001</v>
      </c>
      <c r="V1637">
        <v>12</v>
      </c>
      <c r="W1637">
        <v>200.72</v>
      </c>
      <c r="X1637">
        <v>88191</v>
      </c>
      <c r="Y1637">
        <f>cleaneddata[[#This Row],[Unit Price]]-cleaneddata[[#This Row],[Discount]]</f>
        <v>15.67</v>
      </c>
      <c r="Z16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38" spans="1:26" x14ac:dyDescent="0.3">
      <c r="A1638">
        <v>3141</v>
      </c>
      <c r="B1638" t="s">
        <v>2704</v>
      </c>
      <c r="C1638" t="s">
        <v>23</v>
      </c>
      <c r="D1638">
        <v>0.09</v>
      </c>
      <c r="E1638">
        <v>6.84</v>
      </c>
      <c r="F1638">
        <v>8.3699999999999992</v>
      </c>
      <c r="G1638" t="s">
        <v>14</v>
      </c>
      <c r="H1638" t="s">
        <v>15</v>
      </c>
      <c r="I1638" t="s">
        <v>24</v>
      </c>
      <c r="J1638" t="s">
        <v>544</v>
      </c>
      <c r="K1638" t="s">
        <v>18</v>
      </c>
      <c r="L1638" t="s">
        <v>712</v>
      </c>
      <c r="M1638">
        <v>0.57999999999999996</v>
      </c>
      <c r="N1638" t="s">
        <v>8</v>
      </c>
      <c r="O1638" t="s">
        <v>28</v>
      </c>
      <c r="P1638" t="s">
        <v>163</v>
      </c>
      <c r="Q1638" t="s">
        <v>342</v>
      </c>
      <c r="R1638">
        <v>77506</v>
      </c>
      <c r="S1638" s="1">
        <v>42156</v>
      </c>
      <c r="T1638" s="1">
        <v>42163</v>
      </c>
      <c r="U1638">
        <v>-88.584999999999994</v>
      </c>
      <c r="V1638">
        <v>13</v>
      </c>
      <c r="W1638">
        <v>87.1</v>
      </c>
      <c r="X1638">
        <v>86369</v>
      </c>
      <c r="Y1638">
        <f>cleaneddata[[#This Row],[Unit Price]]-cleaneddata[[#This Row],[Discount]]</f>
        <v>6.75</v>
      </c>
      <c r="Z163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39" spans="1:26" x14ac:dyDescent="0.3">
      <c r="A1639">
        <v>3141</v>
      </c>
      <c r="B1639" t="s">
        <v>2704</v>
      </c>
      <c r="C1639" t="s">
        <v>23</v>
      </c>
      <c r="D1639">
        <v>7.0000000000000007E-2</v>
      </c>
      <c r="E1639">
        <v>48.91</v>
      </c>
      <c r="F1639">
        <v>35</v>
      </c>
      <c r="G1639" t="s">
        <v>63</v>
      </c>
      <c r="H1639" t="s">
        <v>15</v>
      </c>
      <c r="I1639" t="s">
        <v>24</v>
      </c>
      <c r="J1639" t="s">
        <v>54</v>
      </c>
      <c r="K1639" t="s">
        <v>40</v>
      </c>
      <c r="L1639" t="s">
        <v>1797</v>
      </c>
      <c r="M1639">
        <v>0.83</v>
      </c>
      <c r="N1639" t="s">
        <v>8</v>
      </c>
      <c r="O1639" t="s">
        <v>28</v>
      </c>
      <c r="P1639" t="s">
        <v>163</v>
      </c>
      <c r="Q1639" t="s">
        <v>342</v>
      </c>
      <c r="R1639">
        <v>77506</v>
      </c>
      <c r="S1639" s="1">
        <v>42156</v>
      </c>
      <c r="T1639" s="1">
        <v>42158</v>
      </c>
      <c r="U1639">
        <v>-485.68</v>
      </c>
      <c r="V1639">
        <v>15</v>
      </c>
      <c r="W1639">
        <v>736.86</v>
      </c>
      <c r="X1639">
        <v>86369</v>
      </c>
      <c r="Y1639">
        <f>cleaneddata[[#This Row],[Unit Price]]-cleaneddata[[#This Row],[Discount]]</f>
        <v>48.839999999999996</v>
      </c>
      <c r="Z163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40" spans="1:26" x14ac:dyDescent="0.3">
      <c r="A1640">
        <v>2737</v>
      </c>
      <c r="B1640" t="s">
        <v>2246</v>
      </c>
      <c r="C1640" t="s">
        <v>92</v>
      </c>
      <c r="D1640">
        <v>0.03</v>
      </c>
      <c r="E1640">
        <v>15.31</v>
      </c>
      <c r="F1640">
        <v>8.7799999999999994</v>
      </c>
      <c r="G1640" t="s">
        <v>14</v>
      </c>
      <c r="H1640" t="s">
        <v>3</v>
      </c>
      <c r="I1640" t="s">
        <v>24</v>
      </c>
      <c r="J1640" t="s">
        <v>54</v>
      </c>
      <c r="K1640" t="s">
        <v>49</v>
      </c>
      <c r="L1640" t="s">
        <v>2410</v>
      </c>
      <c r="M1640">
        <v>0.56999999999999995</v>
      </c>
      <c r="N1640" t="s">
        <v>8</v>
      </c>
      <c r="O1640" t="s">
        <v>87</v>
      </c>
      <c r="P1640" t="s">
        <v>609</v>
      </c>
      <c r="Q1640" t="s">
        <v>1922</v>
      </c>
      <c r="R1640">
        <v>5701</v>
      </c>
      <c r="S1640" s="1">
        <v>42156</v>
      </c>
      <c r="T1640" s="1">
        <v>42157</v>
      </c>
      <c r="U1640">
        <v>-57.56</v>
      </c>
      <c r="V1640">
        <v>12</v>
      </c>
      <c r="W1640">
        <v>194.08</v>
      </c>
      <c r="X1640">
        <v>89019</v>
      </c>
      <c r="Y1640">
        <f>cleaneddata[[#This Row],[Unit Price]]-cleaneddata[[#This Row],[Discount]]</f>
        <v>15.280000000000001</v>
      </c>
      <c r="Z16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41" spans="1:26" x14ac:dyDescent="0.3">
      <c r="A1641">
        <v>2828</v>
      </c>
      <c r="B1641" t="s">
        <v>1235</v>
      </c>
      <c r="C1641" t="s">
        <v>92</v>
      </c>
      <c r="D1641">
        <v>7.0000000000000007E-2</v>
      </c>
      <c r="E1641">
        <v>39.479999999999997</v>
      </c>
      <c r="F1641">
        <v>1.99</v>
      </c>
      <c r="G1641" t="s">
        <v>14</v>
      </c>
      <c r="H1641" t="s">
        <v>70</v>
      </c>
      <c r="I1641" t="s">
        <v>16</v>
      </c>
      <c r="J1641" t="s">
        <v>17</v>
      </c>
      <c r="K1641" t="s">
        <v>18</v>
      </c>
      <c r="L1641" t="s">
        <v>1233</v>
      </c>
      <c r="M1641">
        <v>0.54</v>
      </c>
      <c r="N1641" t="s">
        <v>8</v>
      </c>
      <c r="O1641" t="s">
        <v>35</v>
      </c>
      <c r="P1641" t="s">
        <v>66</v>
      </c>
      <c r="Q1641" t="s">
        <v>1237</v>
      </c>
      <c r="R1641">
        <v>92243</v>
      </c>
      <c r="S1641" s="1">
        <v>42156</v>
      </c>
      <c r="T1641" s="1">
        <v>42157</v>
      </c>
      <c r="U1641">
        <v>322.25069999999999</v>
      </c>
      <c r="V1641">
        <v>12</v>
      </c>
      <c r="W1641">
        <v>467.03</v>
      </c>
      <c r="X1641">
        <v>87721</v>
      </c>
      <c r="Y1641">
        <f>cleaneddata[[#This Row],[Unit Price]]-cleaneddata[[#This Row],[Discount]]</f>
        <v>39.409999999999997</v>
      </c>
      <c r="Z164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42" spans="1:26" x14ac:dyDescent="0.3">
      <c r="A1642">
        <v>797</v>
      </c>
      <c r="B1642" t="s">
        <v>1500</v>
      </c>
      <c r="C1642" t="s">
        <v>46</v>
      </c>
      <c r="D1642">
        <v>0.04</v>
      </c>
      <c r="E1642">
        <v>9.11</v>
      </c>
      <c r="F1642">
        <v>2.25</v>
      </c>
      <c r="G1642" t="s">
        <v>14</v>
      </c>
      <c r="H1642" t="s">
        <v>70</v>
      </c>
      <c r="I1642" t="s">
        <v>24</v>
      </c>
      <c r="J1642" t="s">
        <v>25</v>
      </c>
      <c r="K1642" t="s">
        <v>26</v>
      </c>
      <c r="L1642" t="s">
        <v>2705</v>
      </c>
      <c r="M1642">
        <v>0.52</v>
      </c>
      <c r="N1642" t="s">
        <v>8</v>
      </c>
      <c r="O1642" t="s">
        <v>35</v>
      </c>
      <c r="P1642" t="s">
        <v>122</v>
      </c>
      <c r="Q1642" t="s">
        <v>1502</v>
      </c>
      <c r="R1642">
        <v>84067</v>
      </c>
      <c r="S1642" s="1">
        <v>42156</v>
      </c>
      <c r="T1642" s="1">
        <v>42159</v>
      </c>
      <c r="U1642">
        <v>-3.496</v>
      </c>
      <c r="V1642">
        <v>2</v>
      </c>
      <c r="W1642">
        <v>18.59</v>
      </c>
      <c r="X1642">
        <v>86868</v>
      </c>
      <c r="Y1642">
        <f>cleaneddata[[#This Row],[Unit Price]]-cleaneddata[[#This Row],[Discount]]</f>
        <v>9.07</v>
      </c>
      <c r="Z164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43" spans="1:26" x14ac:dyDescent="0.3">
      <c r="A1643">
        <v>797</v>
      </c>
      <c r="B1643" t="s">
        <v>1500</v>
      </c>
      <c r="C1643" t="s">
        <v>46</v>
      </c>
      <c r="D1643">
        <v>7.0000000000000007E-2</v>
      </c>
      <c r="E1643">
        <v>64.650000000000006</v>
      </c>
      <c r="F1643">
        <v>35</v>
      </c>
      <c r="G1643" t="s">
        <v>14</v>
      </c>
      <c r="H1643" t="s">
        <v>70</v>
      </c>
      <c r="I1643" t="s">
        <v>24</v>
      </c>
      <c r="J1643" t="s">
        <v>54</v>
      </c>
      <c r="K1643" t="s">
        <v>40</v>
      </c>
      <c r="L1643" t="s">
        <v>989</v>
      </c>
      <c r="M1643">
        <v>0.8</v>
      </c>
      <c r="N1643" t="s">
        <v>8</v>
      </c>
      <c r="O1643" t="s">
        <v>35</v>
      </c>
      <c r="P1643" t="s">
        <v>122</v>
      </c>
      <c r="Q1643" t="s">
        <v>1502</v>
      </c>
      <c r="R1643">
        <v>84067</v>
      </c>
      <c r="S1643" s="1">
        <v>42156</v>
      </c>
      <c r="T1643" s="1">
        <v>42158</v>
      </c>
      <c r="U1643">
        <v>-717.072</v>
      </c>
      <c r="V1643">
        <v>13</v>
      </c>
      <c r="W1643">
        <v>834.08</v>
      </c>
      <c r="X1643">
        <v>86868</v>
      </c>
      <c r="Y1643">
        <f>cleaneddata[[#This Row],[Unit Price]]-cleaneddata[[#This Row],[Discount]]</f>
        <v>64.580000000000013</v>
      </c>
      <c r="Z16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44" spans="1:26" x14ac:dyDescent="0.3">
      <c r="A1644">
        <v>1556</v>
      </c>
      <c r="B1644" t="s">
        <v>2706</v>
      </c>
      <c r="C1644" t="s">
        <v>46</v>
      </c>
      <c r="D1644">
        <v>0.06</v>
      </c>
      <c r="E1644">
        <v>2.89</v>
      </c>
      <c r="F1644">
        <v>0.99</v>
      </c>
      <c r="G1644" t="s">
        <v>14</v>
      </c>
      <c r="H1644" t="s">
        <v>15</v>
      </c>
      <c r="I1644" t="s">
        <v>24</v>
      </c>
      <c r="J1644" t="s">
        <v>128</v>
      </c>
      <c r="K1644" t="s">
        <v>49</v>
      </c>
      <c r="L1644" t="s">
        <v>2707</v>
      </c>
      <c r="M1644">
        <v>0.38</v>
      </c>
      <c r="N1644" t="s">
        <v>8</v>
      </c>
      <c r="O1644" t="s">
        <v>9</v>
      </c>
      <c r="P1644" t="s">
        <v>218</v>
      </c>
      <c r="Q1644" t="s">
        <v>2708</v>
      </c>
      <c r="R1644">
        <v>22304</v>
      </c>
      <c r="S1644" s="1">
        <v>42156</v>
      </c>
      <c r="T1644" s="1">
        <v>42158</v>
      </c>
      <c r="U1644">
        <v>-2.0097</v>
      </c>
      <c r="V1644">
        <v>6</v>
      </c>
      <c r="W1644">
        <v>16.670000000000002</v>
      </c>
      <c r="X1644">
        <v>87425</v>
      </c>
      <c r="Y1644">
        <f>cleaneddata[[#This Row],[Unit Price]]-cleaneddata[[#This Row],[Discount]]</f>
        <v>2.83</v>
      </c>
      <c r="Z164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45" spans="1:26" x14ac:dyDescent="0.3">
      <c r="A1645">
        <v>1556</v>
      </c>
      <c r="B1645" t="s">
        <v>2706</v>
      </c>
      <c r="C1645" t="s">
        <v>46</v>
      </c>
      <c r="D1645">
        <v>0.08</v>
      </c>
      <c r="E1645">
        <v>22.84</v>
      </c>
      <c r="F1645">
        <v>11.54</v>
      </c>
      <c r="G1645" t="s">
        <v>14</v>
      </c>
      <c r="H1645" t="s">
        <v>15</v>
      </c>
      <c r="I1645" t="s">
        <v>24</v>
      </c>
      <c r="J1645" t="s">
        <v>64</v>
      </c>
      <c r="K1645" t="s">
        <v>49</v>
      </c>
      <c r="L1645" t="s">
        <v>1817</v>
      </c>
      <c r="M1645">
        <v>0.39</v>
      </c>
      <c r="N1645" t="s">
        <v>8</v>
      </c>
      <c r="O1645" t="s">
        <v>9</v>
      </c>
      <c r="P1645" t="s">
        <v>218</v>
      </c>
      <c r="Q1645" t="s">
        <v>2708</v>
      </c>
      <c r="R1645">
        <v>22304</v>
      </c>
      <c r="S1645" s="1">
        <v>42156</v>
      </c>
      <c r="T1645" s="1">
        <v>42158</v>
      </c>
      <c r="U1645">
        <v>-477.37200000000001</v>
      </c>
      <c r="V1645">
        <v>9</v>
      </c>
      <c r="W1645">
        <v>195.16</v>
      </c>
      <c r="X1645">
        <v>87425</v>
      </c>
      <c r="Y1645">
        <f>cleaneddata[[#This Row],[Unit Price]]-cleaneddata[[#This Row],[Discount]]</f>
        <v>22.76</v>
      </c>
      <c r="Z164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46" spans="1:26" x14ac:dyDescent="0.3">
      <c r="A1646">
        <v>1690</v>
      </c>
      <c r="B1646" t="s">
        <v>726</v>
      </c>
      <c r="C1646" t="s">
        <v>46</v>
      </c>
      <c r="D1646">
        <v>0.09</v>
      </c>
      <c r="E1646">
        <v>95.43</v>
      </c>
      <c r="F1646">
        <v>19.989999999999998</v>
      </c>
      <c r="G1646" t="s">
        <v>14</v>
      </c>
      <c r="H1646" t="s">
        <v>70</v>
      </c>
      <c r="I1646" t="s">
        <v>24</v>
      </c>
      <c r="J1646" t="s">
        <v>54</v>
      </c>
      <c r="K1646" t="s">
        <v>49</v>
      </c>
      <c r="L1646" t="s">
        <v>1413</v>
      </c>
      <c r="M1646">
        <v>0.79</v>
      </c>
      <c r="N1646" t="s">
        <v>8</v>
      </c>
      <c r="O1646" t="s">
        <v>87</v>
      </c>
      <c r="P1646" t="s">
        <v>296</v>
      </c>
      <c r="Q1646" t="s">
        <v>728</v>
      </c>
      <c r="R1646">
        <v>17112</v>
      </c>
      <c r="S1646" s="1">
        <v>42156</v>
      </c>
      <c r="T1646" s="1">
        <v>42157</v>
      </c>
      <c r="U1646">
        <v>-143.23500000000001</v>
      </c>
      <c r="V1646">
        <v>22</v>
      </c>
      <c r="W1646">
        <v>2053.6</v>
      </c>
      <c r="X1646">
        <v>91078</v>
      </c>
      <c r="Y1646">
        <f>cleaneddata[[#This Row],[Unit Price]]-cleaneddata[[#This Row],[Discount]]</f>
        <v>95.34</v>
      </c>
      <c r="Z16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47" spans="1:26" x14ac:dyDescent="0.3">
      <c r="A1647">
        <v>2443</v>
      </c>
      <c r="B1647" t="s">
        <v>597</v>
      </c>
      <c r="C1647" t="s">
        <v>46</v>
      </c>
      <c r="D1647">
        <v>0.06</v>
      </c>
      <c r="E1647">
        <v>2.2799999999999998</v>
      </c>
      <c r="F1647">
        <v>5.2</v>
      </c>
      <c r="G1647" t="s">
        <v>14</v>
      </c>
      <c r="H1647" t="s">
        <v>70</v>
      </c>
      <c r="I1647" t="s">
        <v>24</v>
      </c>
      <c r="J1647" t="s">
        <v>25</v>
      </c>
      <c r="K1647" t="s">
        <v>26</v>
      </c>
      <c r="L1647" t="s">
        <v>2709</v>
      </c>
      <c r="M1647">
        <v>0.41</v>
      </c>
      <c r="N1647" t="s">
        <v>8</v>
      </c>
      <c r="O1647" t="s">
        <v>9</v>
      </c>
      <c r="P1647" t="s">
        <v>99</v>
      </c>
      <c r="Q1647" t="s">
        <v>104</v>
      </c>
      <c r="R1647">
        <v>33142</v>
      </c>
      <c r="S1647" s="1">
        <v>42156</v>
      </c>
      <c r="T1647" s="1">
        <v>42158</v>
      </c>
      <c r="U1647">
        <v>-2002.6314</v>
      </c>
      <c r="V1647">
        <v>13</v>
      </c>
      <c r="W1647">
        <v>30.47</v>
      </c>
      <c r="X1647">
        <v>89301</v>
      </c>
      <c r="Y1647">
        <f>cleaneddata[[#This Row],[Unit Price]]-cleaneddata[[#This Row],[Discount]]</f>
        <v>2.2199999999999998</v>
      </c>
      <c r="Z164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48" spans="1:26" x14ac:dyDescent="0.3">
      <c r="A1648">
        <v>142</v>
      </c>
      <c r="B1648" t="s">
        <v>2710</v>
      </c>
      <c r="C1648" t="s">
        <v>1</v>
      </c>
      <c r="D1648">
        <v>0.03</v>
      </c>
      <c r="E1648">
        <v>22.84</v>
      </c>
      <c r="F1648">
        <v>11.54</v>
      </c>
      <c r="G1648" t="s">
        <v>14</v>
      </c>
      <c r="H1648" t="s">
        <v>3</v>
      </c>
      <c r="I1648" t="s">
        <v>24</v>
      </c>
      <c r="J1648" t="s">
        <v>64</v>
      </c>
      <c r="K1648" t="s">
        <v>49</v>
      </c>
      <c r="L1648" t="s">
        <v>1817</v>
      </c>
      <c r="M1648">
        <v>0.39</v>
      </c>
      <c r="N1648" t="s">
        <v>8</v>
      </c>
      <c r="O1648" t="s">
        <v>87</v>
      </c>
      <c r="P1648" t="s">
        <v>224</v>
      </c>
      <c r="Q1648" t="s">
        <v>2711</v>
      </c>
      <c r="R1648">
        <v>6401</v>
      </c>
      <c r="S1648" s="1">
        <v>42157</v>
      </c>
      <c r="T1648" s="1">
        <v>42158</v>
      </c>
      <c r="U1648">
        <v>91.956000000000003</v>
      </c>
      <c r="V1648">
        <v>13</v>
      </c>
      <c r="W1648">
        <v>312.58999999999997</v>
      </c>
      <c r="X1648">
        <v>91087</v>
      </c>
      <c r="Y1648">
        <f>cleaneddata[[#This Row],[Unit Price]]-cleaneddata[[#This Row],[Discount]]</f>
        <v>22.81</v>
      </c>
      <c r="Z16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49" spans="1:26" x14ac:dyDescent="0.3">
      <c r="A1649">
        <v>144</v>
      </c>
      <c r="B1649" t="s">
        <v>2712</v>
      </c>
      <c r="C1649" t="s">
        <v>1</v>
      </c>
      <c r="D1649">
        <v>0.05</v>
      </c>
      <c r="E1649">
        <v>10.98</v>
      </c>
      <c r="F1649">
        <v>3.37</v>
      </c>
      <c r="G1649" t="s">
        <v>14</v>
      </c>
      <c r="H1649" t="s">
        <v>3</v>
      </c>
      <c r="I1649" t="s">
        <v>24</v>
      </c>
      <c r="J1649" t="s">
        <v>544</v>
      </c>
      <c r="K1649" t="s">
        <v>18</v>
      </c>
      <c r="L1649" t="s">
        <v>2105</v>
      </c>
      <c r="M1649">
        <v>0.56999999999999995</v>
      </c>
      <c r="N1649" t="s">
        <v>8</v>
      </c>
      <c r="O1649" t="s">
        <v>87</v>
      </c>
      <c r="P1649" t="s">
        <v>379</v>
      </c>
      <c r="Q1649" t="s">
        <v>2713</v>
      </c>
      <c r="R1649">
        <v>2664</v>
      </c>
      <c r="S1649" s="1">
        <v>42157</v>
      </c>
      <c r="T1649" s="1">
        <v>42158</v>
      </c>
      <c r="U1649">
        <v>-2.544</v>
      </c>
      <c r="V1649">
        <v>6</v>
      </c>
      <c r="W1649">
        <v>64.400000000000006</v>
      </c>
      <c r="X1649">
        <v>91087</v>
      </c>
      <c r="Y1649">
        <f>cleaneddata[[#This Row],[Unit Price]]-cleaneddata[[#This Row],[Discount]]</f>
        <v>10.93</v>
      </c>
      <c r="Z164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0" spans="1:26" x14ac:dyDescent="0.3">
      <c r="A1650">
        <v>1461</v>
      </c>
      <c r="B1650" t="s">
        <v>2714</v>
      </c>
      <c r="C1650" t="s">
        <v>13</v>
      </c>
      <c r="D1650">
        <v>0.05</v>
      </c>
      <c r="E1650">
        <v>12.95</v>
      </c>
      <c r="F1650">
        <v>4.9800000000000004</v>
      </c>
      <c r="G1650" t="s">
        <v>14</v>
      </c>
      <c r="H1650" t="s">
        <v>15</v>
      </c>
      <c r="I1650" t="s">
        <v>24</v>
      </c>
      <c r="J1650" t="s">
        <v>48</v>
      </c>
      <c r="K1650" t="s">
        <v>49</v>
      </c>
      <c r="L1650" t="s">
        <v>2715</v>
      </c>
      <c r="M1650">
        <v>0.4</v>
      </c>
      <c r="N1650" t="s">
        <v>8</v>
      </c>
      <c r="O1650" t="s">
        <v>28</v>
      </c>
      <c r="P1650" t="s">
        <v>29</v>
      </c>
      <c r="Q1650" t="s">
        <v>2005</v>
      </c>
      <c r="R1650">
        <v>47905</v>
      </c>
      <c r="S1650" s="1">
        <v>42157</v>
      </c>
      <c r="T1650" s="1">
        <v>42159</v>
      </c>
      <c r="U1650">
        <v>134.16825</v>
      </c>
      <c r="V1650">
        <v>19</v>
      </c>
      <c r="W1650">
        <v>252.36</v>
      </c>
      <c r="X1650">
        <v>86397</v>
      </c>
      <c r="Y1650">
        <f>cleaneddata[[#This Row],[Unit Price]]-cleaneddata[[#This Row],[Discount]]</f>
        <v>12.899999999999999</v>
      </c>
      <c r="Z16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51" spans="1:26" x14ac:dyDescent="0.3">
      <c r="A1651">
        <v>1997</v>
      </c>
      <c r="B1651" t="s">
        <v>750</v>
      </c>
      <c r="C1651" t="s">
        <v>23</v>
      </c>
      <c r="D1651">
        <v>0</v>
      </c>
      <c r="E1651">
        <v>24.92</v>
      </c>
      <c r="F1651">
        <v>12.98</v>
      </c>
      <c r="G1651" t="s">
        <v>14</v>
      </c>
      <c r="H1651" t="s">
        <v>15</v>
      </c>
      <c r="I1651" t="s">
        <v>24</v>
      </c>
      <c r="J1651" t="s">
        <v>48</v>
      </c>
      <c r="K1651" t="s">
        <v>49</v>
      </c>
      <c r="L1651" t="s">
        <v>1707</v>
      </c>
      <c r="M1651">
        <v>0.39</v>
      </c>
      <c r="N1651" t="s">
        <v>8</v>
      </c>
      <c r="O1651" t="s">
        <v>9</v>
      </c>
      <c r="P1651" t="s">
        <v>247</v>
      </c>
      <c r="Q1651" t="s">
        <v>248</v>
      </c>
      <c r="R1651">
        <v>29915</v>
      </c>
      <c r="S1651" s="1">
        <v>42157</v>
      </c>
      <c r="T1651" s="1">
        <v>42157</v>
      </c>
      <c r="U1651">
        <v>-23.155999999999999</v>
      </c>
      <c r="V1651">
        <v>1</v>
      </c>
      <c r="W1651">
        <v>32.659999999999997</v>
      </c>
      <c r="X1651">
        <v>90335</v>
      </c>
      <c r="Y1651">
        <f>cleaneddata[[#This Row],[Unit Price]]-cleaneddata[[#This Row],[Discount]]</f>
        <v>24.92</v>
      </c>
      <c r="Z165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52" spans="1:26" x14ac:dyDescent="0.3">
      <c r="A1652">
        <v>2334</v>
      </c>
      <c r="B1652" t="s">
        <v>2014</v>
      </c>
      <c r="C1652" t="s">
        <v>23</v>
      </c>
      <c r="D1652">
        <v>0.06</v>
      </c>
      <c r="E1652">
        <v>3.74</v>
      </c>
      <c r="F1652">
        <v>0.94</v>
      </c>
      <c r="G1652" t="s">
        <v>14</v>
      </c>
      <c r="H1652" t="s">
        <v>47</v>
      </c>
      <c r="I1652" t="s">
        <v>24</v>
      </c>
      <c r="J1652" t="s">
        <v>152</v>
      </c>
      <c r="K1652" t="s">
        <v>26</v>
      </c>
      <c r="L1652" t="s">
        <v>2716</v>
      </c>
      <c r="M1652">
        <v>0.83</v>
      </c>
      <c r="N1652" t="s">
        <v>8</v>
      </c>
      <c r="O1652" t="s">
        <v>28</v>
      </c>
      <c r="P1652" t="s">
        <v>333</v>
      </c>
      <c r="Q1652" t="s">
        <v>2015</v>
      </c>
      <c r="R1652">
        <v>53220</v>
      </c>
      <c r="S1652" s="1">
        <v>42157</v>
      </c>
      <c r="T1652" s="1">
        <v>42164</v>
      </c>
      <c r="U1652">
        <v>-7.6849999999999996</v>
      </c>
      <c r="V1652">
        <v>12</v>
      </c>
      <c r="W1652">
        <v>44.75</v>
      </c>
      <c r="X1652">
        <v>89610</v>
      </c>
      <c r="Y1652">
        <f>cleaneddata[[#This Row],[Unit Price]]-cleaneddata[[#This Row],[Discount]]</f>
        <v>3.68</v>
      </c>
      <c r="Z16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53" spans="1:26" x14ac:dyDescent="0.3">
      <c r="A1653">
        <v>210</v>
      </c>
      <c r="B1653" t="s">
        <v>555</v>
      </c>
      <c r="C1653" t="s">
        <v>92</v>
      </c>
      <c r="D1653">
        <v>0.09</v>
      </c>
      <c r="E1653">
        <v>5.4</v>
      </c>
      <c r="F1653">
        <v>7.78</v>
      </c>
      <c r="G1653" t="s">
        <v>63</v>
      </c>
      <c r="H1653" t="s">
        <v>47</v>
      </c>
      <c r="I1653" t="s">
        <v>24</v>
      </c>
      <c r="J1653" t="s">
        <v>48</v>
      </c>
      <c r="K1653" t="s">
        <v>49</v>
      </c>
      <c r="L1653" t="s">
        <v>1460</v>
      </c>
      <c r="M1653">
        <v>0.37</v>
      </c>
      <c r="N1653" t="s">
        <v>8</v>
      </c>
      <c r="O1653" t="s">
        <v>87</v>
      </c>
      <c r="P1653" t="s">
        <v>88</v>
      </c>
      <c r="Q1653" t="s">
        <v>557</v>
      </c>
      <c r="R1653">
        <v>12180</v>
      </c>
      <c r="S1653" s="1">
        <v>42157</v>
      </c>
      <c r="T1653" s="1">
        <v>42157</v>
      </c>
      <c r="U1653">
        <v>-21.487749999999998</v>
      </c>
      <c r="V1653">
        <v>4</v>
      </c>
      <c r="W1653">
        <v>27.3</v>
      </c>
      <c r="X1653">
        <v>85966</v>
      </c>
      <c r="Y1653">
        <f>cleaneddata[[#This Row],[Unit Price]]-cleaneddata[[#This Row],[Discount]]</f>
        <v>5.3100000000000005</v>
      </c>
      <c r="Z165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4" spans="1:26" x14ac:dyDescent="0.3">
      <c r="A1654">
        <v>210</v>
      </c>
      <c r="B1654" t="s">
        <v>555</v>
      </c>
      <c r="C1654" t="s">
        <v>92</v>
      </c>
      <c r="D1654">
        <v>0.02</v>
      </c>
      <c r="E1654">
        <v>20.28</v>
      </c>
      <c r="F1654">
        <v>6.68</v>
      </c>
      <c r="G1654" t="s">
        <v>14</v>
      </c>
      <c r="H1654" t="s">
        <v>47</v>
      </c>
      <c r="I1654" t="s">
        <v>4</v>
      </c>
      <c r="J1654" t="s">
        <v>102</v>
      </c>
      <c r="K1654" t="s">
        <v>49</v>
      </c>
      <c r="L1654" t="s">
        <v>2717</v>
      </c>
      <c r="M1654">
        <v>0.53</v>
      </c>
      <c r="N1654" t="s">
        <v>8</v>
      </c>
      <c r="O1654" t="s">
        <v>87</v>
      </c>
      <c r="P1654" t="s">
        <v>88</v>
      </c>
      <c r="Q1654" t="s">
        <v>557</v>
      </c>
      <c r="R1654">
        <v>12180</v>
      </c>
      <c r="S1654" s="1">
        <v>42157</v>
      </c>
      <c r="T1654" s="1">
        <v>42157</v>
      </c>
      <c r="U1654">
        <v>44.677500000000002</v>
      </c>
      <c r="V1654">
        <v>3</v>
      </c>
      <c r="W1654">
        <v>64.75</v>
      </c>
      <c r="X1654">
        <v>85966</v>
      </c>
      <c r="Y1654">
        <f>cleaneddata[[#This Row],[Unit Price]]-cleaneddata[[#This Row],[Discount]]</f>
        <v>20.260000000000002</v>
      </c>
      <c r="Z165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5" spans="1:26" x14ac:dyDescent="0.3">
      <c r="A1655">
        <v>210</v>
      </c>
      <c r="B1655" t="s">
        <v>555</v>
      </c>
      <c r="C1655" t="s">
        <v>92</v>
      </c>
      <c r="D1655">
        <v>0</v>
      </c>
      <c r="E1655">
        <v>11.55</v>
      </c>
      <c r="F1655">
        <v>2.36</v>
      </c>
      <c r="G1655" t="s">
        <v>14</v>
      </c>
      <c r="H1655" t="s">
        <v>47</v>
      </c>
      <c r="I1655" t="s">
        <v>24</v>
      </c>
      <c r="J1655" t="s">
        <v>25</v>
      </c>
      <c r="K1655" t="s">
        <v>26</v>
      </c>
      <c r="L1655" t="s">
        <v>356</v>
      </c>
      <c r="M1655">
        <v>0.55000000000000004</v>
      </c>
      <c r="N1655" t="s">
        <v>8</v>
      </c>
      <c r="O1655" t="s">
        <v>87</v>
      </c>
      <c r="P1655" t="s">
        <v>88</v>
      </c>
      <c r="Q1655" t="s">
        <v>557</v>
      </c>
      <c r="R1655">
        <v>12180</v>
      </c>
      <c r="S1655" s="1">
        <v>42157</v>
      </c>
      <c r="T1655" s="1">
        <v>42158</v>
      </c>
      <c r="U1655">
        <v>23.594999999999999</v>
      </c>
      <c r="V1655">
        <v>5</v>
      </c>
      <c r="W1655">
        <v>62.98</v>
      </c>
      <c r="X1655">
        <v>85966</v>
      </c>
      <c r="Y1655">
        <f>cleaneddata[[#This Row],[Unit Price]]-cleaneddata[[#This Row],[Discount]]</f>
        <v>11.55</v>
      </c>
      <c r="Z165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6" spans="1:26" x14ac:dyDescent="0.3">
      <c r="A1656">
        <v>211</v>
      </c>
      <c r="B1656" t="s">
        <v>238</v>
      </c>
      <c r="C1656" t="s">
        <v>92</v>
      </c>
      <c r="D1656">
        <v>0.05</v>
      </c>
      <c r="E1656">
        <v>2.08</v>
      </c>
      <c r="F1656">
        <v>2.56</v>
      </c>
      <c r="G1656" t="s">
        <v>14</v>
      </c>
      <c r="H1656" t="s">
        <v>47</v>
      </c>
      <c r="I1656" t="s">
        <v>24</v>
      </c>
      <c r="J1656" t="s">
        <v>544</v>
      </c>
      <c r="K1656" t="s">
        <v>18</v>
      </c>
      <c r="L1656" t="s">
        <v>1143</v>
      </c>
      <c r="M1656">
        <v>0.55000000000000004</v>
      </c>
      <c r="N1656" t="s">
        <v>8</v>
      </c>
      <c r="O1656" t="s">
        <v>87</v>
      </c>
      <c r="P1656" t="s">
        <v>88</v>
      </c>
      <c r="Q1656" t="s">
        <v>239</v>
      </c>
      <c r="R1656">
        <v>13501</v>
      </c>
      <c r="S1656" s="1">
        <v>42157</v>
      </c>
      <c r="T1656" s="1">
        <v>42158</v>
      </c>
      <c r="U1656">
        <v>-36.25</v>
      </c>
      <c r="V1656">
        <v>20</v>
      </c>
      <c r="W1656">
        <v>42.29</v>
      </c>
      <c r="X1656">
        <v>85966</v>
      </c>
      <c r="Y1656">
        <f>cleaneddata[[#This Row],[Unit Price]]-cleaneddata[[#This Row],[Discount]]</f>
        <v>2.0300000000000002</v>
      </c>
      <c r="Z165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7" spans="1:26" x14ac:dyDescent="0.3">
      <c r="A1657">
        <v>3374</v>
      </c>
      <c r="B1657" t="s">
        <v>2718</v>
      </c>
      <c r="C1657" t="s">
        <v>92</v>
      </c>
      <c r="D1657">
        <v>0.01</v>
      </c>
      <c r="E1657">
        <v>179.29</v>
      </c>
      <c r="F1657">
        <v>29.21</v>
      </c>
      <c r="G1657" t="s">
        <v>2</v>
      </c>
      <c r="H1657" t="s">
        <v>70</v>
      </c>
      <c r="I1657" t="s">
        <v>4</v>
      </c>
      <c r="J1657" t="s">
        <v>5</v>
      </c>
      <c r="K1657" t="s">
        <v>6</v>
      </c>
      <c r="L1657" t="s">
        <v>519</v>
      </c>
      <c r="M1657">
        <v>0.76</v>
      </c>
      <c r="N1657" t="s">
        <v>8</v>
      </c>
      <c r="O1657" t="s">
        <v>87</v>
      </c>
      <c r="P1657" t="s">
        <v>394</v>
      </c>
      <c r="Q1657" t="s">
        <v>2719</v>
      </c>
      <c r="R1657">
        <v>21113</v>
      </c>
      <c r="S1657" s="1">
        <v>42157</v>
      </c>
      <c r="T1657" s="1">
        <v>42159</v>
      </c>
      <c r="U1657">
        <v>66.362219999999994</v>
      </c>
      <c r="V1657">
        <v>8</v>
      </c>
      <c r="W1657">
        <v>1487.9</v>
      </c>
      <c r="X1657">
        <v>87473</v>
      </c>
      <c r="Y1657">
        <f>cleaneddata[[#This Row],[Unit Price]]-cleaneddata[[#This Row],[Discount]]</f>
        <v>179.28</v>
      </c>
      <c r="Z165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8" spans="1:26" x14ac:dyDescent="0.3">
      <c r="A1658">
        <v>1170</v>
      </c>
      <c r="B1658" t="s">
        <v>2720</v>
      </c>
      <c r="C1658" t="s">
        <v>46</v>
      </c>
      <c r="D1658">
        <v>0.09</v>
      </c>
      <c r="E1658">
        <v>9.7799999999999994</v>
      </c>
      <c r="F1658">
        <v>1.39</v>
      </c>
      <c r="G1658" t="s">
        <v>14</v>
      </c>
      <c r="H1658" t="s">
        <v>15</v>
      </c>
      <c r="I1658" t="s">
        <v>24</v>
      </c>
      <c r="J1658" t="s">
        <v>321</v>
      </c>
      <c r="K1658" t="s">
        <v>49</v>
      </c>
      <c r="L1658" t="s">
        <v>1487</v>
      </c>
      <c r="M1658">
        <v>0.39</v>
      </c>
      <c r="N1658" t="s">
        <v>8</v>
      </c>
      <c r="O1658" t="s">
        <v>87</v>
      </c>
      <c r="P1658" t="s">
        <v>1584</v>
      </c>
      <c r="Q1658" t="s">
        <v>2701</v>
      </c>
      <c r="R1658">
        <v>19711</v>
      </c>
      <c r="S1658" s="1">
        <v>42157</v>
      </c>
      <c r="T1658" s="1">
        <v>42158</v>
      </c>
      <c r="U1658">
        <v>125.20740000000001</v>
      </c>
      <c r="V1658">
        <v>19</v>
      </c>
      <c r="W1658">
        <v>181.46</v>
      </c>
      <c r="X1658">
        <v>87520</v>
      </c>
      <c r="Y1658">
        <f>cleaneddata[[#This Row],[Unit Price]]-cleaneddata[[#This Row],[Discount]]</f>
        <v>9.69</v>
      </c>
      <c r="Z165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59" spans="1:26" x14ac:dyDescent="0.3">
      <c r="A1659">
        <v>1170</v>
      </c>
      <c r="B1659" t="s">
        <v>2720</v>
      </c>
      <c r="C1659" t="s">
        <v>46</v>
      </c>
      <c r="D1659">
        <v>0</v>
      </c>
      <c r="E1659">
        <v>200.99</v>
      </c>
      <c r="F1659">
        <v>8.08</v>
      </c>
      <c r="G1659" t="s">
        <v>14</v>
      </c>
      <c r="H1659" t="s">
        <v>15</v>
      </c>
      <c r="I1659" t="s">
        <v>16</v>
      </c>
      <c r="J1659" t="s">
        <v>111</v>
      </c>
      <c r="K1659" t="s">
        <v>49</v>
      </c>
      <c r="L1659" t="s">
        <v>2721</v>
      </c>
      <c r="M1659">
        <v>0.59</v>
      </c>
      <c r="N1659" t="s">
        <v>8</v>
      </c>
      <c r="O1659" t="s">
        <v>87</v>
      </c>
      <c r="P1659" t="s">
        <v>1584</v>
      </c>
      <c r="Q1659" t="s">
        <v>2701</v>
      </c>
      <c r="R1659">
        <v>19711</v>
      </c>
      <c r="S1659" s="1">
        <v>42157</v>
      </c>
      <c r="T1659" s="1">
        <v>42159</v>
      </c>
      <c r="U1659">
        <v>281.53440000000001</v>
      </c>
      <c r="V1659">
        <v>6</v>
      </c>
      <c r="W1659">
        <v>1076.3</v>
      </c>
      <c r="X1659">
        <v>87520</v>
      </c>
      <c r="Y1659">
        <f>cleaneddata[[#This Row],[Unit Price]]-cleaneddata[[#This Row],[Discount]]</f>
        <v>200.99</v>
      </c>
      <c r="Z165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60" spans="1:26" x14ac:dyDescent="0.3">
      <c r="A1660">
        <v>2487</v>
      </c>
      <c r="B1660" t="s">
        <v>2722</v>
      </c>
      <c r="C1660" t="s">
        <v>46</v>
      </c>
      <c r="D1660">
        <v>0.02</v>
      </c>
      <c r="E1660">
        <v>136.97999999999999</v>
      </c>
      <c r="F1660">
        <v>24.49</v>
      </c>
      <c r="G1660" t="s">
        <v>63</v>
      </c>
      <c r="H1660" t="s">
        <v>3</v>
      </c>
      <c r="I1660" t="s">
        <v>4</v>
      </c>
      <c r="J1660" t="s">
        <v>102</v>
      </c>
      <c r="K1660" t="s">
        <v>40</v>
      </c>
      <c r="L1660" t="s">
        <v>405</v>
      </c>
      <c r="M1660">
        <v>0.59</v>
      </c>
      <c r="N1660" t="s">
        <v>8</v>
      </c>
      <c r="O1660" t="s">
        <v>9</v>
      </c>
      <c r="P1660" t="s">
        <v>51</v>
      </c>
      <c r="Q1660" t="s">
        <v>2723</v>
      </c>
      <c r="R1660">
        <v>30084</v>
      </c>
      <c r="S1660" s="1">
        <v>42157</v>
      </c>
      <c r="T1660" s="1">
        <v>42158</v>
      </c>
      <c r="U1660">
        <v>88.56</v>
      </c>
      <c r="V1660">
        <v>8</v>
      </c>
      <c r="W1660">
        <v>1140.95</v>
      </c>
      <c r="X1660">
        <v>91417</v>
      </c>
      <c r="Y1660">
        <f>cleaneddata[[#This Row],[Unit Price]]-cleaneddata[[#This Row],[Discount]]</f>
        <v>136.95999999999998</v>
      </c>
      <c r="Z166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61" spans="1:26" x14ac:dyDescent="0.3">
      <c r="A1661">
        <v>1389</v>
      </c>
      <c r="B1661" t="s">
        <v>745</v>
      </c>
      <c r="C1661" t="s">
        <v>13</v>
      </c>
      <c r="D1661">
        <v>0.09</v>
      </c>
      <c r="E1661">
        <v>2.61</v>
      </c>
      <c r="F1661">
        <v>0.5</v>
      </c>
      <c r="G1661" t="s">
        <v>14</v>
      </c>
      <c r="H1661" t="s">
        <v>15</v>
      </c>
      <c r="I1661" t="s">
        <v>24</v>
      </c>
      <c r="J1661" t="s">
        <v>128</v>
      </c>
      <c r="K1661" t="s">
        <v>49</v>
      </c>
      <c r="L1661" t="s">
        <v>1343</v>
      </c>
      <c r="M1661">
        <v>0.39</v>
      </c>
      <c r="N1661" t="s">
        <v>8</v>
      </c>
      <c r="O1661" t="s">
        <v>35</v>
      </c>
      <c r="P1661" t="s">
        <v>66</v>
      </c>
      <c r="Q1661" t="s">
        <v>747</v>
      </c>
      <c r="R1661">
        <v>94025</v>
      </c>
      <c r="S1661" s="1">
        <v>42158</v>
      </c>
      <c r="T1661" s="1">
        <v>42160</v>
      </c>
      <c r="U1661">
        <v>29.380199999999999</v>
      </c>
      <c r="V1661">
        <v>17</v>
      </c>
      <c r="W1661">
        <v>42.58</v>
      </c>
      <c r="X1661">
        <v>88729</v>
      </c>
      <c r="Y1661">
        <f>cleaneddata[[#This Row],[Unit Price]]-cleaneddata[[#This Row],[Discount]]</f>
        <v>2.52</v>
      </c>
      <c r="Z166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62" spans="1:26" x14ac:dyDescent="0.3">
      <c r="A1662">
        <v>87</v>
      </c>
      <c r="B1662" t="s">
        <v>1762</v>
      </c>
      <c r="C1662" t="s">
        <v>23</v>
      </c>
      <c r="D1662">
        <v>0.05</v>
      </c>
      <c r="E1662">
        <v>161.55000000000001</v>
      </c>
      <c r="F1662">
        <v>19.989999999999998</v>
      </c>
      <c r="G1662" t="s">
        <v>14</v>
      </c>
      <c r="H1662" t="s">
        <v>70</v>
      </c>
      <c r="I1662" t="s">
        <v>24</v>
      </c>
      <c r="J1662" t="s">
        <v>54</v>
      </c>
      <c r="K1662" t="s">
        <v>49</v>
      </c>
      <c r="L1662" t="s">
        <v>55</v>
      </c>
      <c r="M1662">
        <v>0.66</v>
      </c>
      <c r="N1662" t="s">
        <v>8</v>
      </c>
      <c r="O1662" t="s">
        <v>35</v>
      </c>
      <c r="P1662" t="s">
        <v>66</v>
      </c>
      <c r="Q1662" t="s">
        <v>1763</v>
      </c>
      <c r="R1662">
        <v>95687</v>
      </c>
      <c r="S1662" s="1">
        <v>42158</v>
      </c>
      <c r="T1662" s="1">
        <v>42163</v>
      </c>
      <c r="U1662">
        <v>1892.424</v>
      </c>
      <c r="V1662">
        <v>19</v>
      </c>
      <c r="W1662">
        <v>3127.69</v>
      </c>
      <c r="X1662">
        <v>90596</v>
      </c>
      <c r="Y1662">
        <f>cleaneddata[[#This Row],[Unit Price]]-cleaneddata[[#This Row],[Discount]]</f>
        <v>161.5</v>
      </c>
      <c r="Z16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63" spans="1:26" x14ac:dyDescent="0.3">
      <c r="A1663">
        <v>2268</v>
      </c>
      <c r="B1663" t="s">
        <v>2724</v>
      </c>
      <c r="C1663" t="s">
        <v>23</v>
      </c>
      <c r="D1663">
        <v>0.08</v>
      </c>
      <c r="E1663">
        <v>259.70999999999998</v>
      </c>
      <c r="F1663">
        <v>66.67</v>
      </c>
      <c r="G1663" t="s">
        <v>2</v>
      </c>
      <c r="H1663" t="s">
        <v>3</v>
      </c>
      <c r="I1663" t="s">
        <v>4</v>
      </c>
      <c r="J1663" t="s">
        <v>5</v>
      </c>
      <c r="K1663" t="s">
        <v>6</v>
      </c>
      <c r="L1663" t="s">
        <v>1002</v>
      </c>
      <c r="M1663">
        <v>0.61</v>
      </c>
      <c r="N1663" t="s">
        <v>8</v>
      </c>
      <c r="O1663" t="s">
        <v>9</v>
      </c>
      <c r="P1663" t="s">
        <v>99</v>
      </c>
      <c r="Q1663" t="s">
        <v>2725</v>
      </c>
      <c r="R1663">
        <v>34639</v>
      </c>
      <c r="S1663" s="1">
        <v>42158</v>
      </c>
      <c r="T1663" s="1">
        <v>42162</v>
      </c>
      <c r="U1663">
        <v>138.22200000000001</v>
      </c>
      <c r="V1663">
        <v>17</v>
      </c>
      <c r="W1663">
        <v>4086.5</v>
      </c>
      <c r="X1663">
        <v>89571</v>
      </c>
      <c r="Y1663">
        <f>cleaneddata[[#This Row],[Unit Price]]-cleaneddata[[#This Row],[Discount]]</f>
        <v>259.63</v>
      </c>
      <c r="Z166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64" spans="1:26" x14ac:dyDescent="0.3">
      <c r="A1664">
        <v>1357</v>
      </c>
      <c r="B1664" t="s">
        <v>2726</v>
      </c>
      <c r="C1664" t="s">
        <v>92</v>
      </c>
      <c r="D1664">
        <v>0.03</v>
      </c>
      <c r="E1664">
        <v>125.99</v>
      </c>
      <c r="F1664">
        <v>7.69</v>
      </c>
      <c r="G1664" t="s">
        <v>14</v>
      </c>
      <c r="H1664" t="s">
        <v>47</v>
      </c>
      <c r="I1664" t="s">
        <v>16</v>
      </c>
      <c r="J1664" t="s">
        <v>111</v>
      </c>
      <c r="K1664" t="s">
        <v>49</v>
      </c>
      <c r="L1664" t="s">
        <v>1025</v>
      </c>
      <c r="M1664">
        <v>0.57999999999999996</v>
      </c>
      <c r="N1664" t="s">
        <v>8</v>
      </c>
      <c r="O1664" t="s">
        <v>28</v>
      </c>
      <c r="P1664" t="s">
        <v>163</v>
      </c>
      <c r="Q1664" t="s">
        <v>2727</v>
      </c>
      <c r="R1664">
        <v>78596</v>
      </c>
      <c r="S1664" s="1">
        <v>42158</v>
      </c>
      <c r="T1664" s="1">
        <v>42160</v>
      </c>
      <c r="U1664">
        <v>500.95800000000003</v>
      </c>
      <c r="V1664">
        <v>9</v>
      </c>
      <c r="W1664">
        <v>981.65</v>
      </c>
      <c r="X1664">
        <v>88184</v>
      </c>
      <c r="Y1664">
        <f>cleaneddata[[#This Row],[Unit Price]]-cleaneddata[[#This Row],[Discount]]</f>
        <v>125.96</v>
      </c>
      <c r="Z16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65" spans="1:26" x14ac:dyDescent="0.3">
      <c r="A1665">
        <v>1737</v>
      </c>
      <c r="B1665" t="s">
        <v>2728</v>
      </c>
      <c r="C1665" t="s">
        <v>46</v>
      </c>
      <c r="D1665">
        <v>0.09</v>
      </c>
      <c r="E1665">
        <v>30.93</v>
      </c>
      <c r="F1665">
        <v>3.92</v>
      </c>
      <c r="G1665" t="s">
        <v>14</v>
      </c>
      <c r="H1665" t="s">
        <v>70</v>
      </c>
      <c r="I1665" t="s">
        <v>4</v>
      </c>
      <c r="J1665" t="s">
        <v>102</v>
      </c>
      <c r="K1665" t="s">
        <v>18</v>
      </c>
      <c r="L1665" t="s">
        <v>1627</v>
      </c>
      <c r="M1665">
        <v>0.44</v>
      </c>
      <c r="N1665" t="s">
        <v>8</v>
      </c>
      <c r="O1665" t="s">
        <v>9</v>
      </c>
      <c r="P1665" t="s">
        <v>73</v>
      </c>
      <c r="Q1665" t="s">
        <v>1530</v>
      </c>
      <c r="R1665">
        <v>27529</v>
      </c>
      <c r="S1665" s="1">
        <v>42158</v>
      </c>
      <c r="T1665" s="1">
        <v>42160</v>
      </c>
      <c r="U1665">
        <v>-130.42400000000001</v>
      </c>
      <c r="V1665">
        <v>16</v>
      </c>
      <c r="W1665">
        <v>451.83</v>
      </c>
      <c r="X1665">
        <v>85866</v>
      </c>
      <c r="Y1665">
        <f>cleaneddata[[#This Row],[Unit Price]]-cleaneddata[[#This Row],[Discount]]</f>
        <v>30.84</v>
      </c>
      <c r="Z166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66" spans="1:26" x14ac:dyDescent="0.3">
      <c r="A1666">
        <v>1737</v>
      </c>
      <c r="B1666" t="s">
        <v>2728</v>
      </c>
      <c r="C1666" t="s">
        <v>46</v>
      </c>
      <c r="D1666">
        <v>0.03</v>
      </c>
      <c r="E1666">
        <v>1.68</v>
      </c>
      <c r="F1666">
        <v>0.7</v>
      </c>
      <c r="G1666" t="s">
        <v>63</v>
      </c>
      <c r="H1666" t="s">
        <v>70</v>
      </c>
      <c r="I1666" t="s">
        <v>24</v>
      </c>
      <c r="J1666" t="s">
        <v>25</v>
      </c>
      <c r="K1666" t="s">
        <v>26</v>
      </c>
      <c r="L1666" t="s">
        <v>2729</v>
      </c>
      <c r="M1666">
        <v>0.6</v>
      </c>
      <c r="N1666" t="s">
        <v>8</v>
      </c>
      <c r="O1666" t="s">
        <v>9</v>
      </c>
      <c r="P1666" t="s">
        <v>73</v>
      </c>
      <c r="Q1666" t="s">
        <v>1530</v>
      </c>
      <c r="R1666">
        <v>27529</v>
      </c>
      <c r="S1666" s="1">
        <v>42158</v>
      </c>
      <c r="T1666" s="1">
        <v>42160</v>
      </c>
      <c r="U1666">
        <v>-106.42100000000001</v>
      </c>
      <c r="V1666">
        <v>11</v>
      </c>
      <c r="W1666">
        <v>20.239999999999998</v>
      </c>
      <c r="X1666">
        <v>85866</v>
      </c>
      <c r="Y1666">
        <f>cleaneddata[[#This Row],[Unit Price]]-cleaneddata[[#This Row],[Discount]]</f>
        <v>1.65</v>
      </c>
      <c r="Z166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67" spans="1:26" x14ac:dyDescent="0.3">
      <c r="A1667">
        <v>1998</v>
      </c>
      <c r="B1667" t="s">
        <v>2730</v>
      </c>
      <c r="C1667" t="s">
        <v>46</v>
      </c>
      <c r="D1667">
        <v>0.06</v>
      </c>
      <c r="E1667">
        <v>4.42</v>
      </c>
      <c r="F1667">
        <v>4.99</v>
      </c>
      <c r="G1667" t="s">
        <v>14</v>
      </c>
      <c r="H1667" t="s">
        <v>70</v>
      </c>
      <c r="I1667" t="s">
        <v>24</v>
      </c>
      <c r="J1667" t="s">
        <v>321</v>
      </c>
      <c r="K1667" t="s">
        <v>49</v>
      </c>
      <c r="L1667" t="s">
        <v>2048</v>
      </c>
      <c r="M1667">
        <v>0.38</v>
      </c>
      <c r="N1667" t="s">
        <v>8</v>
      </c>
      <c r="O1667" t="s">
        <v>87</v>
      </c>
      <c r="P1667" t="s">
        <v>88</v>
      </c>
      <c r="Q1667" t="s">
        <v>2731</v>
      </c>
      <c r="R1667">
        <v>11758</v>
      </c>
      <c r="S1667" s="1">
        <v>42158</v>
      </c>
      <c r="T1667" s="1">
        <v>42160</v>
      </c>
      <c r="U1667">
        <v>-10.435</v>
      </c>
      <c r="V1667">
        <v>3</v>
      </c>
      <c r="W1667">
        <v>14.85</v>
      </c>
      <c r="X1667">
        <v>90568</v>
      </c>
      <c r="Y1667">
        <f>cleaneddata[[#This Row],[Unit Price]]-cleaneddata[[#This Row],[Discount]]</f>
        <v>4.3600000000000003</v>
      </c>
      <c r="Z166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68" spans="1:26" x14ac:dyDescent="0.3">
      <c r="A1668">
        <v>3151</v>
      </c>
      <c r="B1668" t="s">
        <v>929</v>
      </c>
      <c r="C1668" t="s">
        <v>46</v>
      </c>
      <c r="D1668">
        <v>0.01</v>
      </c>
      <c r="E1668">
        <v>145.97999999999999</v>
      </c>
      <c r="F1668">
        <v>46.2</v>
      </c>
      <c r="G1668" t="s">
        <v>2</v>
      </c>
      <c r="H1668" t="s">
        <v>70</v>
      </c>
      <c r="I1668" t="s">
        <v>4</v>
      </c>
      <c r="J1668" t="s">
        <v>5</v>
      </c>
      <c r="K1668" t="s">
        <v>6</v>
      </c>
      <c r="L1668" t="s">
        <v>2732</v>
      </c>
      <c r="M1668">
        <v>0.69</v>
      </c>
      <c r="N1668" t="s">
        <v>8</v>
      </c>
      <c r="O1668" t="s">
        <v>35</v>
      </c>
      <c r="P1668" t="s">
        <v>66</v>
      </c>
      <c r="Q1668" t="s">
        <v>930</v>
      </c>
      <c r="R1668">
        <v>92277</v>
      </c>
      <c r="S1668" s="1">
        <v>42158</v>
      </c>
      <c r="T1668" s="1">
        <v>42158</v>
      </c>
      <c r="U1668">
        <v>-134.512</v>
      </c>
      <c r="V1668">
        <v>9</v>
      </c>
      <c r="W1668">
        <v>1370.79</v>
      </c>
      <c r="X1668">
        <v>88543</v>
      </c>
      <c r="Y1668">
        <f>cleaneddata[[#This Row],[Unit Price]]-cleaneddata[[#This Row],[Discount]]</f>
        <v>145.97</v>
      </c>
      <c r="Z16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69" spans="1:26" x14ac:dyDescent="0.3">
      <c r="A1669">
        <v>754</v>
      </c>
      <c r="B1669" t="s">
        <v>2126</v>
      </c>
      <c r="C1669" t="s">
        <v>13</v>
      </c>
      <c r="D1669">
        <v>0.06</v>
      </c>
      <c r="E1669">
        <v>218.75</v>
      </c>
      <c r="F1669">
        <v>69.64</v>
      </c>
      <c r="G1669" t="s">
        <v>2</v>
      </c>
      <c r="H1669" t="s">
        <v>70</v>
      </c>
      <c r="I1669" t="s">
        <v>4</v>
      </c>
      <c r="J1669" t="s">
        <v>5</v>
      </c>
      <c r="K1669" t="s">
        <v>6</v>
      </c>
      <c r="L1669" t="s">
        <v>850</v>
      </c>
      <c r="M1669">
        <v>0.77</v>
      </c>
      <c r="N1669" t="s">
        <v>8</v>
      </c>
      <c r="O1669" t="s">
        <v>35</v>
      </c>
      <c r="P1669" t="s">
        <v>564</v>
      </c>
      <c r="Q1669" t="s">
        <v>2128</v>
      </c>
      <c r="R1669">
        <v>86314</v>
      </c>
      <c r="S1669" s="1">
        <v>42159</v>
      </c>
      <c r="T1669" s="1">
        <v>42160</v>
      </c>
      <c r="U1669">
        <v>-453.2</v>
      </c>
      <c r="V1669">
        <v>4</v>
      </c>
      <c r="W1669">
        <v>905.4</v>
      </c>
      <c r="X1669">
        <v>90437</v>
      </c>
      <c r="Y1669">
        <f>cleaneddata[[#This Row],[Unit Price]]-cleaneddata[[#This Row],[Discount]]</f>
        <v>218.69</v>
      </c>
      <c r="Z166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70" spans="1:26" x14ac:dyDescent="0.3">
      <c r="A1670">
        <v>1233</v>
      </c>
      <c r="B1670" t="s">
        <v>2073</v>
      </c>
      <c r="C1670" t="s">
        <v>13</v>
      </c>
      <c r="D1670">
        <v>0.09</v>
      </c>
      <c r="E1670">
        <v>99.99</v>
      </c>
      <c r="F1670">
        <v>19.989999999999998</v>
      </c>
      <c r="G1670" t="s">
        <v>14</v>
      </c>
      <c r="H1670" t="s">
        <v>15</v>
      </c>
      <c r="I1670" t="s">
        <v>16</v>
      </c>
      <c r="J1670" t="s">
        <v>17</v>
      </c>
      <c r="K1670" t="s">
        <v>49</v>
      </c>
      <c r="L1670" t="s">
        <v>1556</v>
      </c>
      <c r="M1670">
        <v>0.52</v>
      </c>
      <c r="N1670" t="s">
        <v>8</v>
      </c>
      <c r="O1670" t="s">
        <v>28</v>
      </c>
      <c r="P1670" t="s">
        <v>163</v>
      </c>
      <c r="Q1670" t="s">
        <v>2074</v>
      </c>
      <c r="R1670">
        <v>75028</v>
      </c>
      <c r="S1670" s="1">
        <v>42159</v>
      </c>
      <c r="T1670" s="1">
        <v>42161</v>
      </c>
      <c r="U1670">
        <v>-161.47499999999999</v>
      </c>
      <c r="V1670">
        <v>1</v>
      </c>
      <c r="W1670">
        <v>97.65</v>
      </c>
      <c r="X1670">
        <v>89376</v>
      </c>
      <c r="Y1670">
        <f>cleaneddata[[#This Row],[Unit Price]]-cleaneddata[[#This Row],[Discount]]</f>
        <v>99.899999999999991</v>
      </c>
      <c r="Z167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71" spans="1:26" x14ac:dyDescent="0.3">
      <c r="A1671">
        <v>1233</v>
      </c>
      <c r="B1671" t="s">
        <v>2073</v>
      </c>
      <c r="C1671" t="s">
        <v>13</v>
      </c>
      <c r="D1671">
        <v>0.04</v>
      </c>
      <c r="E1671">
        <v>205.99</v>
      </c>
      <c r="F1671">
        <v>5.26</v>
      </c>
      <c r="G1671" t="s">
        <v>14</v>
      </c>
      <c r="H1671" t="s">
        <v>15</v>
      </c>
      <c r="I1671" t="s">
        <v>16</v>
      </c>
      <c r="J1671" t="s">
        <v>111</v>
      </c>
      <c r="K1671" t="s">
        <v>49</v>
      </c>
      <c r="L1671" t="s">
        <v>1528</v>
      </c>
      <c r="M1671">
        <v>0.56000000000000005</v>
      </c>
      <c r="N1671" t="s">
        <v>8</v>
      </c>
      <c r="O1671" t="s">
        <v>28</v>
      </c>
      <c r="P1671" t="s">
        <v>163</v>
      </c>
      <c r="Q1671" t="s">
        <v>2074</v>
      </c>
      <c r="R1671">
        <v>75028</v>
      </c>
      <c r="S1671" s="1">
        <v>42159</v>
      </c>
      <c r="T1671" s="1">
        <v>42160</v>
      </c>
      <c r="U1671">
        <v>-0.81399999999999995</v>
      </c>
      <c r="V1671">
        <v>6</v>
      </c>
      <c r="W1671">
        <v>1018.61</v>
      </c>
      <c r="X1671">
        <v>89376</v>
      </c>
      <c r="Y1671">
        <f>cleaneddata[[#This Row],[Unit Price]]-cleaneddata[[#This Row],[Discount]]</f>
        <v>205.95000000000002</v>
      </c>
      <c r="Z167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72" spans="1:26" x14ac:dyDescent="0.3">
      <c r="A1672">
        <v>3238</v>
      </c>
      <c r="B1672" t="s">
        <v>2733</v>
      </c>
      <c r="C1672" t="s">
        <v>23</v>
      </c>
      <c r="D1672">
        <v>0.06</v>
      </c>
      <c r="E1672">
        <v>115.99</v>
      </c>
      <c r="F1672">
        <v>5.92</v>
      </c>
      <c r="G1672" t="s">
        <v>14</v>
      </c>
      <c r="H1672" t="s">
        <v>70</v>
      </c>
      <c r="I1672" t="s">
        <v>16</v>
      </c>
      <c r="J1672" t="s">
        <v>111</v>
      </c>
      <c r="K1672" t="s">
        <v>49</v>
      </c>
      <c r="L1672" t="s">
        <v>688</v>
      </c>
      <c r="M1672">
        <v>0.57999999999999996</v>
      </c>
      <c r="N1672" t="s">
        <v>8</v>
      </c>
      <c r="O1672" t="s">
        <v>35</v>
      </c>
      <c r="P1672" t="s">
        <v>115</v>
      </c>
      <c r="Q1672" t="s">
        <v>2734</v>
      </c>
      <c r="R1672">
        <v>97330</v>
      </c>
      <c r="S1672" s="1">
        <v>42159</v>
      </c>
      <c r="T1672" s="1">
        <v>42161</v>
      </c>
      <c r="U1672">
        <v>-13.068</v>
      </c>
      <c r="V1672">
        <v>5</v>
      </c>
      <c r="W1672">
        <v>495.82</v>
      </c>
      <c r="X1672">
        <v>89564</v>
      </c>
      <c r="Y1672">
        <f>cleaneddata[[#This Row],[Unit Price]]-cleaneddata[[#This Row],[Discount]]</f>
        <v>115.92999999999999</v>
      </c>
      <c r="Z167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73" spans="1:26" x14ac:dyDescent="0.3">
      <c r="A1673">
        <v>2391</v>
      </c>
      <c r="B1673" t="s">
        <v>2654</v>
      </c>
      <c r="C1673" t="s">
        <v>46</v>
      </c>
      <c r="D1673">
        <v>0</v>
      </c>
      <c r="E1673">
        <v>999.99</v>
      </c>
      <c r="F1673">
        <v>13.99</v>
      </c>
      <c r="G1673" t="s">
        <v>14</v>
      </c>
      <c r="H1673" t="s">
        <v>70</v>
      </c>
      <c r="I1673" t="s">
        <v>16</v>
      </c>
      <c r="J1673" t="s">
        <v>32</v>
      </c>
      <c r="K1673" t="s">
        <v>120</v>
      </c>
      <c r="L1673" t="s">
        <v>992</v>
      </c>
      <c r="M1673">
        <v>0.36</v>
      </c>
      <c r="N1673" t="s">
        <v>8</v>
      </c>
      <c r="O1673" t="s">
        <v>87</v>
      </c>
      <c r="P1673" t="s">
        <v>88</v>
      </c>
      <c r="Q1673" t="s">
        <v>2656</v>
      </c>
      <c r="R1673">
        <v>11572</v>
      </c>
      <c r="S1673" s="1">
        <v>42159</v>
      </c>
      <c r="T1673" s="1">
        <v>42161</v>
      </c>
      <c r="U1673">
        <v>-1455.9972</v>
      </c>
      <c r="V1673">
        <v>1</v>
      </c>
      <c r="W1673">
        <v>1009.99</v>
      </c>
      <c r="X1673">
        <v>91123</v>
      </c>
      <c r="Y1673">
        <f>cleaneddata[[#This Row],[Unit Price]]-cleaneddata[[#This Row],[Discount]]</f>
        <v>999.99</v>
      </c>
      <c r="Z167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74" spans="1:26" x14ac:dyDescent="0.3">
      <c r="A1674">
        <v>2391</v>
      </c>
      <c r="B1674" t="s">
        <v>2654</v>
      </c>
      <c r="C1674" t="s">
        <v>46</v>
      </c>
      <c r="D1674">
        <v>0.05</v>
      </c>
      <c r="E1674">
        <v>6.48</v>
      </c>
      <c r="F1674">
        <v>5.14</v>
      </c>
      <c r="G1674" t="s">
        <v>63</v>
      </c>
      <c r="H1674" t="s">
        <v>70</v>
      </c>
      <c r="I1674" t="s">
        <v>24</v>
      </c>
      <c r="J1674" t="s">
        <v>64</v>
      </c>
      <c r="K1674" t="s">
        <v>49</v>
      </c>
      <c r="L1674" t="s">
        <v>1721</v>
      </c>
      <c r="M1674">
        <v>0.37</v>
      </c>
      <c r="N1674" t="s">
        <v>8</v>
      </c>
      <c r="O1674" t="s">
        <v>87</v>
      </c>
      <c r="P1674" t="s">
        <v>88</v>
      </c>
      <c r="Q1674" t="s">
        <v>2656</v>
      </c>
      <c r="R1674">
        <v>11572</v>
      </c>
      <c r="S1674" s="1">
        <v>42159</v>
      </c>
      <c r="T1674" s="1">
        <v>42160</v>
      </c>
      <c r="U1674">
        <v>-22.56</v>
      </c>
      <c r="V1674">
        <v>13</v>
      </c>
      <c r="W1674">
        <v>92.16</v>
      </c>
      <c r="X1674">
        <v>91123</v>
      </c>
      <c r="Y1674">
        <f>cleaneddata[[#This Row],[Unit Price]]-cleaneddata[[#This Row],[Discount]]</f>
        <v>6.4300000000000006</v>
      </c>
      <c r="Z167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75" spans="1:26" x14ac:dyDescent="0.3">
      <c r="A1675">
        <v>2548</v>
      </c>
      <c r="B1675" t="s">
        <v>1960</v>
      </c>
      <c r="C1675" t="s">
        <v>46</v>
      </c>
      <c r="D1675">
        <v>0.09</v>
      </c>
      <c r="E1675">
        <v>5.98</v>
      </c>
      <c r="F1675">
        <v>1.67</v>
      </c>
      <c r="G1675" t="s">
        <v>14</v>
      </c>
      <c r="H1675" t="s">
        <v>3</v>
      </c>
      <c r="I1675" t="s">
        <v>24</v>
      </c>
      <c r="J1675" t="s">
        <v>25</v>
      </c>
      <c r="K1675" t="s">
        <v>26</v>
      </c>
      <c r="L1675" t="s">
        <v>2735</v>
      </c>
      <c r="M1675">
        <v>0.51</v>
      </c>
      <c r="N1675" t="s">
        <v>8</v>
      </c>
      <c r="O1675" t="s">
        <v>35</v>
      </c>
      <c r="P1675" t="s">
        <v>66</v>
      </c>
      <c r="Q1675" t="s">
        <v>76</v>
      </c>
      <c r="R1675">
        <v>90068</v>
      </c>
      <c r="S1675" s="1">
        <v>42159</v>
      </c>
      <c r="T1675" s="1">
        <v>42162</v>
      </c>
      <c r="U1675">
        <v>23.87</v>
      </c>
      <c r="V1675">
        <v>81</v>
      </c>
      <c r="W1675">
        <v>448.26</v>
      </c>
      <c r="X1675">
        <v>29889</v>
      </c>
      <c r="Y1675">
        <f>cleaneddata[[#This Row],[Unit Price]]-cleaneddata[[#This Row],[Discount]]</f>
        <v>5.8900000000000006</v>
      </c>
      <c r="Z16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76" spans="1:26" x14ac:dyDescent="0.3">
      <c r="A1676">
        <v>2549</v>
      </c>
      <c r="B1676" t="s">
        <v>2227</v>
      </c>
      <c r="C1676" t="s">
        <v>46</v>
      </c>
      <c r="D1676">
        <v>0.09</v>
      </c>
      <c r="E1676">
        <v>5.98</v>
      </c>
      <c r="F1676">
        <v>1.67</v>
      </c>
      <c r="G1676" t="s">
        <v>14</v>
      </c>
      <c r="H1676" t="s">
        <v>3</v>
      </c>
      <c r="I1676" t="s">
        <v>24</v>
      </c>
      <c r="J1676" t="s">
        <v>25</v>
      </c>
      <c r="K1676" t="s">
        <v>26</v>
      </c>
      <c r="L1676" t="s">
        <v>2735</v>
      </c>
      <c r="M1676">
        <v>0.51</v>
      </c>
      <c r="N1676" t="s">
        <v>8</v>
      </c>
      <c r="O1676" t="s">
        <v>87</v>
      </c>
      <c r="P1676" t="s">
        <v>293</v>
      </c>
      <c r="Q1676" t="s">
        <v>2228</v>
      </c>
      <c r="R1676">
        <v>43213</v>
      </c>
      <c r="S1676" s="1">
        <v>42159</v>
      </c>
      <c r="T1676" s="1">
        <v>42162</v>
      </c>
      <c r="U1676">
        <v>35.805</v>
      </c>
      <c r="V1676">
        <v>20</v>
      </c>
      <c r="W1676">
        <v>110.68</v>
      </c>
      <c r="X1676">
        <v>88658</v>
      </c>
      <c r="Y1676">
        <f>cleaneddata[[#This Row],[Unit Price]]-cleaneddata[[#This Row],[Discount]]</f>
        <v>5.8900000000000006</v>
      </c>
      <c r="Z167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77" spans="1:26" x14ac:dyDescent="0.3">
      <c r="A1677">
        <v>2882</v>
      </c>
      <c r="B1677" t="s">
        <v>647</v>
      </c>
      <c r="C1677" t="s">
        <v>13</v>
      </c>
      <c r="D1677">
        <v>0.09</v>
      </c>
      <c r="E1677">
        <v>363.25</v>
      </c>
      <c r="F1677">
        <v>19.989999999999998</v>
      </c>
      <c r="G1677" t="s">
        <v>14</v>
      </c>
      <c r="H1677" t="s">
        <v>15</v>
      </c>
      <c r="I1677" t="s">
        <v>24</v>
      </c>
      <c r="J1677" t="s">
        <v>71</v>
      </c>
      <c r="K1677" t="s">
        <v>49</v>
      </c>
      <c r="L1677" t="s">
        <v>175</v>
      </c>
      <c r="M1677">
        <v>0.56999999999999995</v>
      </c>
      <c r="N1677" t="s">
        <v>8</v>
      </c>
      <c r="O1677" t="s">
        <v>9</v>
      </c>
      <c r="P1677" t="s">
        <v>73</v>
      </c>
      <c r="Q1677" t="s">
        <v>649</v>
      </c>
      <c r="R1677">
        <v>28206</v>
      </c>
      <c r="S1677" s="1">
        <v>42160</v>
      </c>
      <c r="T1677" s="1">
        <v>42161</v>
      </c>
      <c r="U1677">
        <v>732.26980000000003</v>
      </c>
      <c r="V1677">
        <v>21</v>
      </c>
      <c r="W1677">
        <v>7497.05</v>
      </c>
      <c r="X1677">
        <v>21958</v>
      </c>
      <c r="Y1677">
        <f>cleaneddata[[#This Row],[Unit Price]]-cleaneddata[[#This Row],[Discount]]</f>
        <v>363.16</v>
      </c>
      <c r="Z167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78" spans="1:26" x14ac:dyDescent="0.3">
      <c r="A1678">
        <v>2884</v>
      </c>
      <c r="B1678" t="s">
        <v>1716</v>
      </c>
      <c r="C1678" t="s">
        <v>13</v>
      </c>
      <c r="D1678">
        <v>0.09</v>
      </c>
      <c r="E1678">
        <v>363.25</v>
      </c>
      <c r="F1678">
        <v>19.989999999999998</v>
      </c>
      <c r="G1678" t="s">
        <v>14</v>
      </c>
      <c r="H1678" t="s">
        <v>15</v>
      </c>
      <c r="I1678" t="s">
        <v>24</v>
      </c>
      <c r="J1678" t="s">
        <v>71</v>
      </c>
      <c r="K1678" t="s">
        <v>49</v>
      </c>
      <c r="L1678" t="s">
        <v>175</v>
      </c>
      <c r="M1678">
        <v>0.56999999999999995</v>
      </c>
      <c r="N1678" t="s">
        <v>8</v>
      </c>
      <c r="O1678" t="s">
        <v>87</v>
      </c>
      <c r="P1678" t="s">
        <v>293</v>
      </c>
      <c r="Q1678" t="s">
        <v>1717</v>
      </c>
      <c r="R1678">
        <v>44039</v>
      </c>
      <c r="S1678" s="1">
        <v>42160</v>
      </c>
      <c r="T1678" s="1">
        <v>42161</v>
      </c>
      <c r="U1678">
        <v>1231.6569</v>
      </c>
      <c r="V1678">
        <v>5</v>
      </c>
      <c r="W1678">
        <v>1785.01</v>
      </c>
      <c r="X1678">
        <v>87633</v>
      </c>
      <c r="Y1678">
        <f>cleaneddata[[#This Row],[Unit Price]]-cleaneddata[[#This Row],[Discount]]</f>
        <v>363.16</v>
      </c>
      <c r="Z167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79" spans="1:26" x14ac:dyDescent="0.3">
      <c r="A1679">
        <v>269</v>
      </c>
      <c r="B1679" t="s">
        <v>2736</v>
      </c>
      <c r="C1679" t="s">
        <v>23</v>
      </c>
      <c r="D1679">
        <v>0.09</v>
      </c>
      <c r="E1679">
        <v>35.94</v>
      </c>
      <c r="F1679">
        <v>6.66</v>
      </c>
      <c r="G1679" t="s">
        <v>14</v>
      </c>
      <c r="H1679" t="s">
        <v>47</v>
      </c>
      <c r="I1679" t="s">
        <v>24</v>
      </c>
      <c r="J1679" t="s">
        <v>321</v>
      </c>
      <c r="K1679" t="s">
        <v>49</v>
      </c>
      <c r="L1679" t="s">
        <v>2098</v>
      </c>
      <c r="M1679">
        <v>0.4</v>
      </c>
      <c r="N1679" t="s">
        <v>8</v>
      </c>
      <c r="O1679" t="s">
        <v>35</v>
      </c>
      <c r="P1679" t="s">
        <v>564</v>
      </c>
      <c r="Q1679" t="s">
        <v>2737</v>
      </c>
      <c r="R1679">
        <v>85234</v>
      </c>
      <c r="S1679" s="1">
        <v>42160</v>
      </c>
      <c r="T1679" s="1">
        <v>42165</v>
      </c>
      <c r="U1679">
        <v>144.2928</v>
      </c>
      <c r="V1679">
        <v>6</v>
      </c>
      <c r="W1679">
        <v>209.12</v>
      </c>
      <c r="X1679">
        <v>88942</v>
      </c>
      <c r="Y1679">
        <f>cleaneddata[[#This Row],[Unit Price]]-cleaneddata[[#This Row],[Discount]]</f>
        <v>35.849999999999994</v>
      </c>
      <c r="Z167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80" spans="1:26" x14ac:dyDescent="0.3">
      <c r="A1680">
        <v>269</v>
      </c>
      <c r="B1680" t="s">
        <v>2736</v>
      </c>
      <c r="C1680" t="s">
        <v>23</v>
      </c>
      <c r="D1680">
        <v>0</v>
      </c>
      <c r="E1680">
        <v>170.98</v>
      </c>
      <c r="F1680">
        <v>13.99</v>
      </c>
      <c r="G1680" t="s">
        <v>14</v>
      </c>
      <c r="H1680" t="s">
        <v>47</v>
      </c>
      <c r="I1680" t="s">
        <v>4</v>
      </c>
      <c r="J1680" t="s">
        <v>102</v>
      </c>
      <c r="K1680" t="s">
        <v>120</v>
      </c>
      <c r="L1680" t="s">
        <v>2738</v>
      </c>
      <c r="M1680">
        <v>0.75</v>
      </c>
      <c r="N1680" t="s">
        <v>8</v>
      </c>
      <c r="O1680" t="s">
        <v>35</v>
      </c>
      <c r="P1680" t="s">
        <v>564</v>
      </c>
      <c r="Q1680" t="s">
        <v>2737</v>
      </c>
      <c r="R1680">
        <v>85234</v>
      </c>
      <c r="S1680" s="1">
        <v>42160</v>
      </c>
      <c r="T1680" s="1">
        <v>42167</v>
      </c>
      <c r="U1680">
        <v>888.14729999999997</v>
      </c>
      <c r="V1680">
        <v>7</v>
      </c>
      <c r="W1680">
        <v>1287.17</v>
      </c>
      <c r="X1680">
        <v>88942</v>
      </c>
      <c r="Y1680">
        <f>cleaneddata[[#This Row],[Unit Price]]-cleaneddata[[#This Row],[Discount]]</f>
        <v>170.98</v>
      </c>
      <c r="Z168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81" spans="1:26" x14ac:dyDescent="0.3">
      <c r="A1681">
        <v>269</v>
      </c>
      <c r="B1681" t="s">
        <v>2736</v>
      </c>
      <c r="C1681" t="s">
        <v>23</v>
      </c>
      <c r="D1681">
        <v>0.09</v>
      </c>
      <c r="E1681">
        <v>4.9800000000000004</v>
      </c>
      <c r="F1681">
        <v>7.44</v>
      </c>
      <c r="G1681" t="s">
        <v>14</v>
      </c>
      <c r="H1681" t="s">
        <v>47</v>
      </c>
      <c r="I1681" t="s">
        <v>24</v>
      </c>
      <c r="J1681" t="s">
        <v>64</v>
      </c>
      <c r="K1681" t="s">
        <v>49</v>
      </c>
      <c r="L1681" t="s">
        <v>2150</v>
      </c>
      <c r="M1681">
        <v>0.36</v>
      </c>
      <c r="N1681" t="s">
        <v>8</v>
      </c>
      <c r="O1681" t="s">
        <v>35</v>
      </c>
      <c r="P1681" t="s">
        <v>564</v>
      </c>
      <c r="Q1681" t="s">
        <v>2737</v>
      </c>
      <c r="R1681">
        <v>85234</v>
      </c>
      <c r="S1681" s="1">
        <v>42160</v>
      </c>
      <c r="T1681" s="1">
        <v>42162</v>
      </c>
      <c r="U1681">
        <v>-46.005000000000003</v>
      </c>
      <c r="V1681">
        <v>9</v>
      </c>
      <c r="W1681">
        <v>46.17</v>
      </c>
      <c r="X1681">
        <v>88942</v>
      </c>
      <c r="Y1681">
        <f>cleaneddata[[#This Row],[Unit Price]]-cleaneddata[[#This Row],[Discount]]</f>
        <v>4.8900000000000006</v>
      </c>
      <c r="Z168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82" spans="1:26" x14ac:dyDescent="0.3">
      <c r="A1682">
        <v>272</v>
      </c>
      <c r="B1682" t="s">
        <v>2029</v>
      </c>
      <c r="C1682" t="s">
        <v>23</v>
      </c>
      <c r="D1682">
        <v>0.09</v>
      </c>
      <c r="E1682">
        <v>35.94</v>
      </c>
      <c r="F1682">
        <v>6.66</v>
      </c>
      <c r="G1682" t="s">
        <v>14</v>
      </c>
      <c r="H1682" t="s">
        <v>47</v>
      </c>
      <c r="I1682" t="s">
        <v>24</v>
      </c>
      <c r="J1682" t="s">
        <v>321</v>
      </c>
      <c r="K1682" t="s">
        <v>49</v>
      </c>
      <c r="L1682" t="s">
        <v>2098</v>
      </c>
      <c r="M1682">
        <v>0.4</v>
      </c>
      <c r="N1682" t="s">
        <v>8</v>
      </c>
      <c r="O1682" t="s">
        <v>9</v>
      </c>
      <c r="P1682" t="s">
        <v>73</v>
      </c>
      <c r="Q1682" t="s">
        <v>649</v>
      </c>
      <c r="R1682">
        <v>28204</v>
      </c>
      <c r="S1682" s="1">
        <v>42160</v>
      </c>
      <c r="T1682" s="1">
        <v>42165</v>
      </c>
      <c r="U1682">
        <v>72.1858</v>
      </c>
      <c r="V1682">
        <v>24</v>
      </c>
      <c r="W1682">
        <v>836.47</v>
      </c>
      <c r="X1682">
        <v>36069</v>
      </c>
      <c r="Y1682">
        <f>cleaneddata[[#This Row],[Unit Price]]-cleaneddata[[#This Row],[Discount]]</f>
        <v>35.849999999999994</v>
      </c>
      <c r="Z168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83" spans="1:26" x14ac:dyDescent="0.3">
      <c r="A1683">
        <v>272</v>
      </c>
      <c r="B1683" t="s">
        <v>2029</v>
      </c>
      <c r="C1683" t="s">
        <v>23</v>
      </c>
      <c r="D1683">
        <v>0.09</v>
      </c>
      <c r="E1683">
        <v>4.9800000000000004</v>
      </c>
      <c r="F1683">
        <v>7.44</v>
      </c>
      <c r="G1683" t="s">
        <v>14</v>
      </c>
      <c r="H1683" t="s">
        <v>47</v>
      </c>
      <c r="I1683" t="s">
        <v>24</v>
      </c>
      <c r="J1683" t="s">
        <v>64</v>
      </c>
      <c r="K1683" t="s">
        <v>49</v>
      </c>
      <c r="L1683" t="s">
        <v>2150</v>
      </c>
      <c r="M1683">
        <v>0.36</v>
      </c>
      <c r="N1683" t="s">
        <v>8</v>
      </c>
      <c r="O1683" t="s">
        <v>9</v>
      </c>
      <c r="P1683" t="s">
        <v>73</v>
      </c>
      <c r="Q1683" t="s">
        <v>649</v>
      </c>
      <c r="R1683">
        <v>28204</v>
      </c>
      <c r="S1683" s="1">
        <v>42160</v>
      </c>
      <c r="T1683" s="1">
        <v>42162</v>
      </c>
      <c r="U1683">
        <v>-122.3733</v>
      </c>
      <c r="V1683">
        <v>37</v>
      </c>
      <c r="W1683">
        <v>189.83</v>
      </c>
      <c r="X1683">
        <v>36069</v>
      </c>
      <c r="Y1683">
        <f>cleaneddata[[#This Row],[Unit Price]]-cleaneddata[[#This Row],[Discount]]</f>
        <v>4.8900000000000006</v>
      </c>
      <c r="Z168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84" spans="1:26" x14ac:dyDescent="0.3">
      <c r="A1684">
        <v>518</v>
      </c>
      <c r="B1684" t="s">
        <v>2739</v>
      </c>
      <c r="C1684" t="s">
        <v>23</v>
      </c>
      <c r="D1684">
        <v>7.0000000000000007E-2</v>
      </c>
      <c r="E1684">
        <v>12.64</v>
      </c>
      <c r="F1684">
        <v>4.9800000000000004</v>
      </c>
      <c r="G1684" t="s">
        <v>14</v>
      </c>
      <c r="H1684" t="s">
        <v>47</v>
      </c>
      <c r="I1684" t="s">
        <v>4</v>
      </c>
      <c r="J1684" t="s">
        <v>102</v>
      </c>
      <c r="K1684" t="s">
        <v>18</v>
      </c>
      <c r="L1684" t="s">
        <v>1749</v>
      </c>
      <c r="M1684">
        <v>0.48</v>
      </c>
      <c r="N1684" t="s">
        <v>8</v>
      </c>
      <c r="O1684" t="s">
        <v>28</v>
      </c>
      <c r="P1684" t="s">
        <v>56</v>
      </c>
      <c r="Q1684" t="s">
        <v>1482</v>
      </c>
      <c r="R1684">
        <v>63105</v>
      </c>
      <c r="S1684" s="1">
        <v>42160</v>
      </c>
      <c r="T1684" s="1">
        <v>42167</v>
      </c>
      <c r="U1684">
        <v>113.41500000000001</v>
      </c>
      <c r="V1684">
        <v>16</v>
      </c>
      <c r="W1684">
        <v>199.76</v>
      </c>
      <c r="X1684">
        <v>90867</v>
      </c>
      <c r="Y1684">
        <f>cleaneddata[[#This Row],[Unit Price]]-cleaneddata[[#This Row],[Discount]]</f>
        <v>12.57</v>
      </c>
      <c r="Z168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85" spans="1:26" x14ac:dyDescent="0.3">
      <c r="A1685">
        <v>2506</v>
      </c>
      <c r="B1685" t="s">
        <v>2740</v>
      </c>
      <c r="C1685" t="s">
        <v>92</v>
      </c>
      <c r="D1685">
        <v>0.02</v>
      </c>
      <c r="E1685">
        <v>6.48</v>
      </c>
      <c r="F1685">
        <v>8.74</v>
      </c>
      <c r="G1685" t="s">
        <v>14</v>
      </c>
      <c r="H1685" t="s">
        <v>47</v>
      </c>
      <c r="I1685" t="s">
        <v>24</v>
      </c>
      <c r="J1685" t="s">
        <v>64</v>
      </c>
      <c r="K1685" t="s">
        <v>49</v>
      </c>
      <c r="L1685" t="s">
        <v>2741</v>
      </c>
      <c r="M1685">
        <v>0.36</v>
      </c>
      <c r="N1685" t="s">
        <v>8</v>
      </c>
      <c r="O1685" t="s">
        <v>87</v>
      </c>
      <c r="P1685" t="s">
        <v>224</v>
      </c>
      <c r="Q1685" t="s">
        <v>2742</v>
      </c>
      <c r="R1685">
        <v>6408</v>
      </c>
      <c r="S1685" s="1">
        <v>42160</v>
      </c>
      <c r="T1685" s="1">
        <v>42162</v>
      </c>
      <c r="U1685">
        <v>-6.835</v>
      </c>
      <c r="V1685">
        <v>1</v>
      </c>
      <c r="W1685">
        <v>10.72</v>
      </c>
      <c r="X1685">
        <v>87033</v>
      </c>
      <c r="Y1685">
        <f>cleaneddata[[#This Row],[Unit Price]]-cleaneddata[[#This Row],[Discount]]</f>
        <v>6.4600000000000009</v>
      </c>
      <c r="Z168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86" spans="1:26" x14ac:dyDescent="0.3">
      <c r="A1686">
        <v>2507</v>
      </c>
      <c r="B1686" t="s">
        <v>2743</v>
      </c>
      <c r="C1686" t="s">
        <v>92</v>
      </c>
      <c r="D1686">
        <v>0.06</v>
      </c>
      <c r="E1686">
        <v>699.99</v>
      </c>
      <c r="F1686">
        <v>24.49</v>
      </c>
      <c r="G1686" t="s">
        <v>63</v>
      </c>
      <c r="H1686" t="s">
        <v>47</v>
      </c>
      <c r="I1686" t="s">
        <v>16</v>
      </c>
      <c r="J1686" t="s">
        <v>39</v>
      </c>
      <c r="K1686" t="s">
        <v>40</v>
      </c>
      <c r="L1686" t="s">
        <v>289</v>
      </c>
      <c r="M1686">
        <v>0.41</v>
      </c>
      <c r="N1686" t="s">
        <v>8</v>
      </c>
      <c r="O1686" t="s">
        <v>87</v>
      </c>
      <c r="P1686" t="s">
        <v>307</v>
      </c>
      <c r="Q1686" t="s">
        <v>863</v>
      </c>
      <c r="R1686">
        <v>4401</v>
      </c>
      <c r="S1686" s="1">
        <v>42160</v>
      </c>
      <c r="T1686" s="1">
        <v>42162</v>
      </c>
      <c r="U1686">
        <v>7024.2069000000001</v>
      </c>
      <c r="V1686">
        <v>15</v>
      </c>
      <c r="W1686">
        <v>10180.01</v>
      </c>
      <c r="X1686">
        <v>87033</v>
      </c>
      <c r="Y1686">
        <f>cleaneddata[[#This Row],[Unit Price]]-cleaneddata[[#This Row],[Discount]]</f>
        <v>699.93000000000006</v>
      </c>
      <c r="Z168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87" spans="1:26" x14ac:dyDescent="0.3">
      <c r="A1687">
        <v>2516</v>
      </c>
      <c r="B1687" t="s">
        <v>2744</v>
      </c>
      <c r="C1687" t="s">
        <v>92</v>
      </c>
      <c r="D1687">
        <v>0.02</v>
      </c>
      <c r="E1687">
        <v>17.149999999999999</v>
      </c>
      <c r="F1687">
        <v>4.96</v>
      </c>
      <c r="G1687" t="s">
        <v>14</v>
      </c>
      <c r="H1687" t="s">
        <v>47</v>
      </c>
      <c r="I1687" t="s">
        <v>24</v>
      </c>
      <c r="J1687" t="s">
        <v>54</v>
      </c>
      <c r="K1687" t="s">
        <v>49</v>
      </c>
      <c r="L1687" t="s">
        <v>626</v>
      </c>
      <c r="M1687">
        <v>0.57999999999999996</v>
      </c>
      <c r="N1687" t="s">
        <v>8</v>
      </c>
      <c r="O1687" t="s">
        <v>87</v>
      </c>
      <c r="P1687" t="s">
        <v>373</v>
      </c>
      <c r="Q1687" t="s">
        <v>415</v>
      </c>
      <c r="R1687">
        <v>7631</v>
      </c>
      <c r="S1687" s="1">
        <v>42160</v>
      </c>
      <c r="T1687" s="1">
        <v>42162</v>
      </c>
      <c r="U1687">
        <v>36.494999999999997</v>
      </c>
      <c r="V1687">
        <v>11</v>
      </c>
      <c r="W1687">
        <v>190.85</v>
      </c>
      <c r="X1687">
        <v>87033</v>
      </c>
      <c r="Y1687">
        <f>cleaneddata[[#This Row],[Unit Price]]-cleaneddata[[#This Row],[Discount]]</f>
        <v>17.13</v>
      </c>
      <c r="Z168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88" spans="1:26" x14ac:dyDescent="0.3">
      <c r="A1688">
        <v>2520</v>
      </c>
      <c r="B1688" t="s">
        <v>2745</v>
      </c>
      <c r="C1688" t="s">
        <v>92</v>
      </c>
      <c r="D1688">
        <v>7.0000000000000007E-2</v>
      </c>
      <c r="E1688">
        <v>30.98</v>
      </c>
      <c r="F1688">
        <v>8.74</v>
      </c>
      <c r="G1688" t="s">
        <v>14</v>
      </c>
      <c r="H1688" t="s">
        <v>47</v>
      </c>
      <c r="I1688" t="s">
        <v>24</v>
      </c>
      <c r="J1688" t="s">
        <v>64</v>
      </c>
      <c r="K1688" t="s">
        <v>49</v>
      </c>
      <c r="L1688" t="s">
        <v>2562</v>
      </c>
      <c r="M1688">
        <v>0.4</v>
      </c>
      <c r="N1688" t="s">
        <v>8</v>
      </c>
      <c r="O1688" t="s">
        <v>87</v>
      </c>
      <c r="P1688" t="s">
        <v>560</v>
      </c>
      <c r="Q1688" t="s">
        <v>2746</v>
      </c>
      <c r="R1688">
        <v>2908</v>
      </c>
      <c r="S1688" s="1">
        <v>42160</v>
      </c>
      <c r="T1688" s="1">
        <v>42161</v>
      </c>
      <c r="U1688">
        <v>255.76920000000001</v>
      </c>
      <c r="V1688">
        <v>12</v>
      </c>
      <c r="W1688">
        <v>370.68</v>
      </c>
      <c r="X1688">
        <v>87033</v>
      </c>
      <c r="Y1688">
        <f>cleaneddata[[#This Row],[Unit Price]]-cleaneddata[[#This Row],[Discount]]</f>
        <v>30.91</v>
      </c>
      <c r="Z168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89" spans="1:26" x14ac:dyDescent="0.3">
      <c r="A1689">
        <v>2522</v>
      </c>
      <c r="B1689" t="s">
        <v>2747</v>
      </c>
      <c r="C1689" t="s">
        <v>92</v>
      </c>
      <c r="D1689">
        <v>0.04</v>
      </c>
      <c r="E1689">
        <v>1360.14</v>
      </c>
      <c r="F1689">
        <v>14.7</v>
      </c>
      <c r="G1689" t="s">
        <v>2</v>
      </c>
      <c r="H1689" t="s">
        <v>47</v>
      </c>
      <c r="I1689" t="s">
        <v>16</v>
      </c>
      <c r="J1689" t="s">
        <v>32</v>
      </c>
      <c r="K1689" t="s">
        <v>33</v>
      </c>
      <c r="L1689" t="s">
        <v>2748</v>
      </c>
      <c r="M1689">
        <v>0.59</v>
      </c>
      <c r="N1689" t="s">
        <v>8</v>
      </c>
      <c r="O1689" t="s">
        <v>87</v>
      </c>
      <c r="P1689" t="s">
        <v>609</v>
      </c>
      <c r="Q1689" t="s">
        <v>904</v>
      </c>
      <c r="R1689">
        <v>5401</v>
      </c>
      <c r="S1689" s="1">
        <v>42160</v>
      </c>
      <c r="T1689" s="1">
        <v>42163</v>
      </c>
      <c r="U1689">
        <v>2639.01</v>
      </c>
      <c r="V1689">
        <v>6</v>
      </c>
      <c r="W1689">
        <v>7303.05</v>
      </c>
      <c r="X1689">
        <v>87033</v>
      </c>
      <c r="Y1689">
        <f>cleaneddata[[#This Row],[Unit Price]]-cleaneddata[[#This Row],[Discount]]</f>
        <v>1360.1000000000001</v>
      </c>
      <c r="Z168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90" spans="1:26" x14ac:dyDescent="0.3">
      <c r="A1690">
        <v>699</v>
      </c>
      <c r="B1690" t="s">
        <v>837</v>
      </c>
      <c r="C1690" t="s">
        <v>1</v>
      </c>
      <c r="D1690">
        <v>0.02</v>
      </c>
      <c r="E1690">
        <v>6.47</v>
      </c>
      <c r="F1690">
        <v>1.22</v>
      </c>
      <c r="G1690" t="s">
        <v>14</v>
      </c>
      <c r="H1690" t="s">
        <v>15</v>
      </c>
      <c r="I1690" t="s">
        <v>24</v>
      </c>
      <c r="J1690" t="s">
        <v>25</v>
      </c>
      <c r="K1690" t="s">
        <v>26</v>
      </c>
      <c r="L1690" t="s">
        <v>2749</v>
      </c>
      <c r="M1690">
        <v>0.4</v>
      </c>
      <c r="N1690" t="s">
        <v>8</v>
      </c>
      <c r="O1690" t="s">
        <v>35</v>
      </c>
      <c r="P1690" t="s">
        <v>66</v>
      </c>
      <c r="Q1690" t="s">
        <v>76</v>
      </c>
      <c r="R1690">
        <v>90041</v>
      </c>
      <c r="S1690" s="1">
        <v>42161</v>
      </c>
      <c r="T1690" s="1">
        <v>42162</v>
      </c>
      <c r="U1690">
        <v>40.200000000000003</v>
      </c>
      <c r="V1690">
        <v>30</v>
      </c>
      <c r="W1690">
        <v>193.95</v>
      </c>
      <c r="X1690">
        <v>55392</v>
      </c>
      <c r="Y1690">
        <f>cleaneddata[[#This Row],[Unit Price]]-cleaneddata[[#This Row],[Discount]]</f>
        <v>6.45</v>
      </c>
      <c r="Z169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91" spans="1:26" x14ac:dyDescent="0.3">
      <c r="A1691">
        <v>699</v>
      </c>
      <c r="B1691" t="s">
        <v>837</v>
      </c>
      <c r="C1691" t="s">
        <v>1</v>
      </c>
      <c r="D1691">
        <v>7.0000000000000007E-2</v>
      </c>
      <c r="E1691">
        <v>2.84</v>
      </c>
      <c r="F1691">
        <v>0.93</v>
      </c>
      <c r="G1691" t="s">
        <v>14</v>
      </c>
      <c r="H1691" t="s">
        <v>15</v>
      </c>
      <c r="I1691" t="s">
        <v>24</v>
      </c>
      <c r="J1691" t="s">
        <v>25</v>
      </c>
      <c r="K1691" t="s">
        <v>26</v>
      </c>
      <c r="L1691" t="s">
        <v>268</v>
      </c>
      <c r="M1691">
        <v>0.54</v>
      </c>
      <c r="N1691" t="s">
        <v>8</v>
      </c>
      <c r="O1691" t="s">
        <v>35</v>
      </c>
      <c r="P1691" t="s">
        <v>66</v>
      </c>
      <c r="Q1691" t="s">
        <v>76</v>
      </c>
      <c r="R1691">
        <v>90041</v>
      </c>
      <c r="S1691" s="1">
        <v>42161</v>
      </c>
      <c r="T1691" s="1">
        <v>42163</v>
      </c>
      <c r="U1691">
        <v>3.21</v>
      </c>
      <c r="V1691">
        <v>59</v>
      </c>
      <c r="W1691">
        <v>158.80000000000001</v>
      </c>
      <c r="X1691">
        <v>55392</v>
      </c>
      <c r="Y1691">
        <f>cleaneddata[[#This Row],[Unit Price]]-cleaneddata[[#This Row],[Discount]]</f>
        <v>2.77</v>
      </c>
      <c r="Z169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692" spans="1:26" x14ac:dyDescent="0.3">
      <c r="A1692">
        <v>711</v>
      </c>
      <c r="B1692" t="s">
        <v>2750</v>
      </c>
      <c r="C1692" t="s">
        <v>1</v>
      </c>
      <c r="D1692">
        <v>7.0000000000000007E-2</v>
      </c>
      <c r="E1692">
        <v>2.84</v>
      </c>
      <c r="F1692">
        <v>0.93</v>
      </c>
      <c r="G1692" t="s">
        <v>14</v>
      </c>
      <c r="H1692" t="s">
        <v>15</v>
      </c>
      <c r="I1692" t="s">
        <v>24</v>
      </c>
      <c r="J1692" t="s">
        <v>25</v>
      </c>
      <c r="K1692" t="s">
        <v>26</v>
      </c>
      <c r="L1692" t="s">
        <v>268</v>
      </c>
      <c r="M1692">
        <v>0.54</v>
      </c>
      <c r="N1692" t="s">
        <v>8</v>
      </c>
      <c r="O1692" t="s">
        <v>87</v>
      </c>
      <c r="P1692" t="s">
        <v>379</v>
      </c>
      <c r="Q1692" t="s">
        <v>2751</v>
      </c>
      <c r="R1692">
        <v>2152</v>
      </c>
      <c r="S1692" s="1">
        <v>42161</v>
      </c>
      <c r="T1692" s="1">
        <v>42163</v>
      </c>
      <c r="U1692">
        <v>3.8519999999999999</v>
      </c>
      <c r="V1692">
        <v>15</v>
      </c>
      <c r="W1692">
        <v>40.369999999999997</v>
      </c>
      <c r="X1692">
        <v>87978</v>
      </c>
      <c r="Y1692">
        <f>cleaneddata[[#This Row],[Unit Price]]-cleaneddata[[#This Row],[Discount]]</f>
        <v>2.77</v>
      </c>
      <c r="Z169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693" spans="1:26" x14ac:dyDescent="0.3">
      <c r="A1693">
        <v>3045</v>
      </c>
      <c r="B1693" t="s">
        <v>2752</v>
      </c>
      <c r="C1693" t="s">
        <v>13</v>
      </c>
      <c r="D1693">
        <v>0</v>
      </c>
      <c r="E1693">
        <v>6.48</v>
      </c>
      <c r="F1693">
        <v>5.19</v>
      </c>
      <c r="G1693" t="s">
        <v>14</v>
      </c>
      <c r="H1693" t="s">
        <v>3</v>
      </c>
      <c r="I1693" t="s">
        <v>24</v>
      </c>
      <c r="J1693" t="s">
        <v>64</v>
      </c>
      <c r="K1693" t="s">
        <v>49</v>
      </c>
      <c r="L1693" t="s">
        <v>2753</v>
      </c>
      <c r="M1693">
        <v>0.37</v>
      </c>
      <c r="N1693" t="s">
        <v>8</v>
      </c>
      <c r="O1693" t="s">
        <v>28</v>
      </c>
      <c r="P1693" t="s">
        <v>513</v>
      </c>
      <c r="Q1693" t="s">
        <v>2754</v>
      </c>
      <c r="R1693">
        <v>66048</v>
      </c>
      <c r="S1693" s="1">
        <v>42161</v>
      </c>
      <c r="T1693" s="1">
        <v>42162</v>
      </c>
      <c r="U1693">
        <v>-14.074999999999999</v>
      </c>
      <c r="V1693">
        <v>12</v>
      </c>
      <c r="W1693">
        <v>84.04</v>
      </c>
      <c r="X1693">
        <v>86104</v>
      </c>
      <c r="Y1693">
        <f>cleaneddata[[#This Row],[Unit Price]]-cleaneddata[[#This Row],[Discount]]</f>
        <v>6.48</v>
      </c>
      <c r="Z169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94" spans="1:26" x14ac:dyDescent="0.3">
      <c r="A1694">
        <v>1142</v>
      </c>
      <c r="B1694" t="s">
        <v>174</v>
      </c>
      <c r="C1694" t="s">
        <v>92</v>
      </c>
      <c r="D1694">
        <v>0.01</v>
      </c>
      <c r="E1694">
        <v>18.97</v>
      </c>
      <c r="F1694">
        <v>9.5399999999999991</v>
      </c>
      <c r="G1694" t="s">
        <v>14</v>
      </c>
      <c r="H1694" t="s">
        <v>47</v>
      </c>
      <c r="I1694" t="s">
        <v>24</v>
      </c>
      <c r="J1694" t="s">
        <v>64</v>
      </c>
      <c r="K1694" t="s">
        <v>49</v>
      </c>
      <c r="L1694" t="s">
        <v>455</v>
      </c>
      <c r="M1694">
        <v>0.37</v>
      </c>
      <c r="N1694" t="s">
        <v>8</v>
      </c>
      <c r="O1694" t="s">
        <v>28</v>
      </c>
      <c r="P1694" t="s">
        <v>163</v>
      </c>
      <c r="Q1694" t="s">
        <v>176</v>
      </c>
      <c r="R1694">
        <v>76706</v>
      </c>
      <c r="S1694" s="1">
        <v>42161</v>
      </c>
      <c r="T1694" s="1">
        <v>42164</v>
      </c>
      <c r="U1694">
        <v>85.875</v>
      </c>
      <c r="V1694">
        <v>11</v>
      </c>
      <c r="W1694">
        <v>227.67</v>
      </c>
      <c r="X1694">
        <v>86575</v>
      </c>
      <c r="Y1694">
        <f>cleaneddata[[#This Row],[Unit Price]]-cleaneddata[[#This Row],[Discount]]</f>
        <v>18.959999999999997</v>
      </c>
      <c r="Z16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95" spans="1:26" x14ac:dyDescent="0.3">
      <c r="A1695">
        <v>2107</v>
      </c>
      <c r="B1695" t="s">
        <v>2755</v>
      </c>
      <c r="C1695" t="s">
        <v>92</v>
      </c>
      <c r="D1695">
        <v>0.05</v>
      </c>
      <c r="E1695">
        <v>399.98</v>
      </c>
      <c r="F1695">
        <v>12.06</v>
      </c>
      <c r="G1695" t="s">
        <v>2</v>
      </c>
      <c r="H1695" t="s">
        <v>70</v>
      </c>
      <c r="I1695" t="s">
        <v>16</v>
      </c>
      <c r="J1695" t="s">
        <v>32</v>
      </c>
      <c r="K1695" t="s">
        <v>6</v>
      </c>
      <c r="L1695" t="s">
        <v>159</v>
      </c>
      <c r="M1695">
        <v>0.56000000000000005</v>
      </c>
      <c r="N1695" t="s">
        <v>8</v>
      </c>
      <c r="O1695" t="s">
        <v>28</v>
      </c>
      <c r="P1695" t="s">
        <v>79</v>
      </c>
      <c r="Q1695" t="s">
        <v>509</v>
      </c>
      <c r="R1695">
        <v>60601</v>
      </c>
      <c r="S1695" s="1">
        <v>42161</v>
      </c>
      <c r="T1695" s="1">
        <v>42161</v>
      </c>
      <c r="U1695">
        <v>567.59</v>
      </c>
      <c r="V1695">
        <v>24</v>
      </c>
      <c r="W1695">
        <v>9666.7199999999993</v>
      </c>
      <c r="X1695">
        <v>39015</v>
      </c>
      <c r="Y1695">
        <f>cleaneddata[[#This Row],[Unit Price]]-cleaneddata[[#This Row],[Discount]]</f>
        <v>399.93</v>
      </c>
      <c r="Z169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96" spans="1:26" x14ac:dyDescent="0.3">
      <c r="A1696">
        <v>2107</v>
      </c>
      <c r="B1696" t="s">
        <v>2755</v>
      </c>
      <c r="C1696" t="s">
        <v>92</v>
      </c>
      <c r="D1696">
        <v>7.0000000000000007E-2</v>
      </c>
      <c r="E1696">
        <v>6.48</v>
      </c>
      <c r="F1696">
        <v>5.74</v>
      </c>
      <c r="G1696" t="s">
        <v>14</v>
      </c>
      <c r="H1696" t="s">
        <v>70</v>
      </c>
      <c r="I1696" t="s">
        <v>24</v>
      </c>
      <c r="J1696" t="s">
        <v>64</v>
      </c>
      <c r="K1696" t="s">
        <v>49</v>
      </c>
      <c r="L1696" t="s">
        <v>2756</v>
      </c>
      <c r="M1696">
        <v>0.37</v>
      </c>
      <c r="N1696" t="s">
        <v>8</v>
      </c>
      <c r="O1696" t="s">
        <v>28</v>
      </c>
      <c r="P1696" t="s">
        <v>79</v>
      </c>
      <c r="Q1696" t="s">
        <v>509</v>
      </c>
      <c r="R1696">
        <v>60601</v>
      </c>
      <c r="S1696" s="1">
        <v>42161</v>
      </c>
      <c r="T1696" s="1">
        <v>42161</v>
      </c>
      <c r="U1696">
        <v>-28.45</v>
      </c>
      <c r="V1696">
        <v>20</v>
      </c>
      <c r="W1696">
        <v>134.58000000000001</v>
      </c>
      <c r="X1696">
        <v>39015</v>
      </c>
      <c r="Y1696">
        <f>cleaneddata[[#This Row],[Unit Price]]-cleaneddata[[#This Row],[Discount]]</f>
        <v>6.41</v>
      </c>
      <c r="Z169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97" spans="1:26" x14ac:dyDescent="0.3">
      <c r="A1697">
        <v>2108</v>
      </c>
      <c r="B1697" t="s">
        <v>2757</v>
      </c>
      <c r="C1697" t="s">
        <v>92</v>
      </c>
      <c r="D1697">
        <v>7.0000000000000007E-2</v>
      </c>
      <c r="E1697">
        <v>6.48</v>
      </c>
      <c r="F1697">
        <v>5.74</v>
      </c>
      <c r="G1697" t="s">
        <v>14</v>
      </c>
      <c r="H1697" t="s">
        <v>70</v>
      </c>
      <c r="I1697" t="s">
        <v>24</v>
      </c>
      <c r="J1697" t="s">
        <v>64</v>
      </c>
      <c r="K1697" t="s">
        <v>49</v>
      </c>
      <c r="L1697" t="s">
        <v>2756</v>
      </c>
      <c r="M1697">
        <v>0.37</v>
      </c>
      <c r="N1697" t="s">
        <v>8</v>
      </c>
      <c r="O1697" t="s">
        <v>28</v>
      </c>
      <c r="P1697" t="s">
        <v>56</v>
      </c>
      <c r="Q1697" t="s">
        <v>2758</v>
      </c>
      <c r="R1697">
        <v>63129</v>
      </c>
      <c r="S1697" s="1">
        <v>42161</v>
      </c>
      <c r="T1697" s="1">
        <v>42161</v>
      </c>
      <c r="U1697">
        <v>-14.225</v>
      </c>
      <c r="V1697">
        <v>5</v>
      </c>
      <c r="W1697">
        <v>33.65</v>
      </c>
      <c r="X1697">
        <v>87862</v>
      </c>
      <c r="Y1697">
        <f>cleaneddata[[#This Row],[Unit Price]]-cleaneddata[[#This Row],[Discount]]</f>
        <v>6.41</v>
      </c>
      <c r="Z169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698" spans="1:26" x14ac:dyDescent="0.3">
      <c r="A1698">
        <v>2848</v>
      </c>
      <c r="B1698" t="s">
        <v>2759</v>
      </c>
      <c r="C1698" t="s">
        <v>92</v>
      </c>
      <c r="D1698">
        <v>0</v>
      </c>
      <c r="E1698">
        <v>49.99</v>
      </c>
      <c r="F1698">
        <v>19.989999999999998</v>
      </c>
      <c r="G1698" t="s">
        <v>14</v>
      </c>
      <c r="H1698" t="s">
        <v>70</v>
      </c>
      <c r="I1698" t="s">
        <v>16</v>
      </c>
      <c r="J1698" t="s">
        <v>17</v>
      </c>
      <c r="K1698" t="s">
        <v>49</v>
      </c>
      <c r="L1698" t="s">
        <v>1264</v>
      </c>
      <c r="M1698">
        <v>0.41</v>
      </c>
      <c r="N1698" t="s">
        <v>8</v>
      </c>
      <c r="O1698" t="s">
        <v>9</v>
      </c>
      <c r="P1698" t="s">
        <v>376</v>
      </c>
      <c r="Q1698" t="s">
        <v>1613</v>
      </c>
      <c r="R1698">
        <v>38401</v>
      </c>
      <c r="S1698" s="1">
        <v>42161</v>
      </c>
      <c r="T1698" s="1">
        <v>42163</v>
      </c>
      <c r="U1698">
        <v>38.886000000000003</v>
      </c>
      <c r="V1698">
        <v>16</v>
      </c>
      <c r="W1698">
        <v>832.97</v>
      </c>
      <c r="X1698">
        <v>85929</v>
      </c>
      <c r="Y1698">
        <f>cleaneddata[[#This Row],[Unit Price]]-cleaneddata[[#This Row],[Discount]]</f>
        <v>49.99</v>
      </c>
      <c r="Z16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699" spans="1:26" x14ac:dyDescent="0.3">
      <c r="A1699">
        <v>1106</v>
      </c>
      <c r="B1699" t="s">
        <v>2557</v>
      </c>
      <c r="C1699" t="s">
        <v>46</v>
      </c>
      <c r="D1699">
        <v>0.08</v>
      </c>
      <c r="E1699">
        <v>140.81</v>
      </c>
      <c r="F1699">
        <v>24.49</v>
      </c>
      <c r="G1699" t="s">
        <v>14</v>
      </c>
      <c r="H1699" t="s">
        <v>15</v>
      </c>
      <c r="I1699" t="s">
        <v>4</v>
      </c>
      <c r="J1699" t="s">
        <v>85</v>
      </c>
      <c r="K1699" t="s">
        <v>40</v>
      </c>
      <c r="L1699" t="s">
        <v>2760</v>
      </c>
      <c r="M1699">
        <v>0.56999999999999995</v>
      </c>
      <c r="N1699" t="s">
        <v>8</v>
      </c>
      <c r="O1699" t="s">
        <v>28</v>
      </c>
      <c r="P1699" t="s">
        <v>163</v>
      </c>
      <c r="Q1699" t="s">
        <v>530</v>
      </c>
      <c r="R1699">
        <v>75220</v>
      </c>
      <c r="S1699" s="1">
        <v>42161</v>
      </c>
      <c r="T1699" s="1">
        <v>42163</v>
      </c>
      <c r="U1699">
        <v>1232.79</v>
      </c>
      <c r="V1699">
        <v>81</v>
      </c>
      <c r="W1699">
        <v>11272.77</v>
      </c>
      <c r="X1699">
        <v>45824</v>
      </c>
      <c r="Y1699">
        <f>cleaneddata[[#This Row],[Unit Price]]-cleaneddata[[#This Row],[Discount]]</f>
        <v>140.72999999999999</v>
      </c>
      <c r="Z169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00" spans="1:26" x14ac:dyDescent="0.3">
      <c r="A1700">
        <v>1340</v>
      </c>
      <c r="B1700" t="s">
        <v>1060</v>
      </c>
      <c r="C1700" t="s">
        <v>46</v>
      </c>
      <c r="D1700">
        <v>7.0000000000000007E-2</v>
      </c>
      <c r="E1700">
        <v>3.98</v>
      </c>
      <c r="F1700">
        <v>0.83</v>
      </c>
      <c r="G1700" t="s">
        <v>14</v>
      </c>
      <c r="H1700" t="s">
        <v>47</v>
      </c>
      <c r="I1700" t="s">
        <v>24</v>
      </c>
      <c r="J1700" t="s">
        <v>25</v>
      </c>
      <c r="K1700" t="s">
        <v>26</v>
      </c>
      <c r="L1700" t="s">
        <v>2761</v>
      </c>
      <c r="M1700">
        <v>0.51</v>
      </c>
      <c r="N1700" t="s">
        <v>8</v>
      </c>
      <c r="O1700" t="s">
        <v>87</v>
      </c>
      <c r="P1700" t="s">
        <v>88</v>
      </c>
      <c r="Q1700" t="s">
        <v>89</v>
      </c>
      <c r="R1700">
        <v>10170</v>
      </c>
      <c r="S1700" s="1">
        <v>42161</v>
      </c>
      <c r="T1700" s="1">
        <v>42164</v>
      </c>
      <c r="U1700">
        <v>27.38</v>
      </c>
      <c r="V1700">
        <v>76</v>
      </c>
      <c r="W1700">
        <v>282.85000000000002</v>
      </c>
      <c r="X1700">
        <v>24455</v>
      </c>
      <c r="Y1700">
        <f>cleaneddata[[#This Row],[Unit Price]]-cleaneddata[[#This Row],[Discount]]</f>
        <v>3.91</v>
      </c>
      <c r="Z170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01" spans="1:26" x14ac:dyDescent="0.3">
      <c r="A1701">
        <v>1341</v>
      </c>
      <c r="B1701" t="s">
        <v>1062</v>
      </c>
      <c r="C1701" t="s">
        <v>46</v>
      </c>
      <c r="D1701">
        <v>0</v>
      </c>
      <c r="E1701">
        <v>20.89</v>
      </c>
      <c r="F1701">
        <v>1.99</v>
      </c>
      <c r="G1701" t="s">
        <v>14</v>
      </c>
      <c r="H1701" t="s">
        <v>47</v>
      </c>
      <c r="I1701" t="s">
        <v>16</v>
      </c>
      <c r="J1701" t="s">
        <v>17</v>
      </c>
      <c r="K1701" t="s">
        <v>18</v>
      </c>
      <c r="L1701" t="s">
        <v>2762</v>
      </c>
      <c r="M1701">
        <v>0.48</v>
      </c>
      <c r="N1701" t="s">
        <v>8</v>
      </c>
      <c r="O1701" t="s">
        <v>87</v>
      </c>
      <c r="P1701" t="s">
        <v>296</v>
      </c>
      <c r="Q1701" t="s">
        <v>1063</v>
      </c>
      <c r="R1701">
        <v>17201</v>
      </c>
      <c r="S1701" s="1">
        <v>42161</v>
      </c>
      <c r="T1701" s="1">
        <v>42163</v>
      </c>
      <c r="U1701">
        <v>-5.2949999999999999</v>
      </c>
      <c r="V1701">
        <v>4</v>
      </c>
      <c r="W1701">
        <v>84.56</v>
      </c>
      <c r="X1701">
        <v>91245</v>
      </c>
      <c r="Y1701">
        <f>cleaneddata[[#This Row],[Unit Price]]-cleaneddata[[#This Row],[Discount]]</f>
        <v>20.89</v>
      </c>
      <c r="Z170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02" spans="1:26" x14ac:dyDescent="0.3">
      <c r="A1702">
        <v>1341</v>
      </c>
      <c r="B1702" t="s">
        <v>1062</v>
      </c>
      <c r="C1702" t="s">
        <v>46</v>
      </c>
      <c r="D1702">
        <v>7.0000000000000007E-2</v>
      </c>
      <c r="E1702">
        <v>3.98</v>
      </c>
      <c r="F1702">
        <v>0.83</v>
      </c>
      <c r="G1702" t="s">
        <v>14</v>
      </c>
      <c r="H1702" t="s">
        <v>47</v>
      </c>
      <c r="I1702" t="s">
        <v>24</v>
      </c>
      <c r="J1702" t="s">
        <v>25</v>
      </c>
      <c r="K1702" t="s">
        <v>26</v>
      </c>
      <c r="L1702" t="s">
        <v>2761</v>
      </c>
      <c r="M1702">
        <v>0.51</v>
      </c>
      <c r="N1702" t="s">
        <v>8</v>
      </c>
      <c r="O1702" t="s">
        <v>87</v>
      </c>
      <c r="P1702" t="s">
        <v>296</v>
      </c>
      <c r="Q1702" t="s">
        <v>1063</v>
      </c>
      <c r="R1702">
        <v>17201</v>
      </c>
      <c r="S1702" s="1">
        <v>42161</v>
      </c>
      <c r="T1702" s="1">
        <v>42164</v>
      </c>
      <c r="U1702">
        <v>41.07</v>
      </c>
      <c r="V1702">
        <v>19</v>
      </c>
      <c r="W1702">
        <v>70.709999999999994</v>
      </c>
      <c r="X1702">
        <v>91245</v>
      </c>
      <c r="Y1702">
        <f>cleaneddata[[#This Row],[Unit Price]]-cleaneddata[[#This Row],[Discount]]</f>
        <v>3.91</v>
      </c>
      <c r="Z170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03" spans="1:26" x14ac:dyDescent="0.3">
      <c r="A1703">
        <v>2432</v>
      </c>
      <c r="B1703" t="s">
        <v>2547</v>
      </c>
      <c r="C1703" t="s">
        <v>46</v>
      </c>
      <c r="D1703">
        <v>0.09</v>
      </c>
      <c r="E1703">
        <v>5.4</v>
      </c>
      <c r="F1703">
        <v>7.78</v>
      </c>
      <c r="G1703" t="s">
        <v>63</v>
      </c>
      <c r="H1703" t="s">
        <v>15</v>
      </c>
      <c r="I1703" t="s">
        <v>24</v>
      </c>
      <c r="J1703" t="s">
        <v>48</v>
      </c>
      <c r="K1703" t="s">
        <v>49</v>
      </c>
      <c r="L1703" t="s">
        <v>1460</v>
      </c>
      <c r="M1703">
        <v>0.37</v>
      </c>
      <c r="N1703" t="s">
        <v>8</v>
      </c>
      <c r="O1703" t="s">
        <v>28</v>
      </c>
      <c r="P1703" t="s">
        <v>183</v>
      </c>
      <c r="Q1703" t="s">
        <v>2548</v>
      </c>
      <c r="R1703">
        <v>73110</v>
      </c>
      <c r="S1703" s="1">
        <v>42161</v>
      </c>
      <c r="T1703" s="1">
        <v>42163</v>
      </c>
      <c r="U1703">
        <v>-34.764499999999998</v>
      </c>
      <c r="V1703">
        <v>6</v>
      </c>
      <c r="W1703">
        <v>37.380000000000003</v>
      </c>
      <c r="X1703">
        <v>89097</v>
      </c>
      <c r="Y1703">
        <f>cleaneddata[[#This Row],[Unit Price]]-cleaneddata[[#This Row],[Discount]]</f>
        <v>5.3100000000000005</v>
      </c>
      <c r="Z170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04" spans="1:26" x14ac:dyDescent="0.3">
      <c r="A1704">
        <v>1374</v>
      </c>
      <c r="B1704" t="s">
        <v>2763</v>
      </c>
      <c r="C1704" t="s">
        <v>1</v>
      </c>
      <c r="D1704">
        <v>0.06</v>
      </c>
      <c r="E1704">
        <v>44.01</v>
      </c>
      <c r="F1704">
        <v>3.5</v>
      </c>
      <c r="G1704" t="s">
        <v>14</v>
      </c>
      <c r="H1704" t="s">
        <v>47</v>
      </c>
      <c r="I1704" t="s">
        <v>24</v>
      </c>
      <c r="J1704" t="s">
        <v>71</v>
      </c>
      <c r="K1704" t="s">
        <v>49</v>
      </c>
      <c r="L1704" t="s">
        <v>2764</v>
      </c>
      <c r="M1704">
        <v>0.59</v>
      </c>
      <c r="N1704" t="s">
        <v>8</v>
      </c>
      <c r="O1704" t="s">
        <v>35</v>
      </c>
      <c r="P1704" t="s">
        <v>66</v>
      </c>
      <c r="Q1704" t="s">
        <v>2509</v>
      </c>
      <c r="R1704">
        <v>95207</v>
      </c>
      <c r="S1704" s="1">
        <v>42162</v>
      </c>
      <c r="T1704" s="1">
        <v>42163</v>
      </c>
      <c r="U1704">
        <v>-21.231999999999999</v>
      </c>
      <c r="V1704">
        <v>1</v>
      </c>
      <c r="W1704">
        <v>46.94</v>
      </c>
      <c r="X1704">
        <v>88212</v>
      </c>
      <c r="Y1704">
        <f>cleaneddata[[#This Row],[Unit Price]]-cleaneddata[[#This Row],[Discount]]</f>
        <v>43.949999999999996</v>
      </c>
      <c r="Z170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05" spans="1:26" x14ac:dyDescent="0.3">
      <c r="A1705">
        <v>2794</v>
      </c>
      <c r="B1705" t="s">
        <v>1745</v>
      </c>
      <c r="C1705" t="s">
        <v>13</v>
      </c>
      <c r="D1705">
        <v>7.0000000000000007E-2</v>
      </c>
      <c r="E1705">
        <v>4.76</v>
      </c>
      <c r="F1705">
        <v>0.88</v>
      </c>
      <c r="G1705" t="s">
        <v>14</v>
      </c>
      <c r="H1705" t="s">
        <v>70</v>
      </c>
      <c r="I1705" t="s">
        <v>24</v>
      </c>
      <c r="J1705" t="s">
        <v>64</v>
      </c>
      <c r="K1705" t="s">
        <v>26</v>
      </c>
      <c r="L1705" t="s">
        <v>2418</v>
      </c>
      <c r="M1705">
        <v>0.39</v>
      </c>
      <c r="N1705" t="s">
        <v>8</v>
      </c>
      <c r="O1705" t="s">
        <v>28</v>
      </c>
      <c r="P1705" t="s">
        <v>189</v>
      </c>
      <c r="Q1705" t="s">
        <v>1746</v>
      </c>
      <c r="R1705">
        <v>50158</v>
      </c>
      <c r="S1705" s="1">
        <v>42162</v>
      </c>
      <c r="T1705" s="1">
        <v>42162</v>
      </c>
      <c r="U1705">
        <v>15.8148</v>
      </c>
      <c r="V1705">
        <v>5</v>
      </c>
      <c r="W1705">
        <v>22.92</v>
      </c>
      <c r="X1705">
        <v>87555</v>
      </c>
      <c r="Y1705">
        <f>cleaneddata[[#This Row],[Unit Price]]-cleaneddata[[#This Row],[Discount]]</f>
        <v>4.6899999999999995</v>
      </c>
      <c r="Z17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06" spans="1:26" x14ac:dyDescent="0.3">
      <c r="A1706">
        <v>737</v>
      </c>
      <c r="B1706" t="s">
        <v>2765</v>
      </c>
      <c r="C1706" t="s">
        <v>23</v>
      </c>
      <c r="D1706">
        <v>0.02</v>
      </c>
      <c r="E1706">
        <v>48.04</v>
      </c>
      <c r="F1706">
        <v>5.79</v>
      </c>
      <c r="G1706" t="s">
        <v>14</v>
      </c>
      <c r="H1706" t="s">
        <v>15</v>
      </c>
      <c r="I1706" t="s">
        <v>24</v>
      </c>
      <c r="J1706" t="s">
        <v>64</v>
      </c>
      <c r="K1706" t="s">
        <v>49</v>
      </c>
      <c r="L1706" t="s">
        <v>2177</v>
      </c>
      <c r="M1706">
        <v>0.37</v>
      </c>
      <c r="N1706" t="s">
        <v>8</v>
      </c>
      <c r="O1706" t="s">
        <v>87</v>
      </c>
      <c r="P1706" t="s">
        <v>373</v>
      </c>
      <c r="Q1706" t="s">
        <v>2766</v>
      </c>
      <c r="R1706">
        <v>7003</v>
      </c>
      <c r="S1706" s="1">
        <v>42162</v>
      </c>
      <c r="T1706" s="1">
        <v>42169</v>
      </c>
      <c r="U1706">
        <v>422.45249999999999</v>
      </c>
      <c r="V1706">
        <v>12</v>
      </c>
      <c r="W1706">
        <v>612.25</v>
      </c>
      <c r="X1706">
        <v>90360</v>
      </c>
      <c r="Y1706">
        <f>cleaneddata[[#This Row],[Unit Price]]-cleaneddata[[#This Row],[Discount]]</f>
        <v>48.019999999999996</v>
      </c>
      <c r="Z170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07" spans="1:26" x14ac:dyDescent="0.3">
      <c r="A1707">
        <v>1384</v>
      </c>
      <c r="B1707" t="s">
        <v>2767</v>
      </c>
      <c r="C1707" t="s">
        <v>23</v>
      </c>
      <c r="D1707">
        <v>0.02</v>
      </c>
      <c r="E1707">
        <v>70.97</v>
      </c>
      <c r="F1707">
        <v>3.5</v>
      </c>
      <c r="G1707" t="s">
        <v>14</v>
      </c>
      <c r="H1707" t="s">
        <v>15</v>
      </c>
      <c r="I1707" t="s">
        <v>24</v>
      </c>
      <c r="J1707" t="s">
        <v>71</v>
      </c>
      <c r="K1707" t="s">
        <v>49</v>
      </c>
      <c r="L1707" t="s">
        <v>2153</v>
      </c>
      <c r="M1707">
        <v>0.59</v>
      </c>
      <c r="N1707" t="s">
        <v>8</v>
      </c>
      <c r="O1707" t="s">
        <v>9</v>
      </c>
      <c r="P1707" t="s">
        <v>218</v>
      </c>
      <c r="Q1707" t="s">
        <v>2708</v>
      </c>
      <c r="R1707">
        <v>22304</v>
      </c>
      <c r="S1707" s="1">
        <v>42162</v>
      </c>
      <c r="T1707" s="1">
        <v>42169</v>
      </c>
      <c r="U1707">
        <v>23.616</v>
      </c>
      <c r="V1707">
        <v>21</v>
      </c>
      <c r="W1707">
        <v>1533.59</v>
      </c>
      <c r="X1707">
        <v>89408</v>
      </c>
      <c r="Y1707">
        <f>cleaneddata[[#This Row],[Unit Price]]-cleaneddata[[#This Row],[Discount]]</f>
        <v>70.95</v>
      </c>
      <c r="Z170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08" spans="1:26" x14ac:dyDescent="0.3">
      <c r="A1708">
        <v>1672</v>
      </c>
      <c r="B1708" t="s">
        <v>2768</v>
      </c>
      <c r="C1708" t="s">
        <v>23</v>
      </c>
      <c r="D1708">
        <v>0.02</v>
      </c>
      <c r="E1708">
        <v>284.98</v>
      </c>
      <c r="F1708">
        <v>69.55</v>
      </c>
      <c r="G1708" t="s">
        <v>2</v>
      </c>
      <c r="H1708" t="s">
        <v>3</v>
      </c>
      <c r="I1708" t="s">
        <v>4</v>
      </c>
      <c r="J1708" t="s">
        <v>85</v>
      </c>
      <c r="K1708" t="s">
        <v>33</v>
      </c>
      <c r="L1708" t="s">
        <v>1391</v>
      </c>
      <c r="M1708">
        <v>0.6</v>
      </c>
      <c r="N1708" t="s">
        <v>8</v>
      </c>
      <c r="O1708" t="s">
        <v>9</v>
      </c>
      <c r="P1708" t="s">
        <v>218</v>
      </c>
      <c r="Q1708" t="s">
        <v>2769</v>
      </c>
      <c r="R1708">
        <v>22901</v>
      </c>
      <c r="S1708" s="1">
        <v>42162</v>
      </c>
      <c r="T1708" s="1">
        <v>42167</v>
      </c>
      <c r="U1708">
        <v>15.528</v>
      </c>
      <c r="V1708">
        <v>3</v>
      </c>
      <c r="W1708">
        <v>926.3</v>
      </c>
      <c r="X1708">
        <v>86723</v>
      </c>
      <c r="Y1708">
        <f>cleaneddata[[#This Row],[Unit Price]]-cleaneddata[[#This Row],[Discount]]</f>
        <v>284.96000000000004</v>
      </c>
      <c r="Z170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09" spans="1:26" x14ac:dyDescent="0.3">
      <c r="A1709">
        <v>1672</v>
      </c>
      <c r="B1709" t="s">
        <v>2768</v>
      </c>
      <c r="C1709" t="s">
        <v>23</v>
      </c>
      <c r="D1709">
        <v>0.08</v>
      </c>
      <c r="E1709">
        <v>55.48</v>
      </c>
      <c r="F1709">
        <v>14.3</v>
      </c>
      <c r="G1709" t="s">
        <v>14</v>
      </c>
      <c r="H1709" t="s">
        <v>3</v>
      </c>
      <c r="I1709" t="s">
        <v>24</v>
      </c>
      <c r="J1709" t="s">
        <v>64</v>
      </c>
      <c r="K1709" t="s">
        <v>49</v>
      </c>
      <c r="L1709" t="s">
        <v>823</v>
      </c>
      <c r="M1709">
        <v>0.37</v>
      </c>
      <c r="N1709" t="s">
        <v>8</v>
      </c>
      <c r="O1709" t="s">
        <v>9</v>
      </c>
      <c r="P1709" t="s">
        <v>218</v>
      </c>
      <c r="Q1709" t="s">
        <v>2769</v>
      </c>
      <c r="R1709">
        <v>22901</v>
      </c>
      <c r="S1709" s="1">
        <v>42162</v>
      </c>
      <c r="T1709" s="1">
        <v>42164</v>
      </c>
      <c r="U1709">
        <v>-225.56379999999999</v>
      </c>
      <c r="V1709">
        <v>17</v>
      </c>
      <c r="W1709">
        <v>942.53</v>
      </c>
      <c r="X1709">
        <v>86723</v>
      </c>
      <c r="Y1709">
        <f>cleaneddata[[#This Row],[Unit Price]]-cleaneddata[[#This Row],[Discount]]</f>
        <v>55.4</v>
      </c>
      <c r="Z170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10" spans="1:26" x14ac:dyDescent="0.3">
      <c r="A1710">
        <v>3397</v>
      </c>
      <c r="B1710" t="s">
        <v>1560</v>
      </c>
      <c r="C1710" t="s">
        <v>23</v>
      </c>
      <c r="D1710">
        <v>0</v>
      </c>
      <c r="E1710">
        <v>1270.99</v>
      </c>
      <c r="F1710">
        <v>19.989999999999998</v>
      </c>
      <c r="G1710" t="s">
        <v>14</v>
      </c>
      <c r="H1710" t="s">
        <v>3</v>
      </c>
      <c r="I1710" t="s">
        <v>24</v>
      </c>
      <c r="J1710" t="s">
        <v>48</v>
      </c>
      <c r="K1710" t="s">
        <v>49</v>
      </c>
      <c r="L1710" t="s">
        <v>628</v>
      </c>
      <c r="M1710">
        <v>0.35</v>
      </c>
      <c r="N1710" t="s">
        <v>8</v>
      </c>
      <c r="O1710" t="s">
        <v>28</v>
      </c>
      <c r="P1710" t="s">
        <v>79</v>
      </c>
      <c r="Q1710" t="s">
        <v>1562</v>
      </c>
      <c r="R1710">
        <v>61832</v>
      </c>
      <c r="S1710" s="1">
        <v>42162</v>
      </c>
      <c r="T1710" s="1">
        <v>42164</v>
      </c>
      <c r="U1710">
        <v>6384.4389000000001</v>
      </c>
      <c r="V1710">
        <v>7</v>
      </c>
      <c r="W1710">
        <v>9252.81</v>
      </c>
      <c r="X1710">
        <v>87535</v>
      </c>
      <c r="Y1710">
        <f>cleaneddata[[#This Row],[Unit Price]]-cleaneddata[[#This Row],[Discount]]</f>
        <v>1270.99</v>
      </c>
      <c r="Z171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11" spans="1:26" x14ac:dyDescent="0.3">
      <c r="A1711">
        <v>92</v>
      </c>
      <c r="B1711" t="s">
        <v>2519</v>
      </c>
      <c r="C1711" t="s">
        <v>92</v>
      </c>
      <c r="D1711">
        <v>0.04</v>
      </c>
      <c r="E1711">
        <v>12.98</v>
      </c>
      <c r="F1711">
        <v>3.14</v>
      </c>
      <c r="G1711" t="s">
        <v>63</v>
      </c>
      <c r="H1711" t="s">
        <v>70</v>
      </c>
      <c r="I1711" t="s">
        <v>24</v>
      </c>
      <c r="J1711" t="s">
        <v>544</v>
      </c>
      <c r="K1711" t="s">
        <v>18</v>
      </c>
      <c r="L1711" t="s">
        <v>545</v>
      </c>
      <c r="M1711">
        <v>0.6</v>
      </c>
      <c r="N1711" t="s">
        <v>8</v>
      </c>
      <c r="O1711" t="s">
        <v>9</v>
      </c>
      <c r="P1711" t="s">
        <v>144</v>
      </c>
      <c r="Q1711" t="s">
        <v>2521</v>
      </c>
      <c r="R1711">
        <v>70056</v>
      </c>
      <c r="S1711" s="1">
        <v>42162</v>
      </c>
      <c r="T1711" s="1">
        <v>42164</v>
      </c>
      <c r="U1711">
        <v>22.818000000000001</v>
      </c>
      <c r="V1711">
        <v>16</v>
      </c>
      <c r="W1711">
        <v>216.04</v>
      </c>
      <c r="X1711">
        <v>87178</v>
      </c>
      <c r="Y1711">
        <f>cleaneddata[[#This Row],[Unit Price]]-cleaneddata[[#This Row],[Discount]]</f>
        <v>12.940000000000001</v>
      </c>
      <c r="Z171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12" spans="1:26" x14ac:dyDescent="0.3">
      <c r="A1712">
        <v>2583</v>
      </c>
      <c r="B1712" t="s">
        <v>2770</v>
      </c>
      <c r="C1712" t="s">
        <v>92</v>
      </c>
      <c r="D1712">
        <v>0.04</v>
      </c>
      <c r="E1712">
        <v>510.14</v>
      </c>
      <c r="F1712">
        <v>14.7</v>
      </c>
      <c r="G1712" t="s">
        <v>2</v>
      </c>
      <c r="H1712" t="s">
        <v>47</v>
      </c>
      <c r="I1712" t="s">
        <v>16</v>
      </c>
      <c r="J1712" t="s">
        <v>32</v>
      </c>
      <c r="K1712" t="s">
        <v>33</v>
      </c>
      <c r="L1712" t="s">
        <v>2771</v>
      </c>
      <c r="M1712">
        <v>0.56000000000000005</v>
      </c>
      <c r="N1712" t="s">
        <v>8</v>
      </c>
      <c r="O1712" t="s">
        <v>28</v>
      </c>
      <c r="P1712" t="s">
        <v>265</v>
      </c>
      <c r="Q1712" t="s">
        <v>2772</v>
      </c>
      <c r="R1712">
        <v>49423</v>
      </c>
      <c r="S1712" s="1">
        <v>42162</v>
      </c>
      <c r="T1712" s="1">
        <v>42164</v>
      </c>
      <c r="U1712">
        <v>-251.40389999999999</v>
      </c>
      <c r="V1712">
        <v>3</v>
      </c>
      <c r="W1712">
        <v>1527.97</v>
      </c>
      <c r="X1712">
        <v>89657</v>
      </c>
      <c r="Y1712">
        <f>cleaneddata[[#This Row],[Unit Price]]-cleaneddata[[#This Row],[Discount]]</f>
        <v>510.09999999999997</v>
      </c>
      <c r="Z171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13" spans="1:26" x14ac:dyDescent="0.3">
      <c r="A1713">
        <v>2583</v>
      </c>
      <c r="B1713" t="s">
        <v>2770</v>
      </c>
      <c r="C1713" t="s">
        <v>92</v>
      </c>
      <c r="D1713">
        <v>0</v>
      </c>
      <c r="E1713">
        <v>4.76</v>
      </c>
      <c r="F1713">
        <v>3.01</v>
      </c>
      <c r="G1713" t="s">
        <v>14</v>
      </c>
      <c r="H1713" t="s">
        <v>47</v>
      </c>
      <c r="I1713" t="s">
        <v>24</v>
      </c>
      <c r="J1713" t="s">
        <v>64</v>
      </c>
      <c r="K1713" t="s">
        <v>26</v>
      </c>
      <c r="L1713" t="s">
        <v>2773</v>
      </c>
      <c r="M1713">
        <v>0.36</v>
      </c>
      <c r="N1713" t="s">
        <v>8</v>
      </c>
      <c r="O1713" t="s">
        <v>28</v>
      </c>
      <c r="P1713" t="s">
        <v>265</v>
      </c>
      <c r="Q1713" t="s">
        <v>2772</v>
      </c>
      <c r="R1713">
        <v>49423</v>
      </c>
      <c r="S1713" s="1">
        <v>42162</v>
      </c>
      <c r="T1713" s="1">
        <v>42164</v>
      </c>
      <c r="U1713">
        <v>-2.3450000000000002</v>
      </c>
      <c r="V1713">
        <v>23</v>
      </c>
      <c r="W1713">
        <v>110.86</v>
      </c>
      <c r="X1713">
        <v>89657</v>
      </c>
      <c r="Y1713">
        <f>cleaneddata[[#This Row],[Unit Price]]-cleaneddata[[#This Row],[Discount]]</f>
        <v>4.76</v>
      </c>
      <c r="Z171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14" spans="1:26" x14ac:dyDescent="0.3">
      <c r="A1714">
        <v>2920</v>
      </c>
      <c r="B1714" t="s">
        <v>2774</v>
      </c>
      <c r="C1714" t="s">
        <v>92</v>
      </c>
      <c r="D1714">
        <v>0.05</v>
      </c>
      <c r="E1714">
        <v>535.64</v>
      </c>
      <c r="F1714">
        <v>14.7</v>
      </c>
      <c r="G1714" t="s">
        <v>2</v>
      </c>
      <c r="H1714" t="s">
        <v>47</v>
      </c>
      <c r="I1714" t="s">
        <v>16</v>
      </c>
      <c r="J1714" t="s">
        <v>32</v>
      </c>
      <c r="K1714" t="s">
        <v>33</v>
      </c>
      <c r="L1714" t="s">
        <v>1442</v>
      </c>
      <c r="M1714">
        <v>0.59</v>
      </c>
      <c r="N1714" t="s">
        <v>8</v>
      </c>
      <c r="O1714" t="s">
        <v>28</v>
      </c>
      <c r="P1714" t="s">
        <v>79</v>
      </c>
      <c r="Q1714" t="s">
        <v>509</v>
      </c>
      <c r="R1714">
        <v>60603</v>
      </c>
      <c r="S1714" s="1">
        <v>42162</v>
      </c>
      <c r="T1714" s="1">
        <v>42164</v>
      </c>
      <c r="U1714">
        <v>-1220.9145000000001</v>
      </c>
      <c r="V1714">
        <v>2</v>
      </c>
      <c r="W1714">
        <v>1068.5999999999999</v>
      </c>
      <c r="X1714">
        <v>59365</v>
      </c>
      <c r="Y1714">
        <f>cleaneddata[[#This Row],[Unit Price]]-cleaneddata[[#This Row],[Discount]]</f>
        <v>535.59</v>
      </c>
      <c r="Z171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15" spans="1:26" x14ac:dyDescent="0.3">
      <c r="A1715">
        <v>3005</v>
      </c>
      <c r="B1715" t="s">
        <v>2775</v>
      </c>
      <c r="C1715" t="s">
        <v>1</v>
      </c>
      <c r="D1715">
        <v>0.05</v>
      </c>
      <c r="E1715">
        <v>122.99</v>
      </c>
      <c r="F1715">
        <v>19.989999999999998</v>
      </c>
      <c r="G1715" t="s">
        <v>63</v>
      </c>
      <c r="H1715" t="s">
        <v>70</v>
      </c>
      <c r="I1715" t="s">
        <v>24</v>
      </c>
      <c r="J1715" t="s">
        <v>48</v>
      </c>
      <c r="K1715" t="s">
        <v>49</v>
      </c>
      <c r="L1715" t="s">
        <v>2400</v>
      </c>
      <c r="M1715">
        <v>0.37</v>
      </c>
      <c r="N1715" t="s">
        <v>8</v>
      </c>
      <c r="O1715" t="s">
        <v>35</v>
      </c>
      <c r="P1715" t="s">
        <v>466</v>
      </c>
      <c r="Q1715" t="s">
        <v>1484</v>
      </c>
      <c r="R1715">
        <v>83814</v>
      </c>
      <c r="S1715" s="1">
        <v>42163</v>
      </c>
      <c r="T1715" s="1">
        <v>42166</v>
      </c>
      <c r="U1715">
        <v>1039.7541000000001</v>
      </c>
      <c r="V1715">
        <v>12</v>
      </c>
      <c r="W1715">
        <v>1506.89</v>
      </c>
      <c r="X1715">
        <v>91389</v>
      </c>
      <c r="Y1715">
        <f>cleaneddata[[#This Row],[Unit Price]]-cleaneddata[[#This Row],[Discount]]</f>
        <v>122.94</v>
      </c>
      <c r="Z171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16" spans="1:26" x14ac:dyDescent="0.3">
      <c r="A1716">
        <v>2638</v>
      </c>
      <c r="B1716" t="s">
        <v>2776</v>
      </c>
      <c r="C1716" t="s">
        <v>23</v>
      </c>
      <c r="D1716">
        <v>0.05</v>
      </c>
      <c r="E1716">
        <v>100.97</v>
      </c>
      <c r="F1716">
        <v>7.18</v>
      </c>
      <c r="G1716" t="s">
        <v>63</v>
      </c>
      <c r="H1716" t="s">
        <v>15</v>
      </c>
      <c r="I1716" t="s">
        <v>16</v>
      </c>
      <c r="J1716" t="s">
        <v>17</v>
      </c>
      <c r="K1716" t="s">
        <v>49</v>
      </c>
      <c r="L1716" t="s">
        <v>2777</v>
      </c>
      <c r="M1716">
        <v>0.46</v>
      </c>
      <c r="N1716" t="s">
        <v>8</v>
      </c>
      <c r="O1716" t="s">
        <v>35</v>
      </c>
      <c r="P1716" t="s">
        <v>466</v>
      </c>
      <c r="Q1716" t="s">
        <v>2555</v>
      </c>
      <c r="R1716">
        <v>83704</v>
      </c>
      <c r="S1716" s="1">
        <v>42163</v>
      </c>
      <c r="T1716" s="1">
        <v>42163</v>
      </c>
      <c r="U1716">
        <v>881.46810000000005</v>
      </c>
      <c r="V1716">
        <v>13</v>
      </c>
      <c r="W1716">
        <v>1277.49</v>
      </c>
      <c r="X1716">
        <v>90951</v>
      </c>
      <c r="Y1716">
        <f>cleaneddata[[#This Row],[Unit Price]]-cleaneddata[[#This Row],[Discount]]</f>
        <v>100.92</v>
      </c>
      <c r="Z171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17" spans="1:26" x14ac:dyDescent="0.3">
      <c r="A1717">
        <v>3137</v>
      </c>
      <c r="B1717" t="s">
        <v>2778</v>
      </c>
      <c r="C1717" t="s">
        <v>46</v>
      </c>
      <c r="D1717">
        <v>0.09</v>
      </c>
      <c r="E1717">
        <v>304.99</v>
      </c>
      <c r="F1717">
        <v>19.989999999999998</v>
      </c>
      <c r="G1717" t="s">
        <v>14</v>
      </c>
      <c r="H1717" t="s">
        <v>70</v>
      </c>
      <c r="I1717" t="s">
        <v>24</v>
      </c>
      <c r="J1717" t="s">
        <v>48</v>
      </c>
      <c r="K1717" t="s">
        <v>49</v>
      </c>
      <c r="L1717" t="s">
        <v>2779</v>
      </c>
      <c r="M1717">
        <v>0.4</v>
      </c>
      <c r="N1717" t="s">
        <v>8</v>
      </c>
      <c r="O1717" t="s">
        <v>87</v>
      </c>
      <c r="P1717" t="s">
        <v>1332</v>
      </c>
      <c r="Q1717" t="s">
        <v>2780</v>
      </c>
      <c r="R1717">
        <v>3246</v>
      </c>
      <c r="S1717" s="1">
        <v>42163</v>
      </c>
      <c r="T1717" s="1">
        <v>42164</v>
      </c>
      <c r="U1717">
        <v>1623.9494999999999</v>
      </c>
      <c r="V1717">
        <v>8</v>
      </c>
      <c r="W1717">
        <v>2353.5500000000002</v>
      </c>
      <c r="X1717">
        <v>86795</v>
      </c>
      <c r="Y1717">
        <f>cleaneddata[[#This Row],[Unit Price]]-cleaneddata[[#This Row],[Discount]]</f>
        <v>304.90000000000003</v>
      </c>
      <c r="Z171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18" spans="1:26" x14ac:dyDescent="0.3">
      <c r="A1718">
        <v>349</v>
      </c>
      <c r="B1718" t="s">
        <v>101</v>
      </c>
      <c r="C1718" t="s">
        <v>1</v>
      </c>
      <c r="D1718">
        <v>0</v>
      </c>
      <c r="E1718">
        <v>8.34</v>
      </c>
      <c r="F1718">
        <v>2.64</v>
      </c>
      <c r="G1718" t="s">
        <v>63</v>
      </c>
      <c r="H1718" t="s">
        <v>47</v>
      </c>
      <c r="I1718" t="s">
        <v>24</v>
      </c>
      <c r="J1718" t="s">
        <v>544</v>
      </c>
      <c r="K1718" t="s">
        <v>18</v>
      </c>
      <c r="L1718" t="s">
        <v>859</v>
      </c>
      <c r="M1718">
        <v>0.59</v>
      </c>
      <c r="N1718" t="s">
        <v>8</v>
      </c>
      <c r="O1718" t="s">
        <v>9</v>
      </c>
      <c r="P1718" t="s">
        <v>99</v>
      </c>
      <c r="Q1718" t="s">
        <v>104</v>
      </c>
      <c r="R1718">
        <v>33132</v>
      </c>
      <c r="S1718" s="1">
        <v>42164</v>
      </c>
      <c r="T1718" s="1">
        <v>42166</v>
      </c>
      <c r="U1718">
        <v>5.8624999999999998</v>
      </c>
      <c r="V1718">
        <v>23</v>
      </c>
      <c r="W1718">
        <v>212.89</v>
      </c>
      <c r="X1718">
        <v>17446</v>
      </c>
      <c r="Y1718">
        <f>cleaneddata[[#This Row],[Unit Price]]-cleaneddata[[#This Row],[Discount]]</f>
        <v>8.34</v>
      </c>
      <c r="Z171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19" spans="1:26" x14ac:dyDescent="0.3">
      <c r="A1719">
        <v>351</v>
      </c>
      <c r="B1719" t="s">
        <v>105</v>
      </c>
      <c r="C1719" t="s">
        <v>1</v>
      </c>
      <c r="D1719">
        <v>0</v>
      </c>
      <c r="E1719">
        <v>8.34</v>
      </c>
      <c r="F1719">
        <v>2.64</v>
      </c>
      <c r="G1719" t="s">
        <v>63</v>
      </c>
      <c r="H1719" t="s">
        <v>47</v>
      </c>
      <c r="I1719" t="s">
        <v>24</v>
      </c>
      <c r="J1719" t="s">
        <v>544</v>
      </c>
      <c r="K1719" t="s">
        <v>18</v>
      </c>
      <c r="L1719" t="s">
        <v>859</v>
      </c>
      <c r="M1719">
        <v>0.59</v>
      </c>
      <c r="N1719" t="s">
        <v>8</v>
      </c>
      <c r="O1719" t="s">
        <v>87</v>
      </c>
      <c r="P1719" t="s">
        <v>88</v>
      </c>
      <c r="Q1719" t="s">
        <v>106</v>
      </c>
      <c r="R1719">
        <v>13601</v>
      </c>
      <c r="S1719" s="1">
        <v>42164</v>
      </c>
      <c r="T1719" s="1">
        <v>42166</v>
      </c>
      <c r="U1719">
        <v>10.5</v>
      </c>
      <c r="V1719">
        <v>6</v>
      </c>
      <c r="W1719">
        <v>55.54</v>
      </c>
      <c r="X1719">
        <v>88685</v>
      </c>
      <c r="Y1719">
        <f>cleaneddata[[#This Row],[Unit Price]]-cleaneddata[[#This Row],[Discount]]</f>
        <v>8.34</v>
      </c>
      <c r="Z171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20" spans="1:26" x14ac:dyDescent="0.3">
      <c r="A1720">
        <v>2584</v>
      </c>
      <c r="B1720" t="s">
        <v>2781</v>
      </c>
      <c r="C1720" t="s">
        <v>1</v>
      </c>
      <c r="D1720">
        <v>0.04</v>
      </c>
      <c r="E1720">
        <v>6.3</v>
      </c>
      <c r="F1720">
        <v>0.5</v>
      </c>
      <c r="G1720" t="s">
        <v>14</v>
      </c>
      <c r="H1720" t="s">
        <v>47</v>
      </c>
      <c r="I1720" t="s">
        <v>24</v>
      </c>
      <c r="J1720" t="s">
        <v>128</v>
      </c>
      <c r="K1720" t="s">
        <v>49</v>
      </c>
      <c r="L1720" t="s">
        <v>802</v>
      </c>
      <c r="M1720">
        <v>0.39</v>
      </c>
      <c r="N1720" t="s">
        <v>8</v>
      </c>
      <c r="O1720" t="s">
        <v>28</v>
      </c>
      <c r="P1720" t="s">
        <v>265</v>
      </c>
      <c r="Q1720" t="s">
        <v>2782</v>
      </c>
      <c r="R1720">
        <v>48141</v>
      </c>
      <c r="S1720" s="1">
        <v>42164</v>
      </c>
      <c r="T1720" s="1">
        <v>42166</v>
      </c>
      <c r="U1720">
        <v>67.606200000000001</v>
      </c>
      <c r="V1720">
        <v>15</v>
      </c>
      <c r="W1720">
        <v>97.98</v>
      </c>
      <c r="X1720">
        <v>89658</v>
      </c>
      <c r="Y1720">
        <f>cleaneddata[[#This Row],[Unit Price]]-cleaneddata[[#This Row],[Discount]]</f>
        <v>6.26</v>
      </c>
      <c r="Z172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21" spans="1:26" x14ac:dyDescent="0.3">
      <c r="A1721">
        <v>1151</v>
      </c>
      <c r="B1721" t="s">
        <v>2783</v>
      </c>
      <c r="C1721" t="s">
        <v>23</v>
      </c>
      <c r="D1721">
        <v>0.05</v>
      </c>
      <c r="E1721">
        <v>7.59</v>
      </c>
      <c r="F1721">
        <v>4</v>
      </c>
      <c r="G1721" t="s">
        <v>14</v>
      </c>
      <c r="H1721" t="s">
        <v>70</v>
      </c>
      <c r="I1721" t="s">
        <v>4</v>
      </c>
      <c r="J1721" t="s">
        <v>102</v>
      </c>
      <c r="K1721" t="s">
        <v>26</v>
      </c>
      <c r="L1721" t="s">
        <v>1663</v>
      </c>
      <c r="M1721">
        <v>0.42</v>
      </c>
      <c r="N1721" t="s">
        <v>8</v>
      </c>
      <c r="O1721" t="s">
        <v>87</v>
      </c>
      <c r="P1721" t="s">
        <v>379</v>
      </c>
      <c r="Q1721" t="s">
        <v>2784</v>
      </c>
      <c r="R1721">
        <v>1075</v>
      </c>
      <c r="S1721" s="1">
        <v>42164</v>
      </c>
      <c r="T1721" s="1">
        <v>42164</v>
      </c>
      <c r="U1721">
        <v>6.0926999999999998</v>
      </c>
      <c r="V1721">
        <v>1</v>
      </c>
      <c r="W1721">
        <v>8.83</v>
      </c>
      <c r="X1721">
        <v>91344</v>
      </c>
      <c r="Y1721">
        <f>cleaneddata[[#This Row],[Unit Price]]-cleaneddata[[#This Row],[Discount]]</f>
        <v>7.54</v>
      </c>
      <c r="Z172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22" spans="1:26" x14ac:dyDescent="0.3">
      <c r="A1722">
        <v>218</v>
      </c>
      <c r="B1722" t="s">
        <v>2785</v>
      </c>
      <c r="C1722" t="s">
        <v>92</v>
      </c>
      <c r="D1722">
        <v>0.05</v>
      </c>
      <c r="E1722">
        <v>119.99</v>
      </c>
      <c r="F1722">
        <v>56.14</v>
      </c>
      <c r="G1722" t="s">
        <v>2</v>
      </c>
      <c r="H1722" t="s">
        <v>15</v>
      </c>
      <c r="I1722" t="s">
        <v>16</v>
      </c>
      <c r="J1722" t="s">
        <v>32</v>
      </c>
      <c r="K1722" t="s">
        <v>6</v>
      </c>
      <c r="L1722" t="s">
        <v>563</v>
      </c>
      <c r="M1722">
        <v>0.39</v>
      </c>
      <c r="N1722" t="s">
        <v>8</v>
      </c>
      <c r="O1722" t="s">
        <v>35</v>
      </c>
      <c r="P1722" t="s">
        <v>122</v>
      </c>
      <c r="Q1722" t="s">
        <v>925</v>
      </c>
      <c r="R1722">
        <v>84107</v>
      </c>
      <c r="S1722" s="1">
        <v>42164</v>
      </c>
      <c r="T1722" s="1">
        <v>42166</v>
      </c>
      <c r="U1722">
        <v>-102.5121</v>
      </c>
      <c r="V1722">
        <v>6</v>
      </c>
      <c r="W1722">
        <v>730.37</v>
      </c>
      <c r="X1722">
        <v>88048</v>
      </c>
      <c r="Y1722">
        <f>cleaneddata[[#This Row],[Unit Price]]-cleaneddata[[#This Row],[Discount]]</f>
        <v>119.94</v>
      </c>
      <c r="Z17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23" spans="1:26" x14ac:dyDescent="0.3">
      <c r="A1723">
        <v>3361</v>
      </c>
      <c r="B1723" t="s">
        <v>786</v>
      </c>
      <c r="C1723" t="s">
        <v>92</v>
      </c>
      <c r="D1723">
        <v>0.03</v>
      </c>
      <c r="E1723">
        <v>4.9800000000000004</v>
      </c>
      <c r="F1723">
        <v>4.95</v>
      </c>
      <c r="G1723" t="s">
        <v>14</v>
      </c>
      <c r="H1723" t="s">
        <v>47</v>
      </c>
      <c r="I1723" t="s">
        <v>24</v>
      </c>
      <c r="J1723" t="s">
        <v>48</v>
      </c>
      <c r="K1723" t="s">
        <v>49</v>
      </c>
      <c r="L1723" t="s">
        <v>2595</v>
      </c>
      <c r="M1723">
        <v>0.37</v>
      </c>
      <c r="N1723" t="s">
        <v>8</v>
      </c>
      <c r="O1723" t="s">
        <v>28</v>
      </c>
      <c r="P1723" t="s">
        <v>333</v>
      </c>
      <c r="Q1723" t="s">
        <v>788</v>
      </c>
      <c r="R1723">
        <v>53095</v>
      </c>
      <c r="S1723" s="1">
        <v>42164</v>
      </c>
      <c r="T1723" s="1">
        <v>42166</v>
      </c>
      <c r="U1723">
        <v>-47.995249999999999</v>
      </c>
      <c r="V1723">
        <v>19</v>
      </c>
      <c r="W1723">
        <v>95</v>
      </c>
      <c r="X1723">
        <v>91438</v>
      </c>
      <c r="Y1723">
        <f>cleaneddata[[#This Row],[Unit Price]]-cleaneddata[[#This Row],[Discount]]</f>
        <v>4.95</v>
      </c>
      <c r="Z172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24" spans="1:26" x14ac:dyDescent="0.3">
      <c r="A1724">
        <v>326</v>
      </c>
      <c r="B1724" t="s">
        <v>2786</v>
      </c>
      <c r="C1724" t="s">
        <v>46</v>
      </c>
      <c r="D1724">
        <v>0.06</v>
      </c>
      <c r="E1724">
        <v>7.99</v>
      </c>
      <c r="F1724">
        <v>5.03</v>
      </c>
      <c r="G1724" t="s">
        <v>14</v>
      </c>
      <c r="H1724" t="s">
        <v>15</v>
      </c>
      <c r="I1724" t="s">
        <v>16</v>
      </c>
      <c r="J1724" t="s">
        <v>111</v>
      </c>
      <c r="K1724" t="s">
        <v>120</v>
      </c>
      <c r="L1724" t="s">
        <v>441</v>
      </c>
      <c r="M1724">
        <v>0.6</v>
      </c>
      <c r="N1724" t="s">
        <v>8</v>
      </c>
      <c r="O1724" t="s">
        <v>28</v>
      </c>
      <c r="P1724" t="s">
        <v>79</v>
      </c>
      <c r="Q1724" t="s">
        <v>2171</v>
      </c>
      <c r="R1724">
        <v>60510</v>
      </c>
      <c r="S1724" s="1">
        <v>42164</v>
      </c>
      <c r="T1724" s="1">
        <v>42165</v>
      </c>
      <c r="U1724">
        <v>-29.172000000000001</v>
      </c>
      <c r="V1724">
        <v>4</v>
      </c>
      <c r="W1724">
        <v>28.46</v>
      </c>
      <c r="X1724">
        <v>90973</v>
      </c>
      <c r="Y1724">
        <f>cleaneddata[[#This Row],[Unit Price]]-cleaneddata[[#This Row],[Discount]]</f>
        <v>7.9300000000000006</v>
      </c>
      <c r="Z17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25" spans="1:26" x14ac:dyDescent="0.3">
      <c r="A1725">
        <v>3079</v>
      </c>
      <c r="B1725" t="s">
        <v>295</v>
      </c>
      <c r="C1725" t="s">
        <v>1</v>
      </c>
      <c r="D1725">
        <v>0</v>
      </c>
      <c r="E1725">
        <v>2.21</v>
      </c>
      <c r="F1725">
        <v>1</v>
      </c>
      <c r="G1725" t="s">
        <v>63</v>
      </c>
      <c r="H1725" t="s">
        <v>3</v>
      </c>
      <c r="I1725" t="s">
        <v>24</v>
      </c>
      <c r="J1725" t="s">
        <v>25</v>
      </c>
      <c r="K1725" t="s">
        <v>26</v>
      </c>
      <c r="L1725" t="s">
        <v>2787</v>
      </c>
      <c r="M1725">
        <v>0.38</v>
      </c>
      <c r="N1725" t="s">
        <v>8</v>
      </c>
      <c r="O1725" t="s">
        <v>87</v>
      </c>
      <c r="P1725" t="s">
        <v>296</v>
      </c>
      <c r="Q1725" t="s">
        <v>297</v>
      </c>
      <c r="R1725">
        <v>19112</v>
      </c>
      <c r="S1725" s="1">
        <v>42165</v>
      </c>
      <c r="T1725" s="1">
        <v>42166</v>
      </c>
      <c r="U1725">
        <v>10.01</v>
      </c>
      <c r="V1725">
        <v>33</v>
      </c>
      <c r="W1725">
        <v>87.18</v>
      </c>
      <c r="X1725">
        <v>48483</v>
      </c>
      <c r="Y1725">
        <f>cleaneddata[[#This Row],[Unit Price]]-cleaneddata[[#This Row],[Discount]]</f>
        <v>2.21</v>
      </c>
      <c r="Z172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26" spans="1:26" x14ac:dyDescent="0.3">
      <c r="A1726">
        <v>3243</v>
      </c>
      <c r="B1726" t="s">
        <v>2788</v>
      </c>
      <c r="C1726" t="s">
        <v>13</v>
      </c>
      <c r="D1726">
        <v>0</v>
      </c>
      <c r="E1726">
        <v>7.28</v>
      </c>
      <c r="F1726">
        <v>3.52</v>
      </c>
      <c r="G1726" t="s">
        <v>14</v>
      </c>
      <c r="H1726" t="s">
        <v>3</v>
      </c>
      <c r="I1726" t="s">
        <v>16</v>
      </c>
      <c r="J1726" t="s">
        <v>17</v>
      </c>
      <c r="K1726" t="s">
        <v>18</v>
      </c>
      <c r="L1726" t="s">
        <v>2789</v>
      </c>
      <c r="M1726">
        <v>0.68</v>
      </c>
      <c r="N1726" t="s">
        <v>8</v>
      </c>
      <c r="O1726" t="s">
        <v>87</v>
      </c>
      <c r="P1726" t="s">
        <v>224</v>
      </c>
      <c r="Q1726" t="s">
        <v>225</v>
      </c>
      <c r="R1726">
        <v>6010</v>
      </c>
      <c r="S1726" s="1">
        <v>42165</v>
      </c>
      <c r="T1726" s="1">
        <v>42165</v>
      </c>
      <c r="U1726">
        <v>-25.103999999999999</v>
      </c>
      <c r="V1726">
        <v>3</v>
      </c>
      <c r="W1726">
        <v>24.44</v>
      </c>
      <c r="X1726">
        <v>88329</v>
      </c>
      <c r="Y1726">
        <f>cleaneddata[[#This Row],[Unit Price]]-cleaneddata[[#This Row],[Discount]]</f>
        <v>7.28</v>
      </c>
      <c r="Z172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27" spans="1:26" x14ac:dyDescent="0.3">
      <c r="A1727">
        <v>254</v>
      </c>
      <c r="B1727" t="s">
        <v>2790</v>
      </c>
      <c r="C1727" t="s">
        <v>92</v>
      </c>
      <c r="D1727">
        <v>0.1</v>
      </c>
      <c r="E1727">
        <v>280.98</v>
      </c>
      <c r="F1727">
        <v>35.67</v>
      </c>
      <c r="G1727" t="s">
        <v>2</v>
      </c>
      <c r="H1727" t="s">
        <v>47</v>
      </c>
      <c r="I1727" t="s">
        <v>4</v>
      </c>
      <c r="J1727" t="s">
        <v>5</v>
      </c>
      <c r="K1727" t="s">
        <v>6</v>
      </c>
      <c r="L1727" t="s">
        <v>2791</v>
      </c>
      <c r="M1727">
        <v>0.66</v>
      </c>
      <c r="N1727" t="s">
        <v>8</v>
      </c>
      <c r="O1727" t="s">
        <v>35</v>
      </c>
      <c r="P1727" t="s">
        <v>36</v>
      </c>
      <c r="Q1727" t="s">
        <v>2792</v>
      </c>
      <c r="R1727">
        <v>80126</v>
      </c>
      <c r="S1727" s="1">
        <v>42165</v>
      </c>
      <c r="T1727" s="1">
        <v>42166</v>
      </c>
      <c r="U1727">
        <v>-53.744999999999997</v>
      </c>
      <c r="V1727">
        <v>5</v>
      </c>
      <c r="W1727">
        <v>1332.82</v>
      </c>
      <c r="X1727">
        <v>86268</v>
      </c>
      <c r="Y1727">
        <f>cleaneddata[[#This Row],[Unit Price]]-cleaneddata[[#This Row],[Discount]]</f>
        <v>280.88</v>
      </c>
      <c r="Z17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28" spans="1:26" x14ac:dyDescent="0.3">
      <c r="A1728">
        <v>597</v>
      </c>
      <c r="B1728" t="s">
        <v>2793</v>
      </c>
      <c r="C1728" t="s">
        <v>46</v>
      </c>
      <c r="D1728">
        <v>0.1</v>
      </c>
      <c r="E1728">
        <v>6.48</v>
      </c>
      <c r="F1728">
        <v>5.9</v>
      </c>
      <c r="G1728" t="s">
        <v>14</v>
      </c>
      <c r="H1728" t="s">
        <v>3</v>
      </c>
      <c r="I1728" t="s">
        <v>24</v>
      </c>
      <c r="J1728" t="s">
        <v>64</v>
      </c>
      <c r="K1728" t="s">
        <v>49</v>
      </c>
      <c r="L1728" t="s">
        <v>1727</v>
      </c>
      <c r="M1728">
        <v>0.37</v>
      </c>
      <c r="N1728" t="s">
        <v>8</v>
      </c>
      <c r="O1728" t="s">
        <v>28</v>
      </c>
      <c r="P1728" t="s">
        <v>29</v>
      </c>
      <c r="Q1728" t="s">
        <v>1459</v>
      </c>
      <c r="R1728">
        <v>47201</v>
      </c>
      <c r="S1728" s="1">
        <v>42165</v>
      </c>
      <c r="T1728" s="1">
        <v>42165</v>
      </c>
      <c r="U1728">
        <v>-51.634999999999998</v>
      </c>
      <c r="V1728">
        <v>19</v>
      </c>
      <c r="W1728">
        <v>116.8</v>
      </c>
      <c r="X1728">
        <v>86310</v>
      </c>
      <c r="Y1728">
        <f>cleaneddata[[#This Row],[Unit Price]]-cleaneddata[[#This Row],[Discount]]</f>
        <v>6.3800000000000008</v>
      </c>
      <c r="Z17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29" spans="1:26" x14ac:dyDescent="0.3">
      <c r="A1729">
        <v>2431</v>
      </c>
      <c r="B1729" t="s">
        <v>2546</v>
      </c>
      <c r="C1729" t="s">
        <v>46</v>
      </c>
      <c r="D1729">
        <v>0.05</v>
      </c>
      <c r="E1729">
        <v>8.85</v>
      </c>
      <c r="F1729">
        <v>5.6</v>
      </c>
      <c r="G1729" t="s">
        <v>14</v>
      </c>
      <c r="H1729" t="s">
        <v>15</v>
      </c>
      <c r="I1729" t="s">
        <v>24</v>
      </c>
      <c r="J1729" t="s">
        <v>48</v>
      </c>
      <c r="K1729" t="s">
        <v>49</v>
      </c>
      <c r="L1729" t="s">
        <v>2794</v>
      </c>
      <c r="M1729">
        <v>0.36</v>
      </c>
      <c r="N1729" t="s">
        <v>8</v>
      </c>
      <c r="O1729" t="s">
        <v>35</v>
      </c>
      <c r="P1729" t="s">
        <v>66</v>
      </c>
      <c r="Q1729" t="s">
        <v>76</v>
      </c>
      <c r="R1729">
        <v>90004</v>
      </c>
      <c r="S1729" s="1">
        <v>42165</v>
      </c>
      <c r="T1729" s="1">
        <v>42166</v>
      </c>
      <c r="U1729">
        <v>-9.1769999999999996</v>
      </c>
      <c r="V1729">
        <v>21</v>
      </c>
      <c r="W1729">
        <v>199.08</v>
      </c>
      <c r="X1729">
        <v>24869</v>
      </c>
      <c r="Y1729">
        <f>cleaneddata[[#This Row],[Unit Price]]-cleaneddata[[#This Row],[Discount]]</f>
        <v>8.7999999999999989</v>
      </c>
      <c r="Z17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30" spans="1:26" x14ac:dyDescent="0.3">
      <c r="A1730">
        <v>2433</v>
      </c>
      <c r="B1730" t="s">
        <v>2795</v>
      </c>
      <c r="C1730" t="s">
        <v>46</v>
      </c>
      <c r="D1730">
        <v>0.05</v>
      </c>
      <c r="E1730">
        <v>8.85</v>
      </c>
      <c r="F1730">
        <v>5.6</v>
      </c>
      <c r="G1730" t="s">
        <v>14</v>
      </c>
      <c r="H1730" t="s">
        <v>15</v>
      </c>
      <c r="I1730" t="s">
        <v>24</v>
      </c>
      <c r="J1730" t="s">
        <v>48</v>
      </c>
      <c r="K1730" t="s">
        <v>49</v>
      </c>
      <c r="L1730" t="s">
        <v>2794</v>
      </c>
      <c r="M1730">
        <v>0.36</v>
      </c>
      <c r="N1730" t="s">
        <v>8</v>
      </c>
      <c r="O1730" t="s">
        <v>28</v>
      </c>
      <c r="P1730" t="s">
        <v>183</v>
      </c>
      <c r="Q1730" t="s">
        <v>587</v>
      </c>
      <c r="R1730">
        <v>73160</v>
      </c>
      <c r="S1730" s="1">
        <v>42165</v>
      </c>
      <c r="T1730" s="1">
        <v>42166</v>
      </c>
      <c r="U1730">
        <v>-7.3415999999999997</v>
      </c>
      <c r="V1730">
        <v>5</v>
      </c>
      <c r="W1730">
        <v>47.4</v>
      </c>
      <c r="X1730">
        <v>89095</v>
      </c>
      <c r="Y1730">
        <f>cleaneddata[[#This Row],[Unit Price]]-cleaneddata[[#This Row],[Discount]]</f>
        <v>8.7999999999999989</v>
      </c>
      <c r="Z173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31" spans="1:26" x14ac:dyDescent="0.3">
      <c r="A1731">
        <v>1265</v>
      </c>
      <c r="B1731" t="s">
        <v>2796</v>
      </c>
      <c r="C1731" t="s">
        <v>1</v>
      </c>
      <c r="D1731">
        <v>0.05</v>
      </c>
      <c r="E1731">
        <v>5.28</v>
      </c>
      <c r="F1731">
        <v>6.26</v>
      </c>
      <c r="G1731" t="s">
        <v>14</v>
      </c>
      <c r="H1731" t="s">
        <v>47</v>
      </c>
      <c r="I1731" t="s">
        <v>24</v>
      </c>
      <c r="J1731" t="s">
        <v>64</v>
      </c>
      <c r="K1731" t="s">
        <v>49</v>
      </c>
      <c r="L1731" t="s">
        <v>2434</v>
      </c>
      <c r="M1731">
        <v>0.4</v>
      </c>
      <c r="N1731" t="s">
        <v>8</v>
      </c>
      <c r="O1731" t="s">
        <v>28</v>
      </c>
      <c r="P1731" t="s">
        <v>183</v>
      </c>
      <c r="Q1731" t="s">
        <v>2797</v>
      </c>
      <c r="R1731">
        <v>73521</v>
      </c>
      <c r="S1731" s="1">
        <v>42166</v>
      </c>
      <c r="T1731" s="1">
        <v>42167</v>
      </c>
      <c r="U1731">
        <v>-11.375999999999999</v>
      </c>
      <c r="V1731">
        <v>1</v>
      </c>
      <c r="W1731">
        <v>7.15</v>
      </c>
      <c r="X1731">
        <v>89729</v>
      </c>
      <c r="Y1731">
        <f>cleaneddata[[#This Row],[Unit Price]]-cleaneddata[[#This Row],[Discount]]</f>
        <v>5.23</v>
      </c>
      <c r="Z173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32" spans="1:26" x14ac:dyDescent="0.3">
      <c r="A1732">
        <v>2779</v>
      </c>
      <c r="B1732" t="s">
        <v>2798</v>
      </c>
      <c r="C1732" t="s">
        <v>1</v>
      </c>
      <c r="D1732">
        <v>0.01</v>
      </c>
      <c r="E1732">
        <v>35.99</v>
      </c>
      <c r="F1732">
        <v>5.99</v>
      </c>
      <c r="G1732" t="s">
        <v>14</v>
      </c>
      <c r="H1732" t="s">
        <v>70</v>
      </c>
      <c r="I1732" t="s">
        <v>16</v>
      </c>
      <c r="J1732" t="s">
        <v>111</v>
      </c>
      <c r="K1732" t="s">
        <v>26</v>
      </c>
      <c r="L1732" t="s">
        <v>1348</v>
      </c>
      <c r="M1732">
        <v>0.38</v>
      </c>
      <c r="N1732" t="s">
        <v>8</v>
      </c>
      <c r="O1732" t="s">
        <v>9</v>
      </c>
      <c r="P1732" t="s">
        <v>73</v>
      </c>
      <c r="Q1732" t="s">
        <v>2799</v>
      </c>
      <c r="R1732">
        <v>27893</v>
      </c>
      <c r="S1732" s="1">
        <v>42166</v>
      </c>
      <c r="T1732" s="1">
        <v>42167</v>
      </c>
      <c r="U1732">
        <v>-60.704000000000001</v>
      </c>
      <c r="V1732">
        <v>11</v>
      </c>
      <c r="W1732">
        <v>345.07</v>
      </c>
      <c r="X1732">
        <v>87161</v>
      </c>
      <c r="Y1732">
        <f>cleaneddata[[#This Row],[Unit Price]]-cleaneddata[[#This Row],[Discount]]</f>
        <v>35.980000000000004</v>
      </c>
      <c r="Z173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33" spans="1:26" x14ac:dyDescent="0.3">
      <c r="A1733">
        <v>3251</v>
      </c>
      <c r="B1733" t="s">
        <v>2800</v>
      </c>
      <c r="C1733" t="s">
        <v>1</v>
      </c>
      <c r="D1733">
        <v>0.02</v>
      </c>
      <c r="E1733">
        <v>5.28</v>
      </c>
      <c r="F1733">
        <v>6.26</v>
      </c>
      <c r="G1733" t="s">
        <v>14</v>
      </c>
      <c r="H1733" t="s">
        <v>70</v>
      </c>
      <c r="I1733" t="s">
        <v>24</v>
      </c>
      <c r="J1733" t="s">
        <v>64</v>
      </c>
      <c r="K1733" t="s">
        <v>49</v>
      </c>
      <c r="L1733" t="s">
        <v>2434</v>
      </c>
      <c r="M1733">
        <v>0.4</v>
      </c>
      <c r="N1733" t="s">
        <v>8</v>
      </c>
      <c r="O1733" t="s">
        <v>87</v>
      </c>
      <c r="P1733" t="s">
        <v>88</v>
      </c>
      <c r="Q1733" t="s">
        <v>89</v>
      </c>
      <c r="R1733">
        <v>10112</v>
      </c>
      <c r="S1733" s="1">
        <v>42166</v>
      </c>
      <c r="T1733" s="1">
        <v>42167</v>
      </c>
      <c r="U1733">
        <v>-131.16</v>
      </c>
      <c r="V1733">
        <v>76</v>
      </c>
      <c r="W1733">
        <v>412.72</v>
      </c>
      <c r="X1733">
        <v>39076</v>
      </c>
      <c r="Y1733">
        <f>cleaneddata[[#This Row],[Unit Price]]-cleaneddata[[#This Row],[Discount]]</f>
        <v>5.2600000000000007</v>
      </c>
      <c r="Z173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34" spans="1:26" x14ac:dyDescent="0.3">
      <c r="A1734">
        <v>3252</v>
      </c>
      <c r="B1734" t="s">
        <v>1899</v>
      </c>
      <c r="C1734" t="s">
        <v>1</v>
      </c>
      <c r="D1734">
        <v>0.02</v>
      </c>
      <c r="E1734">
        <v>5.28</v>
      </c>
      <c r="F1734">
        <v>6.26</v>
      </c>
      <c r="G1734" t="s">
        <v>14</v>
      </c>
      <c r="H1734" t="s">
        <v>70</v>
      </c>
      <c r="I1734" t="s">
        <v>24</v>
      </c>
      <c r="J1734" t="s">
        <v>64</v>
      </c>
      <c r="K1734" t="s">
        <v>49</v>
      </c>
      <c r="L1734" t="s">
        <v>2434</v>
      </c>
      <c r="M1734">
        <v>0.4</v>
      </c>
      <c r="N1734" t="s">
        <v>8</v>
      </c>
      <c r="O1734" t="s">
        <v>87</v>
      </c>
      <c r="P1734" t="s">
        <v>88</v>
      </c>
      <c r="Q1734" t="s">
        <v>1900</v>
      </c>
      <c r="R1734">
        <v>12306</v>
      </c>
      <c r="S1734" s="1">
        <v>42166</v>
      </c>
      <c r="T1734" s="1">
        <v>42167</v>
      </c>
      <c r="U1734">
        <v>-65.58</v>
      </c>
      <c r="V1734">
        <v>19</v>
      </c>
      <c r="W1734">
        <v>103.18</v>
      </c>
      <c r="X1734">
        <v>87299</v>
      </c>
      <c r="Y1734">
        <f>cleaneddata[[#This Row],[Unit Price]]-cleaneddata[[#This Row],[Discount]]</f>
        <v>5.2600000000000007</v>
      </c>
      <c r="Z17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35" spans="1:26" x14ac:dyDescent="0.3">
      <c r="A1735">
        <v>1466</v>
      </c>
      <c r="B1735" t="s">
        <v>2801</v>
      </c>
      <c r="C1735" t="s">
        <v>13</v>
      </c>
      <c r="D1735">
        <v>0</v>
      </c>
      <c r="E1735">
        <v>65.989999999999995</v>
      </c>
      <c r="F1735">
        <v>8.99</v>
      </c>
      <c r="G1735" t="s">
        <v>14</v>
      </c>
      <c r="H1735" t="s">
        <v>3</v>
      </c>
      <c r="I1735" t="s">
        <v>16</v>
      </c>
      <c r="J1735" t="s">
        <v>111</v>
      </c>
      <c r="K1735" t="s">
        <v>49</v>
      </c>
      <c r="L1735" t="s">
        <v>2570</v>
      </c>
      <c r="M1735">
        <v>0.56000000000000005</v>
      </c>
      <c r="N1735" t="s">
        <v>8</v>
      </c>
      <c r="O1735" t="s">
        <v>28</v>
      </c>
      <c r="P1735" t="s">
        <v>109</v>
      </c>
      <c r="Q1735" t="s">
        <v>1459</v>
      </c>
      <c r="R1735">
        <v>68601</v>
      </c>
      <c r="S1735" s="1">
        <v>42166</v>
      </c>
      <c r="T1735" s="1">
        <v>42168</v>
      </c>
      <c r="U1735">
        <v>253.3032</v>
      </c>
      <c r="V1735">
        <v>10</v>
      </c>
      <c r="W1735">
        <v>575.07000000000005</v>
      </c>
      <c r="X1735">
        <v>91115</v>
      </c>
      <c r="Y1735">
        <f>cleaneddata[[#This Row],[Unit Price]]-cleaneddata[[#This Row],[Discount]]</f>
        <v>65.989999999999995</v>
      </c>
      <c r="Z173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36" spans="1:26" x14ac:dyDescent="0.3">
      <c r="A1736">
        <v>2649</v>
      </c>
      <c r="B1736" t="s">
        <v>2802</v>
      </c>
      <c r="C1736" t="s">
        <v>13</v>
      </c>
      <c r="D1736">
        <v>0.01</v>
      </c>
      <c r="E1736">
        <v>39.979999999999997</v>
      </c>
      <c r="F1736">
        <v>4</v>
      </c>
      <c r="G1736" t="s">
        <v>14</v>
      </c>
      <c r="H1736" t="s">
        <v>70</v>
      </c>
      <c r="I1736" t="s">
        <v>16</v>
      </c>
      <c r="J1736" t="s">
        <v>17</v>
      </c>
      <c r="K1736" t="s">
        <v>49</v>
      </c>
      <c r="L1736" t="s">
        <v>1903</v>
      </c>
      <c r="M1736">
        <v>0.7</v>
      </c>
      <c r="N1736" t="s">
        <v>8</v>
      </c>
      <c r="O1736" t="s">
        <v>87</v>
      </c>
      <c r="P1736" t="s">
        <v>394</v>
      </c>
      <c r="Q1736" t="s">
        <v>2306</v>
      </c>
      <c r="R1736">
        <v>21040</v>
      </c>
      <c r="S1736" s="1">
        <v>42166</v>
      </c>
      <c r="T1736" s="1">
        <v>42167</v>
      </c>
      <c r="U1736">
        <v>-30.808</v>
      </c>
      <c r="V1736">
        <v>5</v>
      </c>
      <c r="W1736">
        <v>203.29</v>
      </c>
      <c r="X1736">
        <v>88814</v>
      </c>
      <c r="Y1736">
        <f>cleaneddata[[#This Row],[Unit Price]]-cleaneddata[[#This Row],[Discount]]</f>
        <v>39.97</v>
      </c>
      <c r="Z17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37" spans="1:26" x14ac:dyDescent="0.3">
      <c r="A1737">
        <v>3008</v>
      </c>
      <c r="B1737" t="s">
        <v>1494</v>
      </c>
      <c r="C1737" t="s">
        <v>13</v>
      </c>
      <c r="D1737">
        <v>0.01</v>
      </c>
      <c r="E1737">
        <v>12.28</v>
      </c>
      <c r="F1737">
        <v>6.47</v>
      </c>
      <c r="G1737" t="s">
        <v>14</v>
      </c>
      <c r="H1737" t="s">
        <v>47</v>
      </c>
      <c r="I1737" t="s">
        <v>24</v>
      </c>
      <c r="J1737" t="s">
        <v>64</v>
      </c>
      <c r="K1737" t="s">
        <v>49</v>
      </c>
      <c r="L1737" t="s">
        <v>2534</v>
      </c>
      <c r="M1737">
        <v>0.38</v>
      </c>
      <c r="N1737" t="s">
        <v>8</v>
      </c>
      <c r="O1737" t="s">
        <v>28</v>
      </c>
      <c r="P1737" t="s">
        <v>60</v>
      </c>
      <c r="Q1737" t="s">
        <v>1496</v>
      </c>
      <c r="R1737">
        <v>55343</v>
      </c>
      <c r="S1737" s="1">
        <v>42166</v>
      </c>
      <c r="T1737" s="1">
        <v>42167</v>
      </c>
      <c r="U1737">
        <v>47.61</v>
      </c>
      <c r="V1737">
        <v>12</v>
      </c>
      <c r="W1737">
        <v>160.66</v>
      </c>
      <c r="X1737">
        <v>89415</v>
      </c>
      <c r="Y1737">
        <f>cleaneddata[[#This Row],[Unit Price]]-cleaneddata[[#This Row],[Discount]]</f>
        <v>12.27</v>
      </c>
      <c r="Z173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38" spans="1:26" x14ac:dyDescent="0.3">
      <c r="A1738">
        <v>2543</v>
      </c>
      <c r="B1738" t="s">
        <v>2803</v>
      </c>
      <c r="C1738" t="s">
        <v>92</v>
      </c>
      <c r="D1738">
        <v>0.05</v>
      </c>
      <c r="E1738">
        <v>15.68</v>
      </c>
      <c r="F1738">
        <v>3.73</v>
      </c>
      <c r="G1738" t="s">
        <v>14</v>
      </c>
      <c r="H1738" t="s">
        <v>3</v>
      </c>
      <c r="I1738" t="s">
        <v>4</v>
      </c>
      <c r="J1738" t="s">
        <v>102</v>
      </c>
      <c r="K1738" t="s">
        <v>18</v>
      </c>
      <c r="L1738" t="s">
        <v>2703</v>
      </c>
      <c r="M1738">
        <v>0.46</v>
      </c>
      <c r="N1738" t="s">
        <v>8</v>
      </c>
      <c r="O1738" t="s">
        <v>9</v>
      </c>
      <c r="P1738" t="s">
        <v>218</v>
      </c>
      <c r="Q1738" t="s">
        <v>2408</v>
      </c>
      <c r="R1738">
        <v>23223</v>
      </c>
      <c r="S1738" s="1">
        <v>42166</v>
      </c>
      <c r="T1738" s="1">
        <v>42167</v>
      </c>
      <c r="U1738">
        <v>3.54</v>
      </c>
      <c r="V1738">
        <v>17</v>
      </c>
      <c r="W1738">
        <v>257.48</v>
      </c>
      <c r="X1738">
        <v>87917</v>
      </c>
      <c r="Y1738">
        <f>cleaneddata[[#This Row],[Unit Price]]-cleaneddata[[#This Row],[Discount]]</f>
        <v>15.629999999999999</v>
      </c>
      <c r="Z173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39" spans="1:26" x14ac:dyDescent="0.3">
      <c r="A1739">
        <v>2543</v>
      </c>
      <c r="B1739" t="s">
        <v>2803</v>
      </c>
      <c r="C1739" t="s">
        <v>92</v>
      </c>
      <c r="D1739">
        <v>0.02</v>
      </c>
      <c r="E1739">
        <v>195.99</v>
      </c>
      <c r="F1739">
        <v>4.2</v>
      </c>
      <c r="G1739" t="s">
        <v>14</v>
      </c>
      <c r="H1739" t="s">
        <v>3</v>
      </c>
      <c r="I1739" t="s">
        <v>16</v>
      </c>
      <c r="J1739" t="s">
        <v>111</v>
      </c>
      <c r="K1739" t="s">
        <v>49</v>
      </c>
      <c r="L1739" t="s">
        <v>2804</v>
      </c>
      <c r="M1739">
        <v>0.56000000000000005</v>
      </c>
      <c r="N1739" t="s">
        <v>8</v>
      </c>
      <c r="O1739" t="s">
        <v>9</v>
      </c>
      <c r="P1739" t="s">
        <v>218</v>
      </c>
      <c r="Q1739" t="s">
        <v>2408</v>
      </c>
      <c r="R1739">
        <v>23223</v>
      </c>
      <c r="S1739" s="1">
        <v>42166</v>
      </c>
      <c r="T1739" s="1">
        <v>42167</v>
      </c>
      <c r="U1739">
        <v>40.283999999999999</v>
      </c>
      <c r="V1739">
        <v>19</v>
      </c>
      <c r="W1739">
        <v>3194.99</v>
      </c>
      <c r="X1739">
        <v>87917</v>
      </c>
      <c r="Y1739">
        <f>cleaneddata[[#This Row],[Unit Price]]-cleaneddata[[#This Row],[Discount]]</f>
        <v>195.97</v>
      </c>
      <c r="Z173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40" spans="1:26" x14ac:dyDescent="0.3">
      <c r="A1740">
        <v>2840</v>
      </c>
      <c r="B1740" t="s">
        <v>1713</v>
      </c>
      <c r="C1740" t="s">
        <v>92</v>
      </c>
      <c r="D1740">
        <v>0.05</v>
      </c>
      <c r="E1740">
        <v>15.68</v>
      </c>
      <c r="F1740">
        <v>3.73</v>
      </c>
      <c r="G1740" t="s">
        <v>14</v>
      </c>
      <c r="H1740" t="s">
        <v>70</v>
      </c>
      <c r="I1740" t="s">
        <v>4</v>
      </c>
      <c r="J1740" t="s">
        <v>102</v>
      </c>
      <c r="K1740" t="s">
        <v>18</v>
      </c>
      <c r="L1740" t="s">
        <v>2703</v>
      </c>
      <c r="M1740">
        <v>0.46</v>
      </c>
      <c r="N1740" t="s">
        <v>8</v>
      </c>
      <c r="O1740" t="s">
        <v>9</v>
      </c>
      <c r="P1740" t="s">
        <v>99</v>
      </c>
      <c r="Q1740" t="s">
        <v>1715</v>
      </c>
      <c r="R1740">
        <v>33161</v>
      </c>
      <c r="S1740" s="1">
        <v>42166</v>
      </c>
      <c r="T1740" s="1">
        <v>42168</v>
      </c>
      <c r="U1740">
        <v>1166.6279999999999</v>
      </c>
      <c r="V1740">
        <v>17</v>
      </c>
      <c r="W1740">
        <v>260.01</v>
      </c>
      <c r="X1740">
        <v>87885</v>
      </c>
      <c r="Y1740">
        <f>cleaneddata[[#This Row],[Unit Price]]-cleaneddata[[#This Row],[Discount]]</f>
        <v>15.629999999999999</v>
      </c>
      <c r="Z174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41" spans="1:26" x14ac:dyDescent="0.3">
      <c r="A1741">
        <v>2840</v>
      </c>
      <c r="B1741" t="s">
        <v>1713</v>
      </c>
      <c r="C1741" t="s">
        <v>92</v>
      </c>
      <c r="D1741">
        <v>0</v>
      </c>
      <c r="E1741">
        <v>14.98</v>
      </c>
      <c r="F1741">
        <v>8.99</v>
      </c>
      <c r="G1741" t="s">
        <v>14</v>
      </c>
      <c r="H1741" t="s">
        <v>70</v>
      </c>
      <c r="I1741" t="s">
        <v>4</v>
      </c>
      <c r="J1741" t="s">
        <v>102</v>
      </c>
      <c r="K1741" t="s">
        <v>18</v>
      </c>
      <c r="L1741" t="s">
        <v>1462</v>
      </c>
      <c r="M1741">
        <v>0.39</v>
      </c>
      <c r="N1741" t="s">
        <v>8</v>
      </c>
      <c r="O1741" t="s">
        <v>9</v>
      </c>
      <c r="P1741" t="s">
        <v>99</v>
      </c>
      <c r="Q1741" t="s">
        <v>1715</v>
      </c>
      <c r="R1741">
        <v>33161</v>
      </c>
      <c r="S1741" s="1">
        <v>42166</v>
      </c>
      <c r="T1741" s="1">
        <v>42167</v>
      </c>
      <c r="U1741">
        <v>-40.604199999999999</v>
      </c>
      <c r="V1741">
        <v>18</v>
      </c>
      <c r="W1741">
        <v>273.79000000000002</v>
      </c>
      <c r="X1741">
        <v>87885</v>
      </c>
      <c r="Y1741">
        <f>cleaneddata[[#This Row],[Unit Price]]-cleaneddata[[#This Row],[Discount]]</f>
        <v>14.98</v>
      </c>
      <c r="Z174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42" spans="1:26" x14ac:dyDescent="0.3">
      <c r="A1742">
        <v>2840</v>
      </c>
      <c r="B1742" t="s">
        <v>1713</v>
      </c>
      <c r="C1742" t="s">
        <v>92</v>
      </c>
      <c r="D1742">
        <v>0.02</v>
      </c>
      <c r="E1742">
        <v>38.76</v>
      </c>
      <c r="F1742">
        <v>13.26</v>
      </c>
      <c r="G1742" t="s">
        <v>14</v>
      </c>
      <c r="H1742" t="s">
        <v>70</v>
      </c>
      <c r="I1742" t="s">
        <v>24</v>
      </c>
      <c r="J1742" t="s">
        <v>64</v>
      </c>
      <c r="K1742" t="s">
        <v>49</v>
      </c>
      <c r="L1742" t="s">
        <v>2805</v>
      </c>
      <c r="M1742">
        <v>0.36</v>
      </c>
      <c r="N1742" t="s">
        <v>8</v>
      </c>
      <c r="O1742" t="s">
        <v>9</v>
      </c>
      <c r="P1742" t="s">
        <v>99</v>
      </c>
      <c r="Q1742" t="s">
        <v>1715</v>
      </c>
      <c r="R1742">
        <v>33161</v>
      </c>
      <c r="S1742" s="1">
        <v>42166</v>
      </c>
      <c r="T1742" s="1">
        <v>42167</v>
      </c>
      <c r="U1742">
        <v>-294.084</v>
      </c>
      <c r="V1742">
        <v>1</v>
      </c>
      <c r="W1742">
        <v>44.62</v>
      </c>
      <c r="X1742">
        <v>87885</v>
      </c>
      <c r="Y1742">
        <f>cleaneddata[[#This Row],[Unit Price]]-cleaneddata[[#This Row],[Discount]]</f>
        <v>38.739999999999995</v>
      </c>
      <c r="Z174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43" spans="1:26" x14ac:dyDescent="0.3">
      <c r="A1743">
        <v>3078</v>
      </c>
      <c r="B1743" t="s">
        <v>2806</v>
      </c>
      <c r="C1743" t="s">
        <v>46</v>
      </c>
      <c r="D1743">
        <v>0.04</v>
      </c>
      <c r="E1743">
        <v>35.44</v>
      </c>
      <c r="F1743">
        <v>5.09</v>
      </c>
      <c r="G1743" t="s">
        <v>14</v>
      </c>
      <c r="H1743" t="s">
        <v>3</v>
      </c>
      <c r="I1743" t="s">
        <v>24</v>
      </c>
      <c r="J1743" t="s">
        <v>64</v>
      </c>
      <c r="K1743" t="s">
        <v>49</v>
      </c>
      <c r="L1743" t="s">
        <v>2054</v>
      </c>
      <c r="M1743">
        <v>0.38</v>
      </c>
      <c r="N1743" t="s">
        <v>8</v>
      </c>
      <c r="O1743" t="s">
        <v>87</v>
      </c>
      <c r="P1743" t="s">
        <v>293</v>
      </c>
      <c r="Q1743" t="s">
        <v>2807</v>
      </c>
      <c r="R1743">
        <v>43615</v>
      </c>
      <c r="S1743" s="1">
        <v>42166</v>
      </c>
      <c r="T1743" s="1">
        <v>42166</v>
      </c>
      <c r="U1743">
        <v>118.6317</v>
      </c>
      <c r="V1743">
        <v>5</v>
      </c>
      <c r="W1743">
        <v>171.93</v>
      </c>
      <c r="X1743">
        <v>88240</v>
      </c>
      <c r="Y1743">
        <f>cleaneddata[[#This Row],[Unit Price]]-cleaneddata[[#This Row],[Discount]]</f>
        <v>35.4</v>
      </c>
      <c r="Z174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44" spans="1:26" x14ac:dyDescent="0.3">
      <c r="A1744">
        <v>3078</v>
      </c>
      <c r="B1744" t="s">
        <v>2806</v>
      </c>
      <c r="C1744" t="s">
        <v>46</v>
      </c>
      <c r="D1744">
        <v>0.08</v>
      </c>
      <c r="E1744">
        <v>3.98</v>
      </c>
      <c r="F1744">
        <v>0.7</v>
      </c>
      <c r="G1744" t="s">
        <v>14</v>
      </c>
      <c r="H1744" t="s">
        <v>3</v>
      </c>
      <c r="I1744" t="s">
        <v>24</v>
      </c>
      <c r="J1744" t="s">
        <v>25</v>
      </c>
      <c r="K1744" t="s">
        <v>26</v>
      </c>
      <c r="L1744" t="s">
        <v>324</v>
      </c>
      <c r="M1744">
        <v>0.52</v>
      </c>
      <c r="N1744" t="s">
        <v>8</v>
      </c>
      <c r="O1744" t="s">
        <v>87</v>
      </c>
      <c r="P1744" t="s">
        <v>293</v>
      </c>
      <c r="Q1744" t="s">
        <v>2807</v>
      </c>
      <c r="R1744">
        <v>43615</v>
      </c>
      <c r="S1744" s="1">
        <v>42166</v>
      </c>
      <c r="T1744" s="1">
        <v>42169</v>
      </c>
      <c r="U1744">
        <v>23.303999999999998</v>
      </c>
      <c r="V1744">
        <v>9</v>
      </c>
      <c r="W1744">
        <v>35.19</v>
      </c>
      <c r="X1744">
        <v>88240</v>
      </c>
      <c r="Y1744">
        <f>cleaneddata[[#This Row],[Unit Price]]-cleaneddata[[#This Row],[Discount]]</f>
        <v>3.9</v>
      </c>
      <c r="Z174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45" spans="1:26" x14ac:dyDescent="0.3">
      <c r="A1745">
        <v>3079</v>
      </c>
      <c r="B1745" t="s">
        <v>295</v>
      </c>
      <c r="C1745" t="s">
        <v>46</v>
      </c>
      <c r="D1745">
        <v>0.04</v>
      </c>
      <c r="E1745">
        <v>35.44</v>
      </c>
      <c r="F1745">
        <v>5.09</v>
      </c>
      <c r="G1745" t="s">
        <v>14</v>
      </c>
      <c r="H1745" t="s">
        <v>3</v>
      </c>
      <c r="I1745" t="s">
        <v>24</v>
      </c>
      <c r="J1745" t="s">
        <v>64</v>
      </c>
      <c r="K1745" t="s">
        <v>49</v>
      </c>
      <c r="L1745" t="s">
        <v>2054</v>
      </c>
      <c r="M1745">
        <v>0.38</v>
      </c>
      <c r="N1745" t="s">
        <v>8</v>
      </c>
      <c r="O1745" t="s">
        <v>87</v>
      </c>
      <c r="P1745" t="s">
        <v>296</v>
      </c>
      <c r="Q1745" t="s">
        <v>297</v>
      </c>
      <c r="R1745">
        <v>19112</v>
      </c>
      <c r="S1745" s="1">
        <v>42166</v>
      </c>
      <c r="T1745" s="1">
        <v>42166</v>
      </c>
      <c r="U1745">
        <v>150.72</v>
      </c>
      <c r="V1745">
        <v>21</v>
      </c>
      <c r="W1745">
        <v>722.1</v>
      </c>
      <c r="X1745">
        <v>53476</v>
      </c>
      <c r="Y1745">
        <f>cleaneddata[[#This Row],[Unit Price]]-cleaneddata[[#This Row],[Discount]]</f>
        <v>35.4</v>
      </c>
      <c r="Z174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46" spans="1:26" x14ac:dyDescent="0.3">
      <c r="A1746">
        <v>3079</v>
      </c>
      <c r="B1746" t="s">
        <v>295</v>
      </c>
      <c r="C1746" t="s">
        <v>46</v>
      </c>
      <c r="D1746">
        <v>0.08</v>
      </c>
      <c r="E1746">
        <v>3.98</v>
      </c>
      <c r="F1746">
        <v>0.7</v>
      </c>
      <c r="G1746" t="s">
        <v>14</v>
      </c>
      <c r="H1746" t="s">
        <v>3</v>
      </c>
      <c r="I1746" t="s">
        <v>24</v>
      </c>
      <c r="J1746" t="s">
        <v>25</v>
      </c>
      <c r="K1746" t="s">
        <v>26</v>
      </c>
      <c r="L1746" t="s">
        <v>324</v>
      </c>
      <c r="M1746">
        <v>0.52</v>
      </c>
      <c r="N1746" t="s">
        <v>8</v>
      </c>
      <c r="O1746" t="s">
        <v>87</v>
      </c>
      <c r="P1746" t="s">
        <v>296</v>
      </c>
      <c r="Q1746" t="s">
        <v>297</v>
      </c>
      <c r="R1746">
        <v>19112</v>
      </c>
      <c r="S1746" s="1">
        <v>42166</v>
      </c>
      <c r="T1746" s="1">
        <v>42169</v>
      </c>
      <c r="U1746">
        <v>19.420000000000002</v>
      </c>
      <c r="V1746">
        <v>36</v>
      </c>
      <c r="W1746">
        <v>140.78</v>
      </c>
      <c r="X1746">
        <v>53476</v>
      </c>
      <c r="Y1746">
        <f>cleaneddata[[#This Row],[Unit Price]]-cleaneddata[[#This Row],[Discount]]</f>
        <v>3.9</v>
      </c>
      <c r="Z174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47" spans="1:26" x14ac:dyDescent="0.3">
      <c r="A1747">
        <v>3079</v>
      </c>
      <c r="B1747" t="s">
        <v>295</v>
      </c>
      <c r="C1747" t="s">
        <v>46</v>
      </c>
      <c r="D1747">
        <v>0.01</v>
      </c>
      <c r="E1747">
        <v>1.76</v>
      </c>
      <c r="F1747">
        <v>0.7</v>
      </c>
      <c r="G1747" t="s">
        <v>14</v>
      </c>
      <c r="H1747" t="s">
        <v>3</v>
      </c>
      <c r="I1747" t="s">
        <v>24</v>
      </c>
      <c r="J1747" t="s">
        <v>25</v>
      </c>
      <c r="K1747" t="s">
        <v>26</v>
      </c>
      <c r="L1747" t="s">
        <v>1639</v>
      </c>
      <c r="M1747">
        <v>0.56000000000000005</v>
      </c>
      <c r="N1747" t="s">
        <v>8</v>
      </c>
      <c r="O1747" t="s">
        <v>87</v>
      </c>
      <c r="P1747" t="s">
        <v>296</v>
      </c>
      <c r="Q1747" t="s">
        <v>297</v>
      </c>
      <c r="R1747">
        <v>19112</v>
      </c>
      <c r="S1747" s="1">
        <v>42166</v>
      </c>
      <c r="T1747" s="1">
        <v>42167</v>
      </c>
      <c r="U1747">
        <v>3.13</v>
      </c>
      <c r="V1747">
        <v>71</v>
      </c>
      <c r="W1747">
        <v>129.72</v>
      </c>
      <c r="X1747">
        <v>53476</v>
      </c>
      <c r="Y1747">
        <f>cleaneddata[[#This Row],[Unit Price]]-cleaneddata[[#This Row],[Discount]]</f>
        <v>1.75</v>
      </c>
      <c r="Z174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48" spans="1:26" x14ac:dyDescent="0.3">
      <c r="A1748">
        <v>3079</v>
      </c>
      <c r="B1748" t="s">
        <v>295</v>
      </c>
      <c r="C1748" t="s">
        <v>46</v>
      </c>
      <c r="D1748">
        <v>0.01</v>
      </c>
      <c r="E1748">
        <v>193.17</v>
      </c>
      <c r="F1748">
        <v>19.989999999999998</v>
      </c>
      <c r="G1748" t="s">
        <v>63</v>
      </c>
      <c r="H1748" t="s">
        <v>3</v>
      </c>
      <c r="I1748" t="s">
        <v>24</v>
      </c>
      <c r="J1748" t="s">
        <v>54</v>
      </c>
      <c r="K1748" t="s">
        <v>49</v>
      </c>
      <c r="L1748" t="s">
        <v>1558</v>
      </c>
      <c r="M1748">
        <v>0.71</v>
      </c>
      <c r="N1748" t="s">
        <v>8</v>
      </c>
      <c r="O1748" t="s">
        <v>87</v>
      </c>
      <c r="P1748" t="s">
        <v>296</v>
      </c>
      <c r="Q1748" t="s">
        <v>297</v>
      </c>
      <c r="R1748">
        <v>19112</v>
      </c>
      <c r="S1748" s="1">
        <v>42166</v>
      </c>
      <c r="T1748" s="1">
        <v>42166</v>
      </c>
      <c r="U1748">
        <v>1141.07</v>
      </c>
      <c r="V1748">
        <v>63</v>
      </c>
      <c r="W1748">
        <v>12190.98</v>
      </c>
      <c r="X1748">
        <v>53476</v>
      </c>
      <c r="Y1748">
        <f>cleaneddata[[#This Row],[Unit Price]]-cleaneddata[[#This Row],[Discount]]</f>
        <v>193.16</v>
      </c>
      <c r="Z174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49" spans="1:26" x14ac:dyDescent="0.3">
      <c r="A1749">
        <v>2046</v>
      </c>
      <c r="B1749" t="s">
        <v>2808</v>
      </c>
      <c r="C1749" t="s">
        <v>1</v>
      </c>
      <c r="D1749">
        <v>0.04</v>
      </c>
      <c r="E1749">
        <v>4.28</v>
      </c>
      <c r="F1749">
        <v>5.68</v>
      </c>
      <c r="G1749" t="s">
        <v>14</v>
      </c>
      <c r="H1749" t="s">
        <v>70</v>
      </c>
      <c r="I1749" t="s">
        <v>24</v>
      </c>
      <c r="J1749" t="s">
        <v>64</v>
      </c>
      <c r="K1749" t="s">
        <v>49</v>
      </c>
      <c r="L1749" t="s">
        <v>2809</v>
      </c>
      <c r="M1749">
        <v>0.4</v>
      </c>
      <c r="N1749" t="s">
        <v>8</v>
      </c>
      <c r="O1749" t="s">
        <v>28</v>
      </c>
      <c r="P1749" t="s">
        <v>513</v>
      </c>
      <c r="Q1749" t="s">
        <v>2810</v>
      </c>
      <c r="R1749">
        <v>67901</v>
      </c>
      <c r="S1749" s="1">
        <v>42167</v>
      </c>
      <c r="T1749" s="1">
        <v>42169</v>
      </c>
      <c r="U1749">
        <v>-27.375</v>
      </c>
      <c r="V1749">
        <v>7</v>
      </c>
      <c r="W1749">
        <v>31.54</v>
      </c>
      <c r="X1749">
        <v>88219</v>
      </c>
      <c r="Y1749">
        <f>cleaneddata[[#This Row],[Unit Price]]-cleaneddata[[#This Row],[Discount]]</f>
        <v>4.24</v>
      </c>
      <c r="Z174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0" spans="1:26" x14ac:dyDescent="0.3">
      <c r="A1750">
        <v>2046</v>
      </c>
      <c r="B1750" t="s">
        <v>2808</v>
      </c>
      <c r="C1750" t="s">
        <v>1</v>
      </c>
      <c r="D1750">
        <v>0.06</v>
      </c>
      <c r="E1750">
        <v>376.13</v>
      </c>
      <c r="F1750">
        <v>85.63</v>
      </c>
      <c r="G1750" t="s">
        <v>2</v>
      </c>
      <c r="H1750" t="s">
        <v>70</v>
      </c>
      <c r="I1750" t="s">
        <v>4</v>
      </c>
      <c r="J1750" t="s">
        <v>5</v>
      </c>
      <c r="K1750" t="s">
        <v>6</v>
      </c>
      <c r="L1750" t="s">
        <v>2811</v>
      </c>
      <c r="M1750">
        <v>0.74</v>
      </c>
      <c r="N1750" t="s">
        <v>8</v>
      </c>
      <c r="O1750" t="s">
        <v>28</v>
      </c>
      <c r="P1750" t="s">
        <v>513</v>
      </c>
      <c r="Q1750" t="s">
        <v>2810</v>
      </c>
      <c r="R1750">
        <v>67901</v>
      </c>
      <c r="S1750" s="1">
        <v>42167</v>
      </c>
      <c r="T1750" s="1">
        <v>42169</v>
      </c>
      <c r="U1750">
        <v>-435.75749999999999</v>
      </c>
      <c r="V1750">
        <v>13</v>
      </c>
      <c r="W1750">
        <v>4634.6899999999996</v>
      </c>
      <c r="X1750">
        <v>88219</v>
      </c>
      <c r="Y1750">
        <f>cleaneddata[[#This Row],[Unit Price]]-cleaneddata[[#This Row],[Discount]]</f>
        <v>376.07</v>
      </c>
      <c r="Z175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1" spans="1:26" x14ac:dyDescent="0.3">
      <c r="A1751">
        <v>2046</v>
      </c>
      <c r="B1751" t="s">
        <v>2808</v>
      </c>
      <c r="C1751" t="s">
        <v>1</v>
      </c>
      <c r="D1751">
        <v>0.06</v>
      </c>
      <c r="E1751">
        <v>424.21</v>
      </c>
      <c r="F1751">
        <v>110.2</v>
      </c>
      <c r="G1751" t="s">
        <v>2</v>
      </c>
      <c r="H1751" t="s">
        <v>70</v>
      </c>
      <c r="I1751" t="s">
        <v>4</v>
      </c>
      <c r="J1751" t="s">
        <v>5</v>
      </c>
      <c r="K1751" t="s">
        <v>6</v>
      </c>
      <c r="L1751" t="s">
        <v>891</v>
      </c>
      <c r="M1751">
        <v>0.67</v>
      </c>
      <c r="N1751" t="s">
        <v>8</v>
      </c>
      <c r="O1751" t="s">
        <v>28</v>
      </c>
      <c r="P1751" t="s">
        <v>513</v>
      </c>
      <c r="Q1751" t="s">
        <v>2810</v>
      </c>
      <c r="R1751">
        <v>67901</v>
      </c>
      <c r="S1751" s="1">
        <v>42167</v>
      </c>
      <c r="T1751" s="1">
        <v>42168</v>
      </c>
      <c r="U1751">
        <v>682.53</v>
      </c>
      <c r="V1751">
        <v>17</v>
      </c>
      <c r="W1751">
        <v>7304.03</v>
      </c>
      <c r="X1751">
        <v>88219</v>
      </c>
      <c r="Y1751">
        <f>cleaneddata[[#This Row],[Unit Price]]-cleaneddata[[#This Row],[Discount]]</f>
        <v>424.15</v>
      </c>
      <c r="Z175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2" spans="1:26" x14ac:dyDescent="0.3">
      <c r="A1752">
        <v>2046</v>
      </c>
      <c r="B1752" t="s">
        <v>2808</v>
      </c>
      <c r="C1752" t="s">
        <v>1</v>
      </c>
      <c r="D1752">
        <v>0.06</v>
      </c>
      <c r="E1752">
        <v>195.99</v>
      </c>
      <c r="F1752">
        <v>8.99</v>
      </c>
      <c r="G1752" t="s">
        <v>14</v>
      </c>
      <c r="H1752" t="s">
        <v>70</v>
      </c>
      <c r="I1752" t="s">
        <v>16</v>
      </c>
      <c r="J1752" t="s">
        <v>111</v>
      </c>
      <c r="K1752" t="s">
        <v>49</v>
      </c>
      <c r="L1752" t="s">
        <v>1319</v>
      </c>
      <c r="M1752">
        <v>0.6</v>
      </c>
      <c r="N1752" t="s">
        <v>8</v>
      </c>
      <c r="O1752" t="s">
        <v>28</v>
      </c>
      <c r="P1752" t="s">
        <v>513</v>
      </c>
      <c r="Q1752" t="s">
        <v>2810</v>
      </c>
      <c r="R1752">
        <v>67901</v>
      </c>
      <c r="S1752" s="1">
        <v>42167</v>
      </c>
      <c r="T1752" s="1">
        <v>42169</v>
      </c>
      <c r="U1752">
        <v>-277.22199999999998</v>
      </c>
      <c r="V1752">
        <v>4</v>
      </c>
      <c r="W1752">
        <v>632.65</v>
      </c>
      <c r="X1752">
        <v>88219</v>
      </c>
      <c r="Y1752">
        <f>cleaneddata[[#This Row],[Unit Price]]-cleaneddata[[#This Row],[Discount]]</f>
        <v>195.93</v>
      </c>
      <c r="Z17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3" spans="1:26" x14ac:dyDescent="0.3">
      <c r="A1753">
        <v>62</v>
      </c>
      <c r="B1753" t="s">
        <v>2443</v>
      </c>
      <c r="C1753" t="s">
        <v>13</v>
      </c>
      <c r="D1753">
        <v>0.04</v>
      </c>
      <c r="E1753">
        <v>29.14</v>
      </c>
      <c r="F1753">
        <v>4.8600000000000003</v>
      </c>
      <c r="G1753" t="s">
        <v>14</v>
      </c>
      <c r="H1753" t="s">
        <v>70</v>
      </c>
      <c r="I1753" t="s">
        <v>24</v>
      </c>
      <c r="J1753" t="s">
        <v>64</v>
      </c>
      <c r="K1753" t="s">
        <v>26</v>
      </c>
      <c r="L1753" t="s">
        <v>2812</v>
      </c>
      <c r="M1753">
        <v>0.38</v>
      </c>
      <c r="N1753" t="s">
        <v>8</v>
      </c>
      <c r="O1753" t="s">
        <v>28</v>
      </c>
      <c r="P1753" t="s">
        <v>163</v>
      </c>
      <c r="Q1753" t="s">
        <v>2445</v>
      </c>
      <c r="R1753">
        <v>78664</v>
      </c>
      <c r="S1753" s="1">
        <v>42167</v>
      </c>
      <c r="T1753" s="1">
        <v>42169</v>
      </c>
      <c r="U1753">
        <v>349.40910000000002</v>
      </c>
      <c r="V1753">
        <v>17</v>
      </c>
      <c r="W1753">
        <v>506.39</v>
      </c>
      <c r="X1753">
        <v>87408</v>
      </c>
      <c r="Y1753">
        <f>cleaneddata[[#This Row],[Unit Price]]-cleaneddata[[#This Row],[Discount]]</f>
        <v>29.1</v>
      </c>
      <c r="Z17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4" spans="1:26" x14ac:dyDescent="0.3">
      <c r="A1754">
        <v>387</v>
      </c>
      <c r="B1754" t="s">
        <v>2813</v>
      </c>
      <c r="C1754" t="s">
        <v>13</v>
      </c>
      <c r="D1754">
        <v>0.1</v>
      </c>
      <c r="E1754">
        <v>8.8800000000000008</v>
      </c>
      <c r="F1754">
        <v>6.28</v>
      </c>
      <c r="G1754" t="s">
        <v>63</v>
      </c>
      <c r="H1754" t="s">
        <v>70</v>
      </c>
      <c r="I1754" t="s">
        <v>24</v>
      </c>
      <c r="J1754" t="s">
        <v>48</v>
      </c>
      <c r="K1754" t="s">
        <v>49</v>
      </c>
      <c r="L1754" t="s">
        <v>196</v>
      </c>
      <c r="M1754">
        <v>0.35</v>
      </c>
      <c r="N1754" t="s">
        <v>8</v>
      </c>
      <c r="O1754" t="s">
        <v>28</v>
      </c>
      <c r="P1754" t="s">
        <v>109</v>
      </c>
      <c r="Q1754" t="s">
        <v>2814</v>
      </c>
      <c r="R1754">
        <v>68801</v>
      </c>
      <c r="S1754" s="1">
        <v>42167</v>
      </c>
      <c r="T1754" s="1">
        <v>42169</v>
      </c>
      <c r="U1754">
        <v>-27.283750000000001</v>
      </c>
      <c r="V1754">
        <v>15</v>
      </c>
      <c r="W1754">
        <v>126.9</v>
      </c>
      <c r="X1754">
        <v>90339</v>
      </c>
      <c r="Y1754">
        <f>cleaneddata[[#This Row],[Unit Price]]-cleaneddata[[#This Row],[Discount]]</f>
        <v>8.7800000000000011</v>
      </c>
      <c r="Z17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5" spans="1:26" x14ac:dyDescent="0.3">
      <c r="A1755">
        <v>1016</v>
      </c>
      <c r="B1755" t="s">
        <v>2815</v>
      </c>
      <c r="C1755" t="s">
        <v>13</v>
      </c>
      <c r="D1755">
        <v>0.02</v>
      </c>
      <c r="E1755">
        <v>6.48</v>
      </c>
      <c r="F1755">
        <v>7.86</v>
      </c>
      <c r="G1755" t="s">
        <v>63</v>
      </c>
      <c r="H1755" t="s">
        <v>47</v>
      </c>
      <c r="I1755" t="s">
        <v>24</v>
      </c>
      <c r="J1755" t="s">
        <v>64</v>
      </c>
      <c r="K1755" t="s">
        <v>49</v>
      </c>
      <c r="L1755" t="s">
        <v>836</v>
      </c>
      <c r="M1755">
        <v>0.37</v>
      </c>
      <c r="N1755" t="s">
        <v>8</v>
      </c>
      <c r="O1755" t="s">
        <v>9</v>
      </c>
      <c r="P1755" t="s">
        <v>73</v>
      </c>
      <c r="Q1755" t="s">
        <v>2816</v>
      </c>
      <c r="R1755">
        <v>28806</v>
      </c>
      <c r="S1755" s="1">
        <v>42167</v>
      </c>
      <c r="T1755" s="1">
        <v>42168</v>
      </c>
      <c r="U1755">
        <v>111.22199999999999</v>
      </c>
      <c r="V1755">
        <v>1</v>
      </c>
      <c r="W1755">
        <v>11.41</v>
      </c>
      <c r="X1755">
        <v>88389</v>
      </c>
      <c r="Y1755">
        <f>cleaneddata[[#This Row],[Unit Price]]-cleaneddata[[#This Row],[Discount]]</f>
        <v>6.4600000000000009</v>
      </c>
      <c r="Z175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56" spans="1:26" x14ac:dyDescent="0.3">
      <c r="A1756">
        <v>1745</v>
      </c>
      <c r="B1756" t="s">
        <v>335</v>
      </c>
      <c r="C1756" t="s">
        <v>13</v>
      </c>
      <c r="D1756">
        <v>0.04</v>
      </c>
      <c r="E1756">
        <v>124.49</v>
      </c>
      <c r="F1756">
        <v>51.94</v>
      </c>
      <c r="G1756" t="s">
        <v>2</v>
      </c>
      <c r="H1756" t="s">
        <v>15</v>
      </c>
      <c r="I1756" t="s">
        <v>4</v>
      </c>
      <c r="J1756" t="s">
        <v>5</v>
      </c>
      <c r="K1756" t="s">
        <v>6</v>
      </c>
      <c r="L1756" t="s">
        <v>1125</v>
      </c>
      <c r="M1756">
        <v>0.63</v>
      </c>
      <c r="N1756" t="s">
        <v>8</v>
      </c>
      <c r="O1756" t="s">
        <v>9</v>
      </c>
      <c r="P1756" t="s">
        <v>51</v>
      </c>
      <c r="Q1756" t="s">
        <v>337</v>
      </c>
      <c r="R1756">
        <v>30305</v>
      </c>
      <c r="S1756" s="1">
        <v>42167</v>
      </c>
      <c r="T1756" s="1">
        <v>42169</v>
      </c>
      <c r="U1756">
        <v>-247.55157</v>
      </c>
      <c r="V1756">
        <v>4</v>
      </c>
      <c r="W1756">
        <v>605.82000000000005</v>
      </c>
      <c r="X1756">
        <v>12224</v>
      </c>
      <c r="Y1756">
        <f>cleaneddata[[#This Row],[Unit Price]]-cleaneddata[[#This Row],[Discount]]</f>
        <v>124.44999999999999</v>
      </c>
      <c r="Z175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57" spans="1:26" x14ac:dyDescent="0.3">
      <c r="A1757">
        <v>1745</v>
      </c>
      <c r="B1757" t="s">
        <v>335</v>
      </c>
      <c r="C1757" t="s">
        <v>13</v>
      </c>
      <c r="D1757">
        <v>0.1</v>
      </c>
      <c r="E1757">
        <v>35.99</v>
      </c>
      <c r="F1757">
        <v>5</v>
      </c>
      <c r="G1757" t="s">
        <v>14</v>
      </c>
      <c r="H1757" t="s">
        <v>15</v>
      </c>
      <c r="I1757" t="s">
        <v>16</v>
      </c>
      <c r="J1757" t="s">
        <v>111</v>
      </c>
      <c r="K1757" t="s">
        <v>26</v>
      </c>
      <c r="L1757" t="s">
        <v>1825</v>
      </c>
      <c r="M1757">
        <v>0.82</v>
      </c>
      <c r="N1757" t="s">
        <v>8</v>
      </c>
      <c r="O1757" t="s">
        <v>9</v>
      </c>
      <c r="P1757" t="s">
        <v>51</v>
      </c>
      <c r="Q1757" t="s">
        <v>337</v>
      </c>
      <c r="R1757">
        <v>30305</v>
      </c>
      <c r="S1757" s="1">
        <v>42167</v>
      </c>
      <c r="T1757" s="1">
        <v>42167</v>
      </c>
      <c r="U1757">
        <v>-277.20924000000002</v>
      </c>
      <c r="V1757">
        <v>54</v>
      </c>
      <c r="W1757">
        <v>1569</v>
      </c>
      <c r="X1757">
        <v>12224</v>
      </c>
      <c r="Y1757">
        <f>cleaneddata[[#This Row],[Unit Price]]-cleaneddata[[#This Row],[Discount]]</f>
        <v>35.89</v>
      </c>
      <c r="Z175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58" spans="1:26" x14ac:dyDescent="0.3">
      <c r="A1758">
        <v>1748</v>
      </c>
      <c r="B1758" t="s">
        <v>2817</v>
      </c>
      <c r="C1758" t="s">
        <v>13</v>
      </c>
      <c r="D1758">
        <v>0.04</v>
      </c>
      <c r="E1758">
        <v>124.49</v>
      </c>
      <c r="F1758">
        <v>51.94</v>
      </c>
      <c r="G1758" t="s">
        <v>2</v>
      </c>
      <c r="H1758" t="s">
        <v>15</v>
      </c>
      <c r="I1758" t="s">
        <v>4</v>
      </c>
      <c r="J1758" t="s">
        <v>5</v>
      </c>
      <c r="K1758" t="s">
        <v>6</v>
      </c>
      <c r="L1758" t="s">
        <v>1125</v>
      </c>
      <c r="M1758">
        <v>0.63</v>
      </c>
      <c r="N1758" t="s">
        <v>8</v>
      </c>
      <c r="O1758" t="s">
        <v>28</v>
      </c>
      <c r="P1758" t="s">
        <v>183</v>
      </c>
      <c r="Q1758" t="s">
        <v>2818</v>
      </c>
      <c r="R1758">
        <v>73703</v>
      </c>
      <c r="S1758" s="1">
        <v>42167</v>
      </c>
      <c r="T1758" s="1">
        <v>42169</v>
      </c>
      <c r="U1758">
        <v>-93.064499999999995</v>
      </c>
      <c r="V1758">
        <v>1</v>
      </c>
      <c r="W1758">
        <v>151.46</v>
      </c>
      <c r="X1758">
        <v>87245</v>
      </c>
      <c r="Y1758">
        <f>cleaneddata[[#This Row],[Unit Price]]-cleaneddata[[#This Row],[Discount]]</f>
        <v>124.44999999999999</v>
      </c>
      <c r="Z175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59" spans="1:26" x14ac:dyDescent="0.3">
      <c r="A1759">
        <v>1781</v>
      </c>
      <c r="B1759" t="s">
        <v>275</v>
      </c>
      <c r="C1759" t="s">
        <v>13</v>
      </c>
      <c r="D1759">
        <v>0</v>
      </c>
      <c r="E1759">
        <v>55.48</v>
      </c>
      <c r="F1759">
        <v>14.3</v>
      </c>
      <c r="G1759" t="s">
        <v>14</v>
      </c>
      <c r="H1759" t="s">
        <v>70</v>
      </c>
      <c r="I1759" t="s">
        <v>24</v>
      </c>
      <c r="J1759" t="s">
        <v>64</v>
      </c>
      <c r="K1759" t="s">
        <v>49</v>
      </c>
      <c r="L1759" t="s">
        <v>823</v>
      </c>
      <c r="M1759">
        <v>0.37</v>
      </c>
      <c r="N1759" t="s">
        <v>8</v>
      </c>
      <c r="O1759" t="s">
        <v>35</v>
      </c>
      <c r="P1759" t="s">
        <v>66</v>
      </c>
      <c r="Q1759" t="s">
        <v>277</v>
      </c>
      <c r="R1759">
        <v>94070</v>
      </c>
      <c r="S1759" s="1">
        <v>42167</v>
      </c>
      <c r="T1759" s="1">
        <v>42169</v>
      </c>
      <c r="U1759">
        <v>454.44779999999997</v>
      </c>
      <c r="V1759">
        <v>11</v>
      </c>
      <c r="W1759">
        <v>658.62</v>
      </c>
      <c r="X1759">
        <v>89857</v>
      </c>
      <c r="Y1759">
        <f>cleaneddata[[#This Row],[Unit Price]]-cleaneddata[[#This Row],[Discount]]</f>
        <v>55.48</v>
      </c>
      <c r="Z175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60" spans="1:26" x14ac:dyDescent="0.3">
      <c r="A1760">
        <v>2257</v>
      </c>
      <c r="B1760" t="s">
        <v>2819</v>
      </c>
      <c r="C1760" t="s">
        <v>13</v>
      </c>
      <c r="D1760">
        <v>0.06</v>
      </c>
      <c r="E1760">
        <v>6.68</v>
      </c>
      <c r="F1760">
        <v>6.93</v>
      </c>
      <c r="G1760" t="s">
        <v>14</v>
      </c>
      <c r="H1760" t="s">
        <v>70</v>
      </c>
      <c r="I1760" t="s">
        <v>24</v>
      </c>
      <c r="J1760" t="s">
        <v>64</v>
      </c>
      <c r="K1760" t="s">
        <v>49</v>
      </c>
      <c r="L1760" t="s">
        <v>952</v>
      </c>
      <c r="M1760">
        <v>0.37</v>
      </c>
      <c r="N1760" t="s">
        <v>8</v>
      </c>
      <c r="O1760" t="s">
        <v>9</v>
      </c>
      <c r="P1760" t="s">
        <v>73</v>
      </c>
      <c r="Q1760" t="s">
        <v>2820</v>
      </c>
      <c r="R1760">
        <v>27604</v>
      </c>
      <c r="S1760" s="1">
        <v>42167</v>
      </c>
      <c r="T1760" s="1">
        <v>42168</v>
      </c>
      <c r="U1760">
        <v>7.6245000000000003</v>
      </c>
      <c r="V1760">
        <v>14</v>
      </c>
      <c r="W1760">
        <v>91.92</v>
      </c>
      <c r="X1760">
        <v>87965</v>
      </c>
      <c r="Y1760">
        <f>cleaneddata[[#This Row],[Unit Price]]-cleaneddata[[#This Row],[Discount]]</f>
        <v>6.62</v>
      </c>
      <c r="Z176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61" spans="1:26" x14ac:dyDescent="0.3">
      <c r="A1761">
        <v>1466</v>
      </c>
      <c r="B1761" t="s">
        <v>2801</v>
      </c>
      <c r="C1761" t="s">
        <v>23</v>
      </c>
      <c r="D1761">
        <v>0.04</v>
      </c>
      <c r="E1761">
        <v>130.97999999999999</v>
      </c>
      <c r="F1761">
        <v>54.74</v>
      </c>
      <c r="G1761" t="s">
        <v>2</v>
      </c>
      <c r="H1761" t="s">
        <v>3</v>
      </c>
      <c r="I1761" t="s">
        <v>4</v>
      </c>
      <c r="J1761" t="s">
        <v>93</v>
      </c>
      <c r="K1761" t="s">
        <v>6</v>
      </c>
      <c r="L1761" t="s">
        <v>1379</v>
      </c>
      <c r="M1761">
        <v>0.69</v>
      </c>
      <c r="N1761" t="s">
        <v>8</v>
      </c>
      <c r="O1761" t="s">
        <v>28</v>
      </c>
      <c r="P1761" t="s">
        <v>109</v>
      </c>
      <c r="Q1761" t="s">
        <v>1459</v>
      </c>
      <c r="R1761">
        <v>68601</v>
      </c>
      <c r="S1761" s="1">
        <v>42167</v>
      </c>
      <c r="T1761" s="1">
        <v>42167</v>
      </c>
      <c r="U1761">
        <v>-723.78399999999999</v>
      </c>
      <c r="V1761">
        <v>14</v>
      </c>
      <c r="W1761">
        <v>1781.66</v>
      </c>
      <c r="X1761">
        <v>91116</v>
      </c>
      <c r="Y1761">
        <f>cleaneddata[[#This Row],[Unit Price]]-cleaneddata[[#This Row],[Discount]]</f>
        <v>130.94</v>
      </c>
      <c r="Z176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62" spans="1:26" x14ac:dyDescent="0.3">
      <c r="A1762">
        <v>1469</v>
      </c>
      <c r="B1762" t="s">
        <v>2821</v>
      </c>
      <c r="C1762" t="s">
        <v>23</v>
      </c>
      <c r="D1762">
        <v>0.04</v>
      </c>
      <c r="E1762">
        <v>105.29</v>
      </c>
      <c r="F1762">
        <v>10.119999999999999</v>
      </c>
      <c r="G1762" t="s">
        <v>14</v>
      </c>
      <c r="H1762" t="s">
        <v>3</v>
      </c>
      <c r="I1762" t="s">
        <v>4</v>
      </c>
      <c r="J1762" t="s">
        <v>102</v>
      </c>
      <c r="K1762" t="s">
        <v>40</v>
      </c>
      <c r="L1762" t="s">
        <v>170</v>
      </c>
      <c r="M1762">
        <v>0.79</v>
      </c>
      <c r="N1762" t="s">
        <v>8</v>
      </c>
      <c r="O1762" t="s">
        <v>35</v>
      </c>
      <c r="P1762" t="s">
        <v>122</v>
      </c>
      <c r="Q1762" t="s">
        <v>2822</v>
      </c>
      <c r="R1762">
        <v>84015</v>
      </c>
      <c r="S1762" s="1">
        <v>42167</v>
      </c>
      <c r="T1762" s="1">
        <v>42171</v>
      </c>
      <c r="U1762">
        <v>589.18799999999999</v>
      </c>
      <c r="V1762">
        <v>9</v>
      </c>
      <c r="W1762">
        <v>940.64</v>
      </c>
      <c r="X1762">
        <v>91116</v>
      </c>
      <c r="Y1762">
        <f>cleaneddata[[#This Row],[Unit Price]]-cleaneddata[[#This Row],[Discount]]</f>
        <v>105.25</v>
      </c>
      <c r="Z176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63" spans="1:26" x14ac:dyDescent="0.3">
      <c r="A1763">
        <v>1469</v>
      </c>
      <c r="B1763" t="s">
        <v>2821</v>
      </c>
      <c r="C1763" t="s">
        <v>23</v>
      </c>
      <c r="D1763">
        <v>7.0000000000000007E-2</v>
      </c>
      <c r="E1763">
        <v>31.76</v>
      </c>
      <c r="F1763">
        <v>45.51</v>
      </c>
      <c r="G1763" t="s">
        <v>2</v>
      </c>
      <c r="H1763" t="s">
        <v>3</v>
      </c>
      <c r="I1763" t="s">
        <v>4</v>
      </c>
      <c r="J1763" t="s">
        <v>5</v>
      </c>
      <c r="K1763" t="s">
        <v>6</v>
      </c>
      <c r="L1763" t="s">
        <v>642</v>
      </c>
      <c r="M1763">
        <v>0.65</v>
      </c>
      <c r="N1763" t="s">
        <v>8</v>
      </c>
      <c r="O1763" t="s">
        <v>35</v>
      </c>
      <c r="P1763" t="s">
        <v>122</v>
      </c>
      <c r="Q1763" t="s">
        <v>2822</v>
      </c>
      <c r="R1763">
        <v>84015</v>
      </c>
      <c r="S1763" s="1">
        <v>42167</v>
      </c>
      <c r="T1763" s="1">
        <v>42169</v>
      </c>
      <c r="U1763">
        <v>-1314.992</v>
      </c>
      <c r="V1763">
        <v>18</v>
      </c>
      <c r="W1763">
        <v>439.27</v>
      </c>
      <c r="X1763">
        <v>91116</v>
      </c>
      <c r="Y1763">
        <f>cleaneddata[[#This Row],[Unit Price]]-cleaneddata[[#This Row],[Discount]]</f>
        <v>31.69</v>
      </c>
      <c r="Z176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64" spans="1:26" x14ac:dyDescent="0.3">
      <c r="A1764">
        <v>3179</v>
      </c>
      <c r="B1764" t="s">
        <v>2823</v>
      </c>
      <c r="C1764" t="s">
        <v>23</v>
      </c>
      <c r="D1764">
        <v>7.0000000000000007E-2</v>
      </c>
      <c r="E1764">
        <v>35.44</v>
      </c>
      <c r="F1764">
        <v>7.5</v>
      </c>
      <c r="G1764" t="s">
        <v>14</v>
      </c>
      <c r="H1764" t="s">
        <v>70</v>
      </c>
      <c r="I1764" t="s">
        <v>24</v>
      </c>
      <c r="J1764" t="s">
        <v>64</v>
      </c>
      <c r="K1764" t="s">
        <v>49</v>
      </c>
      <c r="L1764" t="s">
        <v>543</v>
      </c>
      <c r="M1764">
        <v>0.38</v>
      </c>
      <c r="N1764" t="s">
        <v>8</v>
      </c>
      <c r="O1764" t="s">
        <v>28</v>
      </c>
      <c r="P1764" t="s">
        <v>60</v>
      </c>
      <c r="Q1764" t="s">
        <v>2824</v>
      </c>
      <c r="R1764">
        <v>55060</v>
      </c>
      <c r="S1764" s="1">
        <v>42167</v>
      </c>
      <c r="T1764" s="1">
        <v>42174</v>
      </c>
      <c r="U1764">
        <v>262.2</v>
      </c>
      <c r="V1764">
        <v>11</v>
      </c>
      <c r="W1764">
        <v>380</v>
      </c>
      <c r="X1764">
        <v>86989</v>
      </c>
      <c r="Y1764">
        <f>cleaneddata[[#This Row],[Unit Price]]-cleaneddata[[#This Row],[Discount]]</f>
        <v>35.369999999999997</v>
      </c>
      <c r="Z176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65" spans="1:26" x14ac:dyDescent="0.3">
      <c r="A1765">
        <v>550</v>
      </c>
      <c r="B1765" t="s">
        <v>848</v>
      </c>
      <c r="C1765" t="s">
        <v>92</v>
      </c>
      <c r="D1765">
        <v>0.06</v>
      </c>
      <c r="E1765">
        <v>549.99</v>
      </c>
      <c r="F1765">
        <v>49</v>
      </c>
      <c r="G1765" t="s">
        <v>2</v>
      </c>
      <c r="H1765" t="s">
        <v>70</v>
      </c>
      <c r="I1765" t="s">
        <v>16</v>
      </c>
      <c r="J1765" t="s">
        <v>39</v>
      </c>
      <c r="K1765" t="s">
        <v>33</v>
      </c>
      <c r="L1765" t="s">
        <v>1220</v>
      </c>
      <c r="M1765">
        <v>0.35</v>
      </c>
      <c r="N1765" t="s">
        <v>8</v>
      </c>
      <c r="O1765" t="s">
        <v>28</v>
      </c>
      <c r="P1765" t="s">
        <v>163</v>
      </c>
      <c r="Q1765" t="s">
        <v>849</v>
      </c>
      <c r="R1765">
        <v>78155</v>
      </c>
      <c r="S1765" s="1">
        <v>42167</v>
      </c>
      <c r="T1765" s="1">
        <v>42168</v>
      </c>
      <c r="U1765">
        <v>4637.4071999999996</v>
      </c>
      <c r="V1765">
        <v>13</v>
      </c>
      <c r="W1765">
        <v>6720.88</v>
      </c>
      <c r="X1765">
        <v>90910</v>
      </c>
      <c r="Y1765">
        <f>cleaneddata[[#This Row],[Unit Price]]-cleaneddata[[#This Row],[Discount]]</f>
        <v>549.93000000000006</v>
      </c>
      <c r="Z176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66" spans="1:26" x14ac:dyDescent="0.3">
      <c r="A1766">
        <v>550</v>
      </c>
      <c r="B1766" t="s">
        <v>848</v>
      </c>
      <c r="C1766" t="s">
        <v>92</v>
      </c>
      <c r="D1766">
        <v>0.08</v>
      </c>
      <c r="E1766">
        <v>115.99</v>
      </c>
      <c r="F1766">
        <v>5.99</v>
      </c>
      <c r="G1766" t="s">
        <v>63</v>
      </c>
      <c r="H1766" t="s">
        <v>70</v>
      </c>
      <c r="I1766" t="s">
        <v>16</v>
      </c>
      <c r="J1766" t="s">
        <v>111</v>
      </c>
      <c r="K1766" t="s">
        <v>49</v>
      </c>
      <c r="L1766" t="s">
        <v>2825</v>
      </c>
      <c r="M1766">
        <v>0.56999999999999995</v>
      </c>
      <c r="N1766" t="s">
        <v>8</v>
      </c>
      <c r="O1766" t="s">
        <v>28</v>
      </c>
      <c r="P1766" t="s">
        <v>163</v>
      </c>
      <c r="Q1766" t="s">
        <v>849</v>
      </c>
      <c r="R1766">
        <v>78155</v>
      </c>
      <c r="S1766" s="1">
        <v>42167</v>
      </c>
      <c r="T1766" s="1">
        <v>42168</v>
      </c>
      <c r="U1766">
        <v>-239.54150000000001</v>
      </c>
      <c r="V1766">
        <v>1</v>
      </c>
      <c r="W1766">
        <v>102.21</v>
      </c>
      <c r="X1766">
        <v>90910</v>
      </c>
      <c r="Y1766">
        <f>cleaneddata[[#This Row],[Unit Price]]-cleaneddata[[#This Row],[Discount]]</f>
        <v>115.91</v>
      </c>
      <c r="Z176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67" spans="1:26" x14ac:dyDescent="0.3">
      <c r="A1767">
        <v>3230</v>
      </c>
      <c r="B1767" t="s">
        <v>676</v>
      </c>
      <c r="C1767" t="s">
        <v>1</v>
      </c>
      <c r="D1767">
        <v>0.06</v>
      </c>
      <c r="E1767">
        <v>4.91</v>
      </c>
      <c r="F1767">
        <v>5.68</v>
      </c>
      <c r="G1767" t="s">
        <v>63</v>
      </c>
      <c r="H1767" t="s">
        <v>3</v>
      </c>
      <c r="I1767" t="s">
        <v>24</v>
      </c>
      <c r="J1767" t="s">
        <v>48</v>
      </c>
      <c r="K1767" t="s">
        <v>49</v>
      </c>
      <c r="L1767" t="s">
        <v>1909</v>
      </c>
      <c r="M1767">
        <v>0.36</v>
      </c>
      <c r="N1767" t="s">
        <v>8</v>
      </c>
      <c r="O1767" t="s">
        <v>28</v>
      </c>
      <c r="P1767" t="s">
        <v>333</v>
      </c>
      <c r="Q1767" t="s">
        <v>678</v>
      </c>
      <c r="R1767">
        <v>53186</v>
      </c>
      <c r="S1767" s="1">
        <v>42168</v>
      </c>
      <c r="T1767" s="1">
        <v>42168</v>
      </c>
      <c r="U1767">
        <v>-31.68825</v>
      </c>
      <c r="V1767">
        <v>10</v>
      </c>
      <c r="W1767">
        <v>53.89</v>
      </c>
      <c r="X1767">
        <v>87436</v>
      </c>
      <c r="Y1767">
        <f>cleaneddata[[#This Row],[Unit Price]]-cleaneddata[[#This Row],[Discount]]</f>
        <v>4.8500000000000005</v>
      </c>
      <c r="Z176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68" spans="1:26" x14ac:dyDescent="0.3">
      <c r="A1768">
        <v>3230</v>
      </c>
      <c r="B1768" t="s">
        <v>676</v>
      </c>
      <c r="C1768" t="s">
        <v>1</v>
      </c>
      <c r="D1768">
        <v>7.0000000000000007E-2</v>
      </c>
      <c r="E1768">
        <v>48.94</v>
      </c>
      <c r="F1768">
        <v>5.86</v>
      </c>
      <c r="G1768" t="s">
        <v>63</v>
      </c>
      <c r="H1768" t="s">
        <v>3</v>
      </c>
      <c r="I1768" t="s">
        <v>24</v>
      </c>
      <c r="J1768" t="s">
        <v>64</v>
      </c>
      <c r="K1768" t="s">
        <v>49</v>
      </c>
      <c r="L1768" t="s">
        <v>2826</v>
      </c>
      <c r="M1768">
        <v>0.35</v>
      </c>
      <c r="N1768" t="s">
        <v>8</v>
      </c>
      <c r="O1768" t="s">
        <v>28</v>
      </c>
      <c r="P1768" t="s">
        <v>333</v>
      </c>
      <c r="Q1768" t="s">
        <v>678</v>
      </c>
      <c r="R1768">
        <v>53186</v>
      </c>
      <c r="S1768" s="1">
        <v>42168</v>
      </c>
      <c r="T1768" s="1">
        <v>42169</v>
      </c>
      <c r="U1768">
        <v>690.7038</v>
      </c>
      <c r="V1768">
        <v>21</v>
      </c>
      <c r="W1768">
        <v>1001.02</v>
      </c>
      <c r="X1768">
        <v>87436</v>
      </c>
      <c r="Y1768">
        <f>cleaneddata[[#This Row],[Unit Price]]-cleaneddata[[#This Row],[Discount]]</f>
        <v>48.87</v>
      </c>
      <c r="Z176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69" spans="1:26" x14ac:dyDescent="0.3">
      <c r="A1769">
        <v>2143</v>
      </c>
      <c r="B1769" t="s">
        <v>2827</v>
      </c>
      <c r="C1769" t="s">
        <v>13</v>
      </c>
      <c r="D1769">
        <v>0.08</v>
      </c>
      <c r="E1769">
        <v>17.149999999999999</v>
      </c>
      <c r="F1769">
        <v>4.96</v>
      </c>
      <c r="G1769" t="s">
        <v>14</v>
      </c>
      <c r="H1769" t="s">
        <v>47</v>
      </c>
      <c r="I1769" t="s">
        <v>24</v>
      </c>
      <c r="J1769" t="s">
        <v>54</v>
      </c>
      <c r="K1769" t="s">
        <v>49</v>
      </c>
      <c r="L1769" t="s">
        <v>626</v>
      </c>
      <c r="M1769">
        <v>0.57999999999999996</v>
      </c>
      <c r="N1769" t="s">
        <v>8</v>
      </c>
      <c r="O1769" t="s">
        <v>9</v>
      </c>
      <c r="P1769" t="s">
        <v>218</v>
      </c>
      <c r="Q1769" t="s">
        <v>237</v>
      </c>
      <c r="R1769">
        <v>20151</v>
      </c>
      <c r="S1769" s="1">
        <v>42168</v>
      </c>
      <c r="T1769" s="1">
        <v>42171</v>
      </c>
      <c r="U1769">
        <v>33.659999999999997</v>
      </c>
      <c r="V1769">
        <v>12</v>
      </c>
      <c r="W1769">
        <v>200.61</v>
      </c>
      <c r="X1769">
        <v>87569</v>
      </c>
      <c r="Y1769">
        <f>cleaneddata[[#This Row],[Unit Price]]-cleaneddata[[#This Row],[Discount]]</f>
        <v>17.07</v>
      </c>
      <c r="Z176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70" spans="1:26" x14ac:dyDescent="0.3">
      <c r="A1770">
        <v>2771</v>
      </c>
      <c r="B1770" t="s">
        <v>2828</v>
      </c>
      <c r="C1770" t="s">
        <v>13</v>
      </c>
      <c r="D1770">
        <v>7.0000000000000007E-2</v>
      </c>
      <c r="E1770">
        <v>177.98</v>
      </c>
      <c r="F1770">
        <v>0.99</v>
      </c>
      <c r="G1770" t="s">
        <v>14</v>
      </c>
      <c r="H1770" t="s">
        <v>70</v>
      </c>
      <c r="I1770" t="s">
        <v>24</v>
      </c>
      <c r="J1770" t="s">
        <v>71</v>
      </c>
      <c r="K1770" t="s">
        <v>49</v>
      </c>
      <c r="L1770" t="s">
        <v>2829</v>
      </c>
      <c r="M1770">
        <v>0.56000000000000005</v>
      </c>
      <c r="N1770" t="s">
        <v>8</v>
      </c>
      <c r="O1770" t="s">
        <v>9</v>
      </c>
      <c r="P1770" t="s">
        <v>51</v>
      </c>
      <c r="Q1770" t="s">
        <v>2830</v>
      </c>
      <c r="R1770">
        <v>30344</v>
      </c>
      <c r="S1770" s="1">
        <v>42168</v>
      </c>
      <c r="T1770" s="1">
        <v>42168</v>
      </c>
      <c r="U1770">
        <v>-191.548</v>
      </c>
      <c r="V1770">
        <v>3</v>
      </c>
      <c r="W1770">
        <v>536.29</v>
      </c>
      <c r="X1770">
        <v>88974</v>
      </c>
      <c r="Y1770">
        <f>cleaneddata[[#This Row],[Unit Price]]-cleaneddata[[#This Row],[Discount]]</f>
        <v>177.91</v>
      </c>
      <c r="Z177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71" spans="1:26" x14ac:dyDescent="0.3">
      <c r="A1771">
        <v>1129</v>
      </c>
      <c r="B1771" t="s">
        <v>762</v>
      </c>
      <c r="C1771" t="s">
        <v>23</v>
      </c>
      <c r="D1771">
        <v>0.03</v>
      </c>
      <c r="E1771">
        <v>30.98</v>
      </c>
      <c r="F1771">
        <v>6.5</v>
      </c>
      <c r="G1771" t="s">
        <v>14</v>
      </c>
      <c r="H1771" t="s">
        <v>70</v>
      </c>
      <c r="I1771" t="s">
        <v>16</v>
      </c>
      <c r="J1771" t="s">
        <v>17</v>
      </c>
      <c r="K1771" t="s">
        <v>49</v>
      </c>
      <c r="L1771" t="s">
        <v>2831</v>
      </c>
      <c r="M1771">
        <v>0.79</v>
      </c>
      <c r="N1771" t="s">
        <v>8</v>
      </c>
      <c r="O1771" t="s">
        <v>87</v>
      </c>
      <c r="P1771" t="s">
        <v>379</v>
      </c>
      <c r="Q1771" t="s">
        <v>764</v>
      </c>
      <c r="R1771">
        <v>2118</v>
      </c>
      <c r="S1771" s="1">
        <v>42168</v>
      </c>
      <c r="T1771" s="1">
        <v>42172</v>
      </c>
      <c r="U1771">
        <v>-144.19999999999999</v>
      </c>
      <c r="V1771">
        <v>44</v>
      </c>
      <c r="W1771">
        <v>1332.09</v>
      </c>
      <c r="X1771">
        <v>39430</v>
      </c>
      <c r="Y1771">
        <f>cleaneddata[[#This Row],[Unit Price]]-cleaneddata[[#This Row],[Discount]]</f>
        <v>30.95</v>
      </c>
      <c r="Z177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72" spans="1:26" x14ac:dyDescent="0.3">
      <c r="A1772">
        <v>1132</v>
      </c>
      <c r="B1772" t="s">
        <v>1069</v>
      </c>
      <c r="C1772" t="s">
        <v>23</v>
      </c>
      <c r="D1772">
        <v>0.03</v>
      </c>
      <c r="E1772">
        <v>30.98</v>
      </c>
      <c r="F1772">
        <v>6.5</v>
      </c>
      <c r="G1772" t="s">
        <v>14</v>
      </c>
      <c r="H1772" t="s">
        <v>70</v>
      </c>
      <c r="I1772" t="s">
        <v>16</v>
      </c>
      <c r="J1772" t="s">
        <v>17</v>
      </c>
      <c r="K1772" t="s">
        <v>49</v>
      </c>
      <c r="L1772" t="s">
        <v>2831</v>
      </c>
      <c r="M1772">
        <v>0.79</v>
      </c>
      <c r="N1772" t="s">
        <v>8</v>
      </c>
      <c r="O1772" t="s">
        <v>28</v>
      </c>
      <c r="P1772" t="s">
        <v>163</v>
      </c>
      <c r="Q1772" t="s">
        <v>1070</v>
      </c>
      <c r="R1772">
        <v>76039</v>
      </c>
      <c r="S1772" s="1">
        <v>42168</v>
      </c>
      <c r="T1772" s="1">
        <v>42172</v>
      </c>
      <c r="U1772">
        <v>-115.36</v>
      </c>
      <c r="V1772">
        <v>11</v>
      </c>
      <c r="W1772">
        <v>333.02</v>
      </c>
      <c r="X1772">
        <v>88104</v>
      </c>
      <c r="Y1772">
        <f>cleaneddata[[#This Row],[Unit Price]]-cleaneddata[[#This Row],[Discount]]</f>
        <v>30.95</v>
      </c>
      <c r="Z17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73" spans="1:26" x14ac:dyDescent="0.3">
      <c r="A1773">
        <v>1505</v>
      </c>
      <c r="B1773" t="s">
        <v>2832</v>
      </c>
      <c r="C1773" t="s">
        <v>23</v>
      </c>
      <c r="D1773">
        <v>0</v>
      </c>
      <c r="E1773">
        <v>85.99</v>
      </c>
      <c r="F1773">
        <v>0.99</v>
      </c>
      <c r="G1773" t="s">
        <v>14</v>
      </c>
      <c r="H1773" t="s">
        <v>3</v>
      </c>
      <c r="I1773" t="s">
        <v>16</v>
      </c>
      <c r="J1773" t="s">
        <v>111</v>
      </c>
      <c r="K1773" t="s">
        <v>26</v>
      </c>
      <c r="L1773" t="s">
        <v>1572</v>
      </c>
      <c r="M1773">
        <v>0.85</v>
      </c>
      <c r="N1773" t="s">
        <v>8</v>
      </c>
      <c r="O1773" t="s">
        <v>28</v>
      </c>
      <c r="P1773" t="s">
        <v>163</v>
      </c>
      <c r="Q1773" t="s">
        <v>2833</v>
      </c>
      <c r="R1773">
        <v>77840</v>
      </c>
      <c r="S1773" s="1">
        <v>42168</v>
      </c>
      <c r="T1773" s="1">
        <v>42173</v>
      </c>
      <c r="U1773">
        <v>-138.0368</v>
      </c>
      <c r="V1773">
        <v>6</v>
      </c>
      <c r="W1773">
        <v>464.86</v>
      </c>
      <c r="X1773">
        <v>86181</v>
      </c>
      <c r="Y1773">
        <f>cleaneddata[[#This Row],[Unit Price]]-cleaneddata[[#This Row],[Discount]]</f>
        <v>85.99</v>
      </c>
      <c r="Z17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74" spans="1:26" x14ac:dyDescent="0.3">
      <c r="A1774">
        <v>5</v>
      </c>
      <c r="B1774" t="s">
        <v>2834</v>
      </c>
      <c r="C1774" t="s">
        <v>46</v>
      </c>
      <c r="D1774">
        <v>0.02</v>
      </c>
      <c r="E1774">
        <v>500.98</v>
      </c>
      <c r="F1774">
        <v>26</v>
      </c>
      <c r="G1774" t="s">
        <v>2</v>
      </c>
      <c r="H1774" t="s">
        <v>47</v>
      </c>
      <c r="I1774" t="s">
        <v>4</v>
      </c>
      <c r="J1774" t="s">
        <v>85</v>
      </c>
      <c r="K1774" t="s">
        <v>33</v>
      </c>
      <c r="L1774" t="s">
        <v>2272</v>
      </c>
      <c r="M1774">
        <v>0.6</v>
      </c>
      <c r="N1774" t="s">
        <v>8</v>
      </c>
      <c r="O1774" t="s">
        <v>35</v>
      </c>
      <c r="P1774" t="s">
        <v>66</v>
      </c>
      <c r="Q1774" t="s">
        <v>2192</v>
      </c>
      <c r="R1774">
        <v>91776</v>
      </c>
      <c r="S1774" s="1">
        <v>42168</v>
      </c>
      <c r="T1774" s="1">
        <v>42170</v>
      </c>
      <c r="U1774">
        <v>4390.3665000000001</v>
      </c>
      <c r="V1774">
        <v>12</v>
      </c>
      <c r="W1774">
        <v>6362.85</v>
      </c>
      <c r="X1774">
        <v>90193</v>
      </c>
      <c r="Y1774">
        <f>cleaneddata[[#This Row],[Unit Price]]-cleaneddata[[#This Row],[Discount]]</f>
        <v>500.96000000000004</v>
      </c>
      <c r="Z177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75" spans="1:26" x14ac:dyDescent="0.3">
      <c r="A1775">
        <v>1044</v>
      </c>
      <c r="B1775" t="s">
        <v>1376</v>
      </c>
      <c r="C1775" t="s">
        <v>1</v>
      </c>
      <c r="D1775">
        <v>0.02</v>
      </c>
      <c r="E1775">
        <v>209.84</v>
      </c>
      <c r="F1775">
        <v>21.21</v>
      </c>
      <c r="G1775" t="s">
        <v>14</v>
      </c>
      <c r="H1775" t="s">
        <v>47</v>
      </c>
      <c r="I1775" t="s">
        <v>4</v>
      </c>
      <c r="J1775" t="s">
        <v>102</v>
      </c>
      <c r="K1775" t="s">
        <v>40</v>
      </c>
      <c r="L1775" t="s">
        <v>185</v>
      </c>
      <c r="M1775">
        <v>0.59</v>
      </c>
      <c r="N1775" t="s">
        <v>8</v>
      </c>
      <c r="O1775" t="s">
        <v>35</v>
      </c>
      <c r="P1775" t="s">
        <v>66</v>
      </c>
      <c r="Q1775" t="s">
        <v>76</v>
      </c>
      <c r="R1775">
        <v>90004</v>
      </c>
      <c r="S1775" s="1">
        <v>42169</v>
      </c>
      <c r="T1775" s="1">
        <v>42169</v>
      </c>
      <c r="U1775">
        <v>2593.14</v>
      </c>
      <c r="V1775">
        <v>62</v>
      </c>
      <c r="W1775">
        <v>13546.94</v>
      </c>
      <c r="X1775">
        <v>28001</v>
      </c>
      <c r="Y1775">
        <f>cleaneddata[[#This Row],[Unit Price]]-cleaneddata[[#This Row],[Discount]]</f>
        <v>209.82</v>
      </c>
      <c r="Z177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76" spans="1:26" x14ac:dyDescent="0.3">
      <c r="A1776">
        <v>1044</v>
      </c>
      <c r="B1776" t="s">
        <v>1376</v>
      </c>
      <c r="C1776" t="s">
        <v>1</v>
      </c>
      <c r="D1776">
        <v>0.01</v>
      </c>
      <c r="E1776">
        <v>194.3</v>
      </c>
      <c r="F1776">
        <v>11.54</v>
      </c>
      <c r="G1776" t="s">
        <v>14</v>
      </c>
      <c r="H1776" t="s">
        <v>47</v>
      </c>
      <c r="I1776" t="s">
        <v>4</v>
      </c>
      <c r="J1776" t="s">
        <v>102</v>
      </c>
      <c r="K1776" t="s">
        <v>40</v>
      </c>
      <c r="L1776" t="s">
        <v>182</v>
      </c>
      <c r="M1776">
        <v>0.59</v>
      </c>
      <c r="N1776" t="s">
        <v>8</v>
      </c>
      <c r="O1776" t="s">
        <v>35</v>
      </c>
      <c r="P1776" t="s">
        <v>66</v>
      </c>
      <c r="Q1776" t="s">
        <v>76</v>
      </c>
      <c r="R1776">
        <v>90004</v>
      </c>
      <c r="S1776" s="1">
        <v>42169</v>
      </c>
      <c r="T1776" s="1">
        <v>42171</v>
      </c>
      <c r="U1776">
        <v>1162.76</v>
      </c>
      <c r="V1776">
        <v>32</v>
      </c>
      <c r="W1776">
        <v>6401.65</v>
      </c>
      <c r="X1776">
        <v>28001</v>
      </c>
      <c r="Y1776">
        <f>cleaneddata[[#This Row],[Unit Price]]-cleaneddata[[#This Row],[Discount]]</f>
        <v>194.29000000000002</v>
      </c>
      <c r="Z177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77" spans="1:26" x14ac:dyDescent="0.3">
      <c r="A1777">
        <v>1519</v>
      </c>
      <c r="B1777" t="s">
        <v>2835</v>
      </c>
      <c r="C1777" t="s">
        <v>1</v>
      </c>
      <c r="D1777">
        <v>0.06</v>
      </c>
      <c r="E1777">
        <v>55.48</v>
      </c>
      <c r="F1777">
        <v>4.8499999999999996</v>
      </c>
      <c r="G1777" t="s">
        <v>14</v>
      </c>
      <c r="H1777" t="s">
        <v>15</v>
      </c>
      <c r="I1777" t="s">
        <v>24</v>
      </c>
      <c r="J1777" t="s">
        <v>64</v>
      </c>
      <c r="K1777" t="s">
        <v>49</v>
      </c>
      <c r="L1777" t="s">
        <v>2836</v>
      </c>
      <c r="M1777">
        <v>0.37</v>
      </c>
      <c r="N1777" t="s">
        <v>8</v>
      </c>
      <c r="O1777" t="s">
        <v>87</v>
      </c>
      <c r="P1777" t="s">
        <v>307</v>
      </c>
      <c r="Q1777" t="s">
        <v>1180</v>
      </c>
      <c r="R1777">
        <v>4210</v>
      </c>
      <c r="S1777" s="1">
        <v>42169</v>
      </c>
      <c r="T1777" s="1">
        <v>42169</v>
      </c>
      <c r="U1777">
        <v>711.05190000000005</v>
      </c>
      <c r="V1777">
        <v>19</v>
      </c>
      <c r="W1777">
        <v>1030.51</v>
      </c>
      <c r="X1777">
        <v>89957</v>
      </c>
      <c r="Y1777">
        <f>cleaneddata[[#This Row],[Unit Price]]-cleaneddata[[#This Row],[Discount]]</f>
        <v>55.419999999999995</v>
      </c>
      <c r="Z177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78" spans="1:26" x14ac:dyDescent="0.3">
      <c r="A1778">
        <v>1522</v>
      </c>
      <c r="B1778" t="s">
        <v>2837</v>
      </c>
      <c r="C1778" t="s">
        <v>1</v>
      </c>
      <c r="D1778">
        <v>0.1</v>
      </c>
      <c r="E1778">
        <v>122.99</v>
      </c>
      <c r="F1778">
        <v>70.2</v>
      </c>
      <c r="G1778" t="s">
        <v>2</v>
      </c>
      <c r="H1778" t="s">
        <v>15</v>
      </c>
      <c r="I1778" t="s">
        <v>4</v>
      </c>
      <c r="J1778" t="s">
        <v>85</v>
      </c>
      <c r="K1778" t="s">
        <v>33</v>
      </c>
      <c r="L1778" t="s">
        <v>780</v>
      </c>
      <c r="M1778">
        <v>0.74</v>
      </c>
      <c r="N1778" t="s">
        <v>8</v>
      </c>
      <c r="O1778" t="s">
        <v>28</v>
      </c>
      <c r="P1778" t="s">
        <v>60</v>
      </c>
      <c r="Q1778" t="s">
        <v>2838</v>
      </c>
      <c r="R1778">
        <v>55305</v>
      </c>
      <c r="S1778" s="1">
        <v>42169</v>
      </c>
      <c r="T1778" s="1">
        <v>42170</v>
      </c>
      <c r="U1778">
        <v>-899.67499999999995</v>
      </c>
      <c r="V1778">
        <v>17</v>
      </c>
      <c r="W1778">
        <v>2026.91</v>
      </c>
      <c r="X1778">
        <v>89957</v>
      </c>
      <c r="Y1778">
        <f>cleaneddata[[#This Row],[Unit Price]]-cleaneddata[[#This Row],[Discount]]</f>
        <v>122.89</v>
      </c>
      <c r="Z177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79" spans="1:26" x14ac:dyDescent="0.3">
      <c r="A1779">
        <v>3339</v>
      </c>
      <c r="B1779" t="s">
        <v>2839</v>
      </c>
      <c r="C1779" t="s">
        <v>13</v>
      </c>
      <c r="D1779">
        <v>0.03</v>
      </c>
      <c r="E1779">
        <v>2.61</v>
      </c>
      <c r="F1779">
        <v>0.5</v>
      </c>
      <c r="G1779" t="s">
        <v>14</v>
      </c>
      <c r="H1779" t="s">
        <v>15</v>
      </c>
      <c r="I1779" t="s">
        <v>24</v>
      </c>
      <c r="J1779" t="s">
        <v>128</v>
      </c>
      <c r="K1779" t="s">
        <v>49</v>
      </c>
      <c r="L1779" t="s">
        <v>1343</v>
      </c>
      <c r="M1779">
        <v>0.39</v>
      </c>
      <c r="N1779" t="s">
        <v>8</v>
      </c>
      <c r="O1779" t="s">
        <v>9</v>
      </c>
      <c r="P1779" t="s">
        <v>99</v>
      </c>
      <c r="Q1779" t="s">
        <v>2840</v>
      </c>
      <c r="R1779">
        <v>32780</v>
      </c>
      <c r="S1779" s="1">
        <v>42169</v>
      </c>
      <c r="T1779" s="1">
        <v>42170</v>
      </c>
      <c r="U1779">
        <v>4.0442999999999998</v>
      </c>
      <c r="V1779">
        <v>7</v>
      </c>
      <c r="W1779">
        <v>19.02</v>
      </c>
      <c r="X1779">
        <v>85981</v>
      </c>
      <c r="Y1779">
        <f>cleaneddata[[#This Row],[Unit Price]]-cleaneddata[[#This Row],[Discount]]</f>
        <v>2.58</v>
      </c>
      <c r="Z177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80" spans="1:26" x14ac:dyDescent="0.3">
      <c r="A1780">
        <v>3339</v>
      </c>
      <c r="B1780" t="s">
        <v>2839</v>
      </c>
      <c r="C1780" t="s">
        <v>13</v>
      </c>
      <c r="D1780">
        <v>0.01</v>
      </c>
      <c r="E1780">
        <v>11.66</v>
      </c>
      <c r="F1780">
        <v>7.95</v>
      </c>
      <c r="G1780" t="s">
        <v>14</v>
      </c>
      <c r="H1780" t="s">
        <v>15</v>
      </c>
      <c r="I1780" t="s">
        <v>24</v>
      </c>
      <c r="J1780" t="s">
        <v>25</v>
      </c>
      <c r="K1780" t="s">
        <v>18</v>
      </c>
      <c r="L1780" t="s">
        <v>2114</v>
      </c>
      <c r="M1780">
        <v>0.57999999999999996</v>
      </c>
      <c r="N1780" t="s">
        <v>8</v>
      </c>
      <c r="O1780" t="s">
        <v>9</v>
      </c>
      <c r="P1780" t="s">
        <v>99</v>
      </c>
      <c r="Q1780" t="s">
        <v>2840</v>
      </c>
      <c r="R1780">
        <v>32780</v>
      </c>
      <c r="S1780" s="1">
        <v>42169</v>
      </c>
      <c r="T1780" s="1">
        <v>42170</v>
      </c>
      <c r="U1780">
        <v>-10.368399999999999</v>
      </c>
      <c r="V1780">
        <v>16</v>
      </c>
      <c r="W1780">
        <v>193.87</v>
      </c>
      <c r="X1780">
        <v>85981</v>
      </c>
      <c r="Y1780">
        <f>cleaneddata[[#This Row],[Unit Price]]-cleaneddata[[#This Row],[Discount]]</f>
        <v>11.65</v>
      </c>
      <c r="Z178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81" spans="1:26" x14ac:dyDescent="0.3">
      <c r="A1781">
        <v>1644</v>
      </c>
      <c r="B1781" t="s">
        <v>2841</v>
      </c>
      <c r="C1781" t="s">
        <v>23</v>
      </c>
      <c r="D1781">
        <v>0.09</v>
      </c>
      <c r="E1781">
        <v>107.53</v>
      </c>
      <c r="F1781">
        <v>5.81</v>
      </c>
      <c r="G1781" t="s">
        <v>14</v>
      </c>
      <c r="H1781" t="s">
        <v>3</v>
      </c>
      <c r="I1781" t="s">
        <v>4</v>
      </c>
      <c r="J1781" t="s">
        <v>102</v>
      </c>
      <c r="K1781" t="s">
        <v>120</v>
      </c>
      <c r="L1781" t="s">
        <v>1471</v>
      </c>
      <c r="M1781">
        <v>0.65</v>
      </c>
      <c r="N1781" t="s">
        <v>8</v>
      </c>
      <c r="O1781" t="s">
        <v>28</v>
      </c>
      <c r="P1781" t="s">
        <v>163</v>
      </c>
      <c r="Q1781" t="s">
        <v>1107</v>
      </c>
      <c r="R1781">
        <v>77546</v>
      </c>
      <c r="S1781" s="1">
        <v>42169</v>
      </c>
      <c r="T1781" s="1">
        <v>42171</v>
      </c>
      <c r="U1781">
        <v>69.545100000000005</v>
      </c>
      <c r="V1781">
        <v>1</v>
      </c>
      <c r="W1781">
        <v>100.79</v>
      </c>
      <c r="X1781">
        <v>87342</v>
      </c>
      <c r="Y1781">
        <f>cleaneddata[[#This Row],[Unit Price]]-cleaneddata[[#This Row],[Discount]]</f>
        <v>107.44</v>
      </c>
      <c r="Z178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82" spans="1:26" x14ac:dyDescent="0.3">
      <c r="A1782">
        <v>1738</v>
      </c>
      <c r="B1782" t="s">
        <v>1877</v>
      </c>
      <c r="C1782" t="s">
        <v>23</v>
      </c>
      <c r="D1782">
        <v>0.04</v>
      </c>
      <c r="E1782">
        <v>35.44</v>
      </c>
      <c r="F1782">
        <v>19.989999999999998</v>
      </c>
      <c r="G1782" t="s">
        <v>14</v>
      </c>
      <c r="H1782" t="s">
        <v>70</v>
      </c>
      <c r="I1782" t="s">
        <v>24</v>
      </c>
      <c r="J1782" t="s">
        <v>64</v>
      </c>
      <c r="K1782" t="s">
        <v>49</v>
      </c>
      <c r="L1782" t="s">
        <v>2233</v>
      </c>
      <c r="M1782">
        <v>0.38</v>
      </c>
      <c r="N1782" t="s">
        <v>8</v>
      </c>
      <c r="O1782" t="s">
        <v>9</v>
      </c>
      <c r="P1782" t="s">
        <v>73</v>
      </c>
      <c r="Q1782" t="s">
        <v>1878</v>
      </c>
      <c r="R1782">
        <v>28052</v>
      </c>
      <c r="S1782" s="1">
        <v>42169</v>
      </c>
      <c r="T1782" s="1">
        <v>42176</v>
      </c>
      <c r="U1782">
        <v>-108.27249999999999</v>
      </c>
      <c r="V1782">
        <v>11</v>
      </c>
      <c r="W1782">
        <v>406.26</v>
      </c>
      <c r="X1782">
        <v>85868</v>
      </c>
      <c r="Y1782">
        <f>cleaneddata[[#This Row],[Unit Price]]-cleaneddata[[#This Row],[Discount]]</f>
        <v>35.4</v>
      </c>
      <c r="Z178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83" spans="1:26" x14ac:dyDescent="0.3">
      <c r="A1783">
        <v>1775</v>
      </c>
      <c r="B1783" t="s">
        <v>2842</v>
      </c>
      <c r="C1783" t="s">
        <v>23</v>
      </c>
      <c r="D1783">
        <v>0.09</v>
      </c>
      <c r="E1783">
        <v>12.95</v>
      </c>
      <c r="F1783">
        <v>4.9800000000000004</v>
      </c>
      <c r="G1783" t="s">
        <v>14</v>
      </c>
      <c r="H1783" t="s">
        <v>15</v>
      </c>
      <c r="I1783" t="s">
        <v>24</v>
      </c>
      <c r="J1783" t="s">
        <v>48</v>
      </c>
      <c r="K1783" t="s">
        <v>49</v>
      </c>
      <c r="L1783" t="s">
        <v>2715</v>
      </c>
      <c r="M1783">
        <v>0.4</v>
      </c>
      <c r="N1783" t="s">
        <v>8</v>
      </c>
      <c r="O1783" t="s">
        <v>28</v>
      </c>
      <c r="P1783" t="s">
        <v>29</v>
      </c>
      <c r="Q1783" t="s">
        <v>2843</v>
      </c>
      <c r="R1783">
        <v>46614</v>
      </c>
      <c r="S1783" s="1">
        <v>42169</v>
      </c>
      <c r="T1783" s="1">
        <v>42176</v>
      </c>
      <c r="U1783">
        <v>123.89175</v>
      </c>
      <c r="V1783">
        <v>21</v>
      </c>
      <c r="W1783">
        <v>269.54000000000002</v>
      </c>
      <c r="X1783">
        <v>89944</v>
      </c>
      <c r="Y1783">
        <f>cleaneddata[[#This Row],[Unit Price]]-cleaneddata[[#This Row],[Discount]]</f>
        <v>12.86</v>
      </c>
      <c r="Z178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84" spans="1:26" x14ac:dyDescent="0.3">
      <c r="A1784">
        <v>547</v>
      </c>
      <c r="B1784" t="s">
        <v>2844</v>
      </c>
      <c r="C1784" t="s">
        <v>46</v>
      </c>
      <c r="D1784">
        <v>0.03</v>
      </c>
      <c r="E1784">
        <v>13.73</v>
      </c>
      <c r="F1784">
        <v>6.85</v>
      </c>
      <c r="G1784" t="s">
        <v>63</v>
      </c>
      <c r="H1784" t="s">
        <v>70</v>
      </c>
      <c r="I1784" t="s">
        <v>4</v>
      </c>
      <c r="J1784" t="s">
        <v>102</v>
      </c>
      <c r="K1784" t="s">
        <v>26</v>
      </c>
      <c r="L1784" t="s">
        <v>1743</v>
      </c>
      <c r="M1784">
        <v>0.54</v>
      </c>
      <c r="N1784" t="s">
        <v>8</v>
      </c>
      <c r="O1784" t="s">
        <v>87</v>
      </c>
      <c r="P1784" t="s">
        <v>879</v>
      </c>
      <c r="Q1784" t="s">
        <v>2845</v>
      </c>
      <c r="R1784">
        <v>26501</v>
      </c>
      <c r="S1784" s="1">
        <v>42169</v>
      </c>
      <c r="T1784" s="1">
        <v>42170</v>
      </c>
      <c r="U1784">
        <v>39.585299999999997</v>
      </c>
      <c r="V1784">
        <v>4</v>
      </c>
      <c r="W1784">
        <v>57.37</v>
      </c>
      <c r="X1784">
        <v>86250</v>
      </c>
      <c r="Y1784">
        <f>cleaneddata[[#This Row],[Unit Price]]-cleaneddata[[#This Row],[Discount]]</f>
        <v>13.700000000000001</v>
      </c>
      <c r="Z178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85" spans="1:26" x14ac:dyDescent="0.3">
      <c r="A1785">
        <v>2979</v>
      </c>
      <c r="B1785" t="s">
        <v>794</v>
      </c>
      <c r="C1785" t="s">
        <v>46</v>
      </c>
      <c r="D1785">
        <v>0.01</v>
      </c>
      <c r="E1785">
        <v>5.84</v>
      </c>
      <c r="F1785">
        <v>0.83</v>
      </c>
      <c r="G1785" t="s">
        <v>14</v>
      </c>
      <c r="H1785" t="s">
        <v>70</v>
      </c>
      <c r="I1785" t="s">
        <v>24</v>
      </c>
      <c r="J1785" t="s">
        <v>25</v>
      </c>
      <c r="K1785" t="s">
        <v>26</v>
      </c>
      <c r="L1785" t="s">
        <v>2582</v>
      </c>
      <c r="M1785">
        <v>0.49</v>
      </c>
      <c r="N1785" t="s">
        <v>8</v>
      </c>
      <c r="O1785" t="s">
        <v>28</v>
      </c>
      <c r="P1785" t="s">
        <v>541</v>
      </c>
      <c r="Q1785" t="s">
        <v>796</v>
      </c>
      <c r="R1785">
        <v>58601</v>
      </c>
      <c r="S1785" s="1">
        <v>42169</v>
      </c>
      <c r="T1785" s="1">
        <v>42171</v>
      </c>
      <c r="U1785">
        <v>16.091999999999999</v>
      </c>
      <c r="V1785">
        <v>4</v>
      </c>
      <c r="W1785">
        <v>23.89</v>
      </c>
      <c r="X1785">
        <v>86546</v>
      </c>
      <c r="Y1785">
        <f>cleaneddata[[#This Row],[Unit Price]]-cleaneddata[[#This Row],[Discount]]</f>
        <v>5.83</v>
      </c>
      <c r="Z178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786" spans="1:26" x14ac:dyDescent="0.3">
      <c r="A1786">
        <v>3120</v>
      </c>
      <c r="B1786" t="s">
        <v>2846</v>
      </c>
      <c r="C1786" t="s">
        <v>46</v>
      </c>
      <c r="D1786">
        <v>0.08</v>
      </c>
      <c r="E1786">
        <v>315.98</v>
      </c>
      <c r="F1786">
        <v>19.989999999999998</v>
      </c>
      <c r="G1786" t="s">
        <v>14</v>
      </c>
      <c r="H1786" t="s">
        <v>47</v>
      </c>
      <c r="I1786" t="s">
        <v>24</v>
      </c>
      <c r="J1786" t="s">
        <v>48</v>
      </c>
      <c r="K1786" t="s">
        <v>49</v>
      </c>
      <c r="L1786" t="s">
        <v>2203</v>
      </c>
      <c r="M1786">
        <v>0.38</v>
      </c>
      <c r="N1786" t="s">
        <v>8</v>
      </c>
      <c r="O1786" t="s">
        <v>9</v>
      </c>
      <c r="P1786" t="s">
        <v>144</v>
      </c>
      <c r="Q1786" t="s">
        <v>2847</v>
      </c>
      <c r="R1786">
        <v>70117</v>
      </c>
      <c r="S1786" s="1">
        <v>42169</v>
      </c>
      <c r="T1786" s="1">
        <v>42169</v>
      </c>
      <c r="U1786">
        <v>44.52</v>
      </c>
      <c r="V1786">
        <v>9</v>
      </c>
      <c r="W1786">
        <v>2642.48</v>
      </c>
      <c r="X1786">
        <v>90160</v>
      </c>
      <c r="Y1786">
        <f>cleaneddata[[#This Row],[Unit Price]]-cleaneddata[[#This Row],[Discount]]</f>
        <v>315.90000000000003</v>
      </c>
      <c r="Z178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87" spans="1:26" x14ac:dyDescent="0.3">
      <c r="A1787">
        <v>1860</v>
      </c>
      <c r="B1787" t="s">
        <v>2848</v>
      </c>
      <c r="C1787" t="s">
        <v>1</v>
      </c>
      <c r="D1787">
        <v>0.09</v>
      </c>
      <c r="E1787">
        <v>5.98</v>
      </c>
      <c r="F1787">
        <v>1.49</v>
      </c>
      <c r="G1787" t="s">
        <v>14</v>
      </c>
      <c r="H1787" t="s">
        <v>47</v>
      </c>
      <c r="I1787" t="s">
        <v>24</v>
      </c>
      <c r="J1787" t="s">
        <v>48</v>
      </c>
      <c r="K1787" t="s">
        <v>49</v>
      </c>
      <c r="L1787" t="s">
        <v>1563</v>
      </c>
      <c r="M1787">
        <v>0.39</v>
      </c>
      <c r="N1787" t="s">
        <v>8</v>
      </c>
      <c r="O1787" t="s">
        <v>87</v>
      </c>
      <c r="P1787" t="s">
        <v>379</v>
      </c>
      <c r="Q1787" t="s">
        <v>2849</v>
      </c>
      <c r="R1787">
        <v>1570</v>
      </c>
      <c r="S1787" s="1">
        <v>42170</v>
      </c>
      <c r="T1787" s="1">
        <v>42172</v>
      </c>
      <c r="U1787">
        <v>13.2294</v>
      </c>
      <c r="V1787">
        <v>5</v>
      </c>
      <c r="W1787">
        <v>28.01</v>
      </c>
      <c r="X1787">
        <v>86846</v>
      </c>
      <c r="Y1787">
        <f>cleaneddata[[#This Row],[Unit Price]]-cleaneddata[[#This Row],[Discount]]</f>
        <v>5.8900000000000006</v>
      </c>
      <c r="Z178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88" spans="1:26" x14ac:dyDescent="0.3">
      <c r="A1788">
        <v>33</v>
      </c>
      <c r="B1788" t="s">
        <v>2850</v>
      </c>
      <c r="C1788" t="s">
        <v>46</v>
      </c>
      <c r="D1788">
        <v>0.03</v>
      </c>
      <c r="E1788">
        <v>4.24</v>
      </c>
      <c r="F1788">
        <v>5.41</v>
      </c>
      <c r="G1788" t="s">
        <v>14</v>
      </c>
      <c r="H1788" t="s">
        <v>70</v>
      </c>
      <c r="I1788" t="s">
        <v>24</v>
      </c>
      <c r="J1788" t="s">
        <v>48</v>
      </c>
      <c r="K1788" t="s">
        <v>49</v>
      </c>
      <c r="L1788" t="s">
        <v>1647</v>
      </c>
      <c r="M1788">
        <v>0.35</v>
      </c>
      <c r="N1788" t="s">
        <v>8</v>
      </c>
      <c r="O1788" t="s">
        <v>35</v>
      </c>
      <c r="P1788" t="s">
        <v>115</v>
      </c>
      <c r="Q1788" t="s">
        <v>2851</v>
      </c>
      <c r="R1788">
        <v>97030</v>
      </c>
      <c r="S1788" s="1">
        <v>42170</v>
      </c>
      <c r="T1788" s="1">
        <v>42172</v>
      </c>
      <c r="U1788">
        <v>-84.437600000000003</v>
      </c>
      <c r="V1788">
        <v>13</v>
      </c>
      <c r="W1788">
        <v>58.68</v>
      </c>
      <c r="X1788">
        <v>89201</v>
      </c>
      <c r="Y1788">
        <f>cleaneddata[[#This Row],[Unit Price]]-cleaneddata[[#This Row],[Discount]]</f>
        <v>4.21</v>
      </c>
      <c r="Z178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89" spans="1:26" x14ac:dyDescent="0.3">
      <c r="A1789">
        <v>33</v>
      </c>
      <c r="B1789" t="s">
        <v>2850</v>
      </c>
      <c r="C1789" t="s">
        <v>46</v>
      </c>
      <c r="D1789">
        <v>0.04</v>
      </c>
      <c r="E1789">
        <v>2.94</v>
      </c>
      <c r="F1789">
        <v>0.7</v>
      </c>
      <c r="G1789" t="s">
        <v>14</v>
      </c>
      <c r="H1789" t="s">
        <v>70</v>
      </c>
      <c r="I1789" t="s">
        <v>24</v>
      </c>
      <c r="J1789" t="s">
        <v>25</v>
      </c>
      <c r="K1789" t="s">
        <v>26</v>
      </c>
      <c r="L1789" t="s">
        <v>795</v>
      </c>
      <c r="M1789">
        <v>0.57999999999999996</v>
      </c>
      <c r="N1789" t="s">
        <v>8</v>
      </c>
      <c r="O1789" t="s">
        <v>35</v>
      </c>
      <c r="P1789" t="s">
        <v>115</v>
      </c>
      <c r="Q1789" t="s">
        <v>2851</v>
      </c>
      <c r="R1789">
        <v>97030</v>
      </c>
      <c r="S1789" s="1">
        <v>42170</v>
      </c>
      <c r="T1789" s="1">
        <v>42171</v>
      </c>
      <c r="U1789">
        <v>24.312000000000001</v>
      </c>
      <c r="V1789">
        <v>18</v>
      </c>
      <c r="W1789">
        <v>53.1</v>
      </c>
      <c r="X1789">
        <v>89201</v>
      </c>
      <c r="Y1789">
        <f>cleaneddata[[#This Row],[Unit Price]]-cleaneddata[[#This Row],[Discount]]</f>
        <v>2.9</v>
      </c>
      <c r="Z178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790" spans="1:26" x14ac:dyDescent="0.3">
      <c r="A1790">
        <v>736</v>
      </c>
      <c r="B1790" t="s">
        <v>2852</v>
      </c>
      <c r="C1790" t="s">
        <v>46</v>
      </c>
      <c r="D1790">
        <v>0.06</v>
      </c>
      <c r="E1790">
        <v>350.98</v>
      </c>
      <c r="F1790">
        <v>30</v>
      </c>
      <c r="G1790" t="s">
        <v>2</v>
      </c>
      <c r="H1790" t="s">
        <v>15</v>
      </c>
      <c r="I1790" t="s">
        <v>4</v>
      </c>
      <c r="J1790" t="s">
        <v>85</v>
      </c>
      <c r="K1790" t="s">
        <v>33</v>
      </c>
      <c r="L1790" t="s">
        <v>167</v>
      </c>
      <c r="M1790">
        <v>0.61</v>
      </c>
      <c r="N1790" t="s">
        <v>8</v>
      </c>
      <c r="O1790" t="s">
        <v>87</v>
      </c>
      <c r="P1790" t="s">
        <v>1332</v>
      </c>
      <c r="Q1790" t="s">
        <v>1449</v>
      </c>
      <c r="R1790">
        <v>3079</v>
      </c>
      <c r="S1790" s="1">
        <v>42170</v>
      </c>
      <c r="T1790" s="1">
        <v>42172</v>
      </c>
      <c r="U1790">
        <v>797.85599999999999</v>
      </c>
      <c r="V1790">
        <v>6</v>
      </c>
      <c r="W1790">
        <v>2016.32</v>
      </c>
      <c r="X1790">
        <v>90361</v>
      </c>
      <c r="Y1790">
        <f>cleaneddata[[#This Row],[Unit Price]]-cleaneddata[[#This Row],[Discount]]</f>
        <v>350.92</v>
      </c>
      <c r="Z179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91" spans="1:26" x14ac:dyDescent="0.3">
      <c r="A1791">
        <v>738</v>
      </c>
      <c r="B1791" t="s">
        <v>2853</v>
      </c>
      <c r="C1791" t="s">
        <v>46</v>
      </c>
      <c r="D1791">
        <v>0.02</v>
      </c>
      <c r="E1791">
        <v>70.98</v>
      </c>
      <c r="F1791">
        <v>46.74</v>
      </c>
      <c r="G1791" t="s">
        <v>2</v>
      </c>
      <c r="H1791" t="s">
        <v>15</v>
      </c>
      <c r="I1791" t="s">
        <v>4</v>
      </c>
      <c r="J1791" t="s">
        <v>93</v>
      </c>
      <c r="K1791" t="s">
        <v>6</v>
      </c>
      <c r="L1791" t="s">
        <v>354</v>
      </c>
      <c r="M1791">
        <v>0.56000000000000005</v>
      </c>
      <c r="N1791" t="s">
        <v>8</v>
      </c>
      <c r="O1791" t="s">
        <v>87</v>
      </c>
      <c r="P1791" t="s">
        <v>373</v>
      </c>
      <c r="Q1791" t="s">
        <v>2348</v>
      </c>
      <c r="R1791">
        <v>7016</v>
      </c>
      <c r="S1791" s="1">
        <v>42170</v>
      </c>
      <c r="T1791" s="1">
        <v>42171</v>
      </c>
      <c r="U1791">
        <v>-178.21600000000001</v>
      </c>
      <c r="V1791">
        <v>4</v>
      </c>
      <c r="W1791">
        <v>313.63</v>
      </c>
      <c r="X1791">
        <v>90361</v>
      </c>
      <c r="Y1791">
        <f>cleaneddata[[#This Row],[Unit Price]]-cleaneddata[[#This Row],[Discount]]</f>
        <v>70.960000000000008</v>
      </c>
      <c r="Z179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92" spans="1:26" x14ac:dyDescent="0.3">
      <c r="A1792">
        <v>741</v>
      </c>
      <c r="B1792" t="s">
        <v>2854</v>
      </c>
      <c r="C1792" t="s">
        <v>46</v>
      </c>
      <c r="D1792">
        <v>0.04</v>
      </c>
      <c r="E1792">
        <v>27.48</v>
      </c>
      <c r="F1792">
        <v>4</v>
      </c>
      <c r="G1792" t="s">
        <v>14</v>
      </c>
      <c r="H1792" t="s">
        <v>15</v>
      </c>
      <c r="I1792" t="s">
        <v>16</v>
      </c>
      <c r="J1792" t="s">
        <v>17</v>
      </c>
      <c r="K1792" t="s">
        <v>49</v>
      </c>
      <c r="L1792" t="s">
        <v>2037</v>
      </c>
      <c r="M1792">
        <v>0.75</v>
      </c>
      <c r="N1792" t="s">
        <v>8</v>
      </c>
      <c r="O1792" t="s">
        <v>87</v>
      </c>
      <c r="P1792" t="s">
        <v>373</v>
      </c>
      <c r="Q1792" t="s">
        <v>2855</v>
      </c>
      <c r="R1792">
        <v>7901</v>
      </c>
      <c r="S1792" s="1">
        <v>42170</v>
      </c>
      <c r="T1792" s="1">
        <v>42172</v>
      </c>
      <c r="U1792">
        <v>-26.655999999999999</v>
      </c>
      <c r="V1792">
        <v>15</v>
      </c>
      <c r="W1792">
        <v>397.17</v>
      </c>
      <c r="X1792">
        <v>90361</v>
      </c>
      <c r="Y1792">
        <f>cleaneddata[[#This Row],[Unit Price]]-cleaneddata[[#This Row],[Discount]]</f>
        <v>27.44</v>
      </c>
      <c r="Z179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93" spans="1:26" x14ac:dyDescent="0.3">
      <c r="A1793">
        <v>2183</v>
      </c>
      <c r="B1793" t="s">
        <v>2856</v>
      </c>
      <c r="C1793" t="s">
        <v>46</v>
      </c>
      <c r="D1793">
        <v>0</v>
      </c>
      <c r="E1793">
        <v>1.48</v>
      </c>
      <c r="F1793">
        <v>0.7</v>
      </c>
      <c r="G1793" t="s">
        <v>14</v>
      </c>
      <c r="H1793" t="s">
        <v>47</v>
      </c>
      <c r="I1793" t="s">
        <v>24</v>
      </c>
      <c r="J1793" t="s">
        <v>152</v>
      </c>
      <c r="K1793" t="s">
        <v>26</v>
      </c>
      <c r="L1793" t="s">
        <v>153</v>
      </c>
      <c r="M1793">
        <v>0.37</v>
      </c>
      <c r="N1793" t="s">
        <v>8</v>
      </c>
      <c r="O1793" t="s">
        <v>9</v>
      </c>
      <c r="P1793" t="s">
        <v>364</v>
      </c>
      <c r="Q1793" t="s">
        <v>2857</v>
      </c>
      <c r="R1793">
        <v>42301</v>
      </c>
      <c r="S1793" s="1">
        <v>42170</v>
      </c>
      <c r="T1793" s="1">
        <v>42172</v>
      </c>
      <c r="U1793">
        <v>-203.09800000000001</v>
      </c>
      <c r="V1793">
        <v>12</v>
      </c>
      <c r="W1793">
        <v>19.32</v>
      </c>
      <c r="X1793">
        <v>91571</v>
      </c>
      <c r="Y1793">
        <f>cleaneddata[[#This Row],[Unit Price]]-cleaneddata[[#This Row],[Discount]]</f>
        <v>1.48</v>
      </c>
      <c r="Z179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94" spans="1:26" x14ac:dyDescent="0.3">
      <c r="A1794">
        <v>2512</v>
      </c>
      <c r="B1794" t="s">
        <v>2858</v>
      </c>
      <c r="C1794" t="s">
        <v>46</v>
      </c>
      <c r="D1794">
        <v>0.04</v>
      </c>
      <c r="E1794">
        <v>6.48</v>
      </c>
      <c r="F1794">
        <v>9.5399999999999991</v>
      </c>
      <c r="G1794" t="s">
        <v>14</v>
      </c>
      <c r="H1794" t="s">
        <v>47</v>
      </c>
      <c r="I1794" t="s">
        <v>24</v>
      </c>
      <c r="J1794" t="s">
        <v>64</v>
      </c>
      <c r="K1794" t="s">
        <v>49</v>
      </c>
      <c r="L1794" t="s">
        <v>2200</v>
      </c>
      <c r="M1794">
        <v>0.37</v>
      </c>
      <c r="N1794" t="s">
        <v>8</v>
      </c>
      <c r="O1794" t="s">
        <v>87</v>
      </c>
      <c r="P1794" t="s">
        <v>379</v>
      </c>
      <c r="Q1794" t="s">
        <v>2859</v>
      </c>
      <c r="R1794">
        <v>2138</v>
      </c>
      <c r="S1794" s="1">
        <v>42170</v>
      </c>
      <c r="T1794" s="1">
        <v>42172</v>
      </c>
      <c r="U1794">
        <v>-223.94399999999999</v>
      </c>
      <c r="V1794">
        <v>19</v>
      </c>
      <c r="W1794">
        <v>125.37</v>
      </c>
      <c r="X1794">
        <v>87030</v>
      </c>
      <c r="Y1794">
        <f>cleaneddata[[#This Row],[Unit Price]]-cleaneddata[[#This Row],[Discount]]</f>
        <v>6.44</v>
      </c>
      <c r="Z179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795" spans="1:26" x14ac:dyDescent="0.3">
      <c r="A1795">
        <v>1038</v>
      </c>
      <c r="B1795" t="s">
        <v>2860</v>
      </c>
      <c r="C1795" t="s">
        <v>1</v>
      </c>
      <c r="D1795">
        <v>0.1</v>
      </c>
      <c r="E1795">
        <v>7.64</v>
      </c>
      <c r="F1795">
        <v>5.83</v>
      </c>
      <c r="G1795" t="s">
        <v>14</v>
      </c>
      <c r="H1795" t="s">
        <v>70</v>
      </c>
      <c r="I1795" t="s">
        <v>24</v>
      </c>
      <c r="J1795" t="s">
        <v>64</v>
      </c>
      <c r="K1795" t="s">
        <v>26</v>
      </c>
      <c r="L1795" t="s">
        <v>208</v>
      </c>
      <c r="M1795">
        <v>0.36</v>
      </c>
      <c r="N1795" t="s">
        <v>8</v>
      </c>
      <c r="O1795" t="s">
        <v>9</v>
      </c>
      <c r="P1795" t="s">
        <v>99</v>
      </c>
      <c r="Q1795" t="s">
        <v>2861</v>
      </c>
      <c r="R1795">
        <v>33430</v>
      </c>
      <c r="S1795" s="1">
        <v>42171</v>
      </c>
      <c r="T1795" s="1">
        <v>42172</v>
      </c>
      <c r="U1795">
        <v>-403.18740000000003</v>
      </c>
      <c r="V1795">
        <v>5</v>
      </c>
      <c r="W1795">
        <v>39.36</v>
      </c>
      <c r="X1795">
        <v>90641</v>
      </c>
      <c r="Y1795">
        <f>cleaneddata[[#This Row],[Unit Price]]-cleaneddata[[#This Row],[Discount]]</f>
        <v>7.54</v>
      </c>
      <c r="Z179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96" spans="1:26" x14ac:dyDescent="0.3">
      <c r="A1796">
        <v>2677</v>
      </c>
      <c r="B1796" t="s">
        <v>2862</v>
      </c>
      <c r="C1796" t="s">
        <v>1</v>
      </c>
      <c r="D1796">
        <v>0.03</v>
      </c>
      <c r="E1796">
        <v>41.32</v>
      </c>
      <c r="F1796">
        <v>58.66</v>
      </c>
      <c r="G1796" t="s">
        <v>63</v>
      </c>
      <c r="H1796" t="s">
        <v>3</v>
      </c>
      <c r="I1796" t="s">
        <v>4</v>
      </c>
      <c r="J1796" t="s">
        <v>102</v>
      </c>
      <c r="K1796" t="s">
        <v>120</v>
      </c>
      <c r="L1796" t="s">
        <v>2863</v>
      </c>
      <c r="M1796">
        <v>0.76</v>
      </c>
      <c r="N1796" t="s">
        <v>8</v>
      </c>
      <c r="O1796" t="s">
        <v>9</v>
      </c>
      <c r="P1796" t="s">
        <v>218</v>
      </c>
      <c r="Q1796" t="s">
        <v>778</v>
      </c>
      <c r="R1796">
        <v>22601</v>
      </c>
      <c r="S1796" s="1">
        <v>42171</v>
      </c>
      <c r="T1796" s="1">
        <v>42172</v>
      </c>
      <c r="U1796">
        <v>-32.816000000000003</v>
      </c>
      <c r="V1796">
        <v>10</v>
      </c>
      <c r="W1796">
        <v>419.27</v>
      </c>
      <c r="X1796">
        <v>86633</v>
      </c>
      <c r="Y1796">
        <f>cleaneddata[[#This Row],[Unit Price]]-cleaneddata[[#This Row],[Discount]]</f>
        <v>41.29</v>
      </c>
      <c r="Z179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97" spans="1:26" x14ac:dyDescent="0.3">
      <c r="A1797">
        <v>2677</v>
      </c>
      <c r="B1797" t="s">
        <v>2862</v>
      </c>
      <c r="C1797" t="s">
        <v>1</v>
      </c>
      <c r="D1797">
        <v>0</v>
      </c>
      <c r="E1797">
        <v>6.88</v>
      </c>
      <c r="F1797">
        <v>2</v>
      </c>
      <c r="G1797" t="s">
        <v>14</v>
      </c>
      <c r="H1797" t="s">
        <v>3</v>
      </c>
      <c r="I1797" t="s">
        <v>24</v>
      </c>
      <c r="J1797" t="s">
        <v>64</v>
      </c>
      <c r="K1797" t="s">
        <v>26</v>
      </c>
      <c r="L1797" t="s">
        <v>828</v>
      </c>
      <c r="M1797">
        <v>0.39</v>
      </c>
      <c r="N1797" t="s">
        <v>8</v>
      </c>
      <c r="O1797" t="s">
        <v>9</v>
      </c>
      <c r="P1797" t="s">
        <v>218</v>
      </c>
      <c r="Q1797" t="s">
        <v>778</v>
      </c>
      <c r="R1797">
        <v>22601</v>
      </c>
      <c r="S1797" s="1">
        <v>42171</v>
      </c>
      <c r="T1797" s="1">
        <v>42171</v>
      </c>
      <c r="U1797">
        <v>-15.61</v>
      </c>
      <c r="V1797">
        <v>5</v>
      </c>
      <c r="W1797">
        <v>36</v>
      </c>
      <c r="X1797">
        <v>86633</v>
      </c>
      <c r="Y1797">
        <f>cleaneddata[[#This Row],[Unit Price]]-cleaneddata[[#This Row],[Discount]]</f>
        <v>6.88</v>
      </c>
      <c r="Z17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98" spans="1:26" x14ac:dyDescent="0.3">
      <c r="A1798">
        <v>2720</v>
      </c>
      <c r="B1798" t="s">
        <v>2864</v>
      </c>
      <c r="C1798" t="s">
        <v>1</v>
      </c>
      <c r="D1798">
        <v>0</v>
      </c>
      <c r="E1798">
        <v>40.479999999999997</v>
      </c>
      <c r="F1798">
        <v>19.989999999999998</v>
      </c>
      <c r="G1798" t="s">
        <v>14</v>
      </c>
      <c r="H1798" t="s">
        <v>3</v>
      </c>
      <c r="I1798" t="s">
        <v>16</v>
      </c>
      <c r="J1798" t="s">
        <v>17</v>
      </c>
      <c r="K1798" t="s">
        <v>49</v>
      </c>
      <c r="L1798" t="s">
        <v>2030</v>
      </c>
      <c r="M1798">
        <v>0.77</v>
      </c>
      <c r="N1798" t="s">
        <v>8</v>
      </c>
      <c r="O1798" t="s">
        <v>9</v>
      </c>
      <c r="P1798" t="s">
        <v>51</v>
      </c>
      <c r="Q1798" t="s">
        <v>2865</v>
      </c>
      <c r="R1798">
        <v>30721</v>
      </c>
      <c r="S1798" s="1">
        <v>42171</v>
      </c>
      <c r="T1798" s="1">
        <v>42172</v>
      </c>
      <c r="U1798">
        <v>-25.634</v>
      </c>
      <c r="V1798">
        <v>6</v>
      </c>
      <c r="W1798">
        <v>264.95</v>
      </c>
      <c r="X1798">
        <v>88766</v>
      </c>
      <c r="Y1798">
        <f>cleaneddata[[#This Row],[Unit Price]]-cleaneddata[[#This Row],[Discount]]</f>
        <v>40.479999999999997</v>
      </c>
      <c r="Z179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799" spans="1:26" x14ac:dyDescent="0.3">
      <c r="A1799">
        <v>1492</v>
      </c>
      <c r="B1799" t="s">
        <v>2866</v>
      </c>
      <c r="C1799" t="s">
        <v>13</v>
      </c>
      <c r="D1799">
        <v>0.04</v>
      </c>
      <c r="E1799">
        <v>119.99</v>
      </c>
      <c r="F1799">
        <v>14</v>
      </c>
      <c r="G1799" t="s">
        <v>2</v>
      </c>
      <c r="H1799" t="s">
        <v>70</v>
      </c>
      <c r="I1799" t="s">
        <v>16</v>
      </c>
      <c r="J1799" t="s">
        <v>32</v>
      </c>
      <c r="K1799" t="s">
        <v>33</v>
      </c>
      <c r="L1799" t="s">
        <v>2127</v>
      </c>
      <c r="M1799">
        <v>0.36</v>
      </c>
      <c r="N1799" t="s">
        <v>8</v>
      </c>
      <c r="O1799" t="s">
        <v>28</v>
      </c>
      <c r="P1799" t="s">
        <v>56</v>
      </c>
      <c r="Q1799" t="s">
        <v>2867</v>
      </c>
      <c r="R1799">
        <v>65721</v>
      </c>
      <c r="S1799" s="1">
        <v>42171</v>
      </c>
      <c r="T1799" s="1">
        <v>42173</v>
      </c>
      <c r="U1799">
        <v>509.95830000000001</v>
      </c>
      <c r="V1799">
        <v>6</v>
      </c>
      <c r="W1799">
        <v>739.07</v>
      </c>
      <c r="X1799">
        <v>88004</v>
      </c>
      <c r="Y1799">
        <f>cleaneddata[[#This Row],[Unit Price]]-cleaneddata[[#This Row],[Discount]]</f>
        <v>119.94999999999999</v>
      </c>
      <c r="Z179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00" spans="1:26" x14ac:dyDescent="0.3">
      <c r="A1800">
        <v>2355</v>
      </c>
      <c r="B1800" t="s">
        <v>1188</v>
      </c>
      <c r="C1800" t="s">
        <v>92</v>
      </c>
      <c r="D1800">
        <v>0.06</v>
      </c>
      <c r="E1800">
        <v>146.34</v>
      </c>
      <c r="F1800">
        <v>43.75</v>
      </c>
      <c r="G1800" t="s">
        <v>2</v>
      </c>
      <c r="H1800" t="s">
        <v>15</v>
      </c>
      <c r="I1800" t="s">
        <v>4</v>
      </c>
      <c r="J1800" t="s">
        <v>5</v>
      </c>
      <c r="K1800" t="s">
        <v>6</v>
      </c>
      <c r="L1800" t="s">
        <v>131</v>
      </c>
      <c r="M1800">
        <v>0.65</v>
      </c>
      <c r="N1800" t="s">
        <v>8</v>
      </c>
      <c r="O1800" t="s">
        <v>35</v>
      </c>
      <c r="P1800" t="s">
        <v>66</v>
      </c>
      <c r="Q1800" t="s">
        <v>1190</v>
      </c>
      <c r="R1800">
        <v>92236</v>
      </c>
      <c r="S1800" s="1">
        <v>42171</v>
      </c>
      <c r="T1800" s="1">
        <v>42173</v>
      </c>
      <c r="U1800">
        <v>-89.27</v>
      </c>
      <c r="V1800">
        <v>12</v>
      </c>
      <c r="W1800">
        <v>1721.24</v>
      </c>
      <c r="X1800">
        <v>91306</v>
      </c>
      <c r="Y1800">
        <f>cleaneddata[[#This Row],[Unit Price]]-cleaneddata[[#This Row],[Discount]]</f>
        <v>146.28</v>
      </c>
      <c r="Z180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01" spans="1:26" x14ac:dyDescent="0.3">
      <c r="A1801">
        <v>3096</v>
      </c>
      <c r="B1801" t="s">
        <v>2629</v>
      </c>
      <c r="C1801" t="s">
        <v>1</v>
      </c>
      <c r="D1801">
        <v>0.04</v>
      </c>
      <c r="E1801">
        <v>33.89</v>
      </c>
      <c r="F1801">
        <v>5.0999999999999996</v>
      </c>
      <c r="G1801" t="s">
        <v>63</v>
      </c>
      <c r="H1801" t="s">
        <v>15</v>
      </c>
      <c r="I1801" t="s">
        <v>24</v>
      </c>
      <c r="J1801" t="s">
        <v>54</v>
      </c>
      <c r="K1801" t="s">
        <v>49</v>
      </c>
      <c r="L1801" t="s">
        <v>281</v>
      </c>
      <c r="M1801">
        <v>0.6</v>
      </c>
      <c r="N1801" t="s">
        <v>8</v>
      </c>
      <c r="O1801" t="s">
        <v>87</v>
      </c>
      <c r="P1801" t="s">
        <v>293</v>
      </c>
      <c r="Q1801" t="s">
        <v>2416</v>
      </c>
      <c r="R1801">
        <v>43026</v>
      </c>
      <c r="S1801" s="1">
        <v>42172</v>
      </c>
      <c r="T1801" s="1">
        <v>42173</v>
      </c>
      <c r="U1801">
        <v>72.983999999999995</v>
      </c>
      <c r="V1801">
        <v>6</v>
      </c>
      <c r="W1801">
        <v>200.83</v>
      </c>
      <c r="X1801">
        <v>86222</v>
      </c>
      <c r="Y1801">
        <f>cleaneddata[[#This Row],[Unit Price]]-cleaneddata[[#This Row],[Discount]]</f>
        <v>33.85</v>
      </c>
      <c r="Z180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02" spans="1:26" x14ac:dyDescent="0.3">
      <c r="A1802">
        <v>283</v>
      </c>
      <c r="B1802" t="s">
        <v>2868</v>
      </c>
      <c r="C1802" t="s">
        <v>13</v>
      </c>
      <c r="D1802">
        <v>0.1</v>
      </c>
      <c r="E1802">
        <v>1.68</v>
      </c>
      <c r="F1802">
        <v>1.57</v>
      </c>
      <c r="G1802" t="s">
        <v>14</v>
      </c>
      <c r="H1802" t="s">
        <v>70</v>
      </c>
      <c r="I1802" t="s">
        <v>24</v>
      </c>
      <c r="J1802" t="s">
        <v>25</v>
      </c>
      <c r="K1802" t="s">
        <v>26</v>
      </c>
      <c r="L1802" t="s">
        <v>550</v>
      </c>
      <c r="M1802">
        <v>0.59</v>
      </c>
      <c r="N1802" t="s">
        <v>8</v>
      </c>
      <c r="O1802" t="s">
        <v>87</v>
      </c>
      <c r="P1802" t="s">
        <v>373</v>
      </c>
      <c r="Q1802" t="s">
        <v>2701</v>
      </c>
      <c r="R1802">
        <v>7101</v>
      </c>
      <c r="S1802" s="1">
        <v>42172</v>
      </c>
      <c r="T1802" s="1">
        <v>42173</v>
      </c>
      <c r="U1802">
        <v>-11.57</v>
      </c>
      <c r="V1802">
        <v>11</v>
      </c>
      <c r="W1802">
        <v>18.71</v>
      </c>
      <c r="X1802">
        <v>89293</v>
      </c>
      <c r="Y1802">
        <f>cleaneddata[[#This Row],[Unit Price]]-cleaneddata[[#This Row],[Discount]]</f>
        <v>1.5799999999999998</v>
      </c>
      <c r="Z180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03" spans="1:26" x14ac:dyDescent="0.3">
      <c r="A1803">
        <v>286</v>
      </c>
      <c r="B1803" t="s">
        <v>2869</v>
      </c>
      <c r="C1803" t="s">
        <v>23</v>
      </c>
      <c r="D1803">
        <v>0</v>
      </c>
      <c r="E1803">
        <v>4.13</v>
      </c>
      <c r="F1803">
        <v>5.34</v>
      </c>
      <c r="G1803" t="s">
        <v>14</v>
      </c>
      <c r="H1803" t="s">
        <v>3</v>
      </c>
      <c r="I1803" t="s">
        <v>24</v>
      </c>
      <c r="J1803" t="s">
        <v>48</v>
      </c>
      <c r="K1803" t="s">
        <v>49</v>
      </c>
      <c r="L1803" t="s">
        <v>2870</v>
      </c>
      <c r="M1803">
        <v>0.38</v>
      </c>
      <c r="N1803" t="s">
        <v>8</v>
      </c>
      <c r="O1803" t="s">
        <v>28</v>
      </c>
      <c r="P1803" t="s">
        <v>513</v>
      </c>
      <c r="Q1803" t="s">
        <v>2871</v>
      </c>
      <c r="R1803">
        <v>66203</v>
      </c>
      <c r="S1803" s="1">
        <v>42172</v>
      </c>
      <c r="T1803" s="1">
        <v>42176</v>
      </c>
      <c r="U1803">
        <v>-61.87</v>
      </c>
      <c r="V1803">
        <v>9</v>
      </c>
      <c r="W1803">
        <v>40.950000000000003</v>
      </c>
      <c r="X1803">
        <v>89761</v>
      </c>
      <c r="Y1803">
        <f>cleaneddata[[#This Row],[Unit Price]]-cleaneddata[[#This Row],[Discount]]</f>
        <v>4.13</v>
      </c>
      <c r="Z180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04" spans="1:26" x14ac:dyDescent="0.3">
      <c r="A1804">
        <v>286</v>
      </c>
      <c r="B1804" t="s">
        <v>2869</v>
      </c>
      <c r="C1804" t="s">
        <v>23</v>
      </c>
      <c r="D1804">
        <v>0.1</v>
      </c>
      <c r="E1804">
        <v>130.97999999999999</v>
      </c>
      <c r="F1804">
        <v>54.74</v>
      </c>
      <c r="G1804" t="s">
        <v>2</v>
      </c>
      <c r="H1804" t="s">
        <v>3</v>
      </c>
      <c r="I1804" t="s">
        <v>4</v>
      </c>
      <c r="J1804" t="s">
        <v>93</v>
      </c>
      <c r="K1804" t="s">
        <v>6</v>
      </c>
      <c r="L1804" t="s">
        <v>1379</v>
      </c>
      <c r="M1804">
        <v>0.69</v>
      </c>
      <c r="N1804" t="s">
        <v>8</v>
      </c>
      <c r="O1804" t="s">
        <v>28</v>
      </c>
      <c r="P1804" t="s">
        <v>513</v>
      </c>
      <c r="Q1804" t="s">
        <v>2871</v>
      </c>
      <c r="R1804">
        <v>66203</v>
      </c>
      <c r="S1804" s="1">
        <v>42172</v>
      </c>
      <c r="T1804" s="1">
        <v>42176</v>
      </c>
      <c r="U1804">
        <v>-530.24</v>
      </c>
      <c r="V1804">
        <v>9</v>
      </c>
      <c r="W1804">
        <v>1155.73</v>
      </c>
      <c r="X1804">
        <v>89761</v>
      </c>
      <c r="Y1804">
        <f>cleaneddata[[#This Row],[Unit Price]]-cleaneddata[[#This Row],[Discount]]</f>
        <v>130.88</v>
      </c>
      <c r="Z180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05" spans="1:26" x14ac:dyDescent="0.3">
      <c r="A1805">
        <v>646</v>
      </c>
      <c r="B1805" t="s">
        <v>2872</v>
      </c>
      <c r="C1805" t="s">
        <v>23</v>
      </c>
      <c r="D1805">
        <v>0.03</v>
      </c>
      <c r="E1805">
        <v>51.75</v>
      </c>
      <c r="F1805">
        <v>19.989999999999998</v>
      </c>
      <c r="G1805" t="s">
        <v>14</v>
      </c>
      <c r="H1805" t="s">
        <v>70</v>
      </c>
      <c r="I1805" t="s">
        <v>4</v>
      </c>
      <c r="J1805" t="s">
        <v>102</v>
      </c>
      <c r="K1805" t="s">
        <v>49</v>
      </c>
      <c r="L1805" t="s">
        <v>2873</v>
      </c>
      <c r="M1805">
        <v>0.55000000000000004</v>
      </c>
      <c r="N1805" t="s">
        <v>8</v>
      </c>
      <c r="O1805" t="s">
        <v>28</v>
      </c>
      <c r="P1805" t="s">
        <v>60</v>
      </c>
      <c r="Q1805" t="s">
        <v>2874</v>
      </c>
      <c r="R1805">
        <v>55379</v>
      </c>
      <c r="S1805" s="1">
        <v>42172</v>
      </c>
      <c r="T1805" s="1">
        <v>42177</v>
      </c>
      <c r="U1805">
        <v>261.44400000000002</v>
      </c>
      <c r="V1805">
        <v>16</v>
      </c>
      <c r="W1805">
        <v>818.81</v>
      </c>
      <c r="X1805">
        <v>90735</v>
      </c>
      <c r="Y1805">
        <f>cleaneddata[[#This Row],[Unit Price]]-cleaneddata[[#This Row],[Discount]]</f>
        <v>51.72</v>
      </c>
      <c r="Z180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06" spans="1:26" x14ac:dyDescent="0.3">
      <c r="A1806">
        <v>1189</v>
      </c>
      <c r="B1806" t="s">
        <v>2875</v>
      </c>
      <c r="C1806" t="s">
        <v>23</v>
      </c>
      <c r="D1806">
        <v>0.06</v>
      </c>
      <c r="E1806">
        <v>10.89</v>
      </c>
      <c r="F1806">
        <v>4.5</v>
      </c>
      <c r="G1806" t="s">
        <v>14</v>
      </c>
      <c r="H1806" t="s">
        <v>15</v>
      </c>
      <c r="I1806" t="s">
        <v>24</v>
      </c>
      <c r="J1806" t="s">
        <v>71</v>
      </c>
      <c r="K1806" t="s">
        <v>49</v>
      </c>
      <c r="L1806" t="s">
        <v>749</v>
      </c>
      <c r="M1806">
        <v>0.59</v>
      </c>
      <c r="N1806" t="s">
        <v>8</v>
      </c>
      <c r="O1806" t="s">
        <v>35</v>
      </c>
      <c r="P1806" t="s">
        <v>66</v>
      </c>
      <c r="Q1806" t="s">
        <v>2072</v>
      </c>
      <c r="R1806">
        <v>92646</v>
      </c>
      <c r="S1806" s="1">
        <v>42172</v>
      </c>
      <c r="T1806" s="1">
        <v>42177</v>
      </c>
      <c r="U1806">
        <v>-25.111999999999998</v>
      </c>
      <c r="V1806">
        <v>14</v>
      </c>
      <c r="W1806">
        <v>149.32</v>
      </c>
      <c r="X1806">
        <v>87584</v>
      </c>
      <c r="Y1806">
        <f>cleaneddata[[#This Row],[Unit Price]]-cleaneddata[[#This Row],[Discount]]</f>
        <v>10.83</v>
      </c>
      <c r="Z180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07" spans="1:26" x14ac:dyDescent="0.3">
      <c r="A1807">
        <v>1189</v>
      </c>
      <c r="B1807" t="s">
        <v>2875</v>
      </c>
      <c r="C1807" t="s">
        <v>23</v>
      </c>
      <c r="D1807">
        <v>0.03</v>
      </c>
      <c r="E1807">
        <v>10.64</v>
      </c>
      <c r="F1807">
        <v>5.16</v>
      </c>
      <c r="G1807" t="s">
        <v>14</v>
      </c>
      <c r="H1807" t="s">
        <v>15</v>
      </c>
      <c r="I1807" t="s">
        <v>4</v>
      </c>
      <c r="J1807" t="s">
        <v>102</v>
      </c>
      <c r="K1807" t="s">
        <v>49</v>
      </c>
      <c r="L1807" t="s">
        <v>1820</v>
      </c>
      <c r="M1807">
        <v>0.56999999999999995</v>
      </c>
      <c r="N1807" t="s">
        <v>8</v>
      </c>
      <c r="O1807" t="s">
        <v>35</v>
      </c>
      <c r="P1807" t="s">
        <v>66</v>
      </c>
      <c r="Q1807" t="s">
        <v>2072</v>
      </c>
      <c r="R1807">
        <v>92646</v>
      </c>
      <c r="S1807" s="1">
        <v>42172</v>
      </c>
      <c r="T1807" s="1">
        <v>42177</v>
      </c>
      <c r="U1807">
        <v>17.376000000000001</v>
      </c>
      <c r="V1807">
        <v>16</v>
      </c>
      <c r="W1807">
        <v>177.01</v>
      </c>
      <c r="X1807">
        <v>87584</v>
      </c>
      <c r="Y1807">
        <f>cleaneddata[[#This Row],[Unit Price]]-cleaneddata[[#This Row],[Discount]]</f>
        <v>10.610000000000001</v>
      </c>
      <c r="Z180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08" spans="1:26" x14ac:dyDescent="0.3">
      <c r="A1808">
        <v>1189</v>
      </c>
      <c r="B1808" t="s">
        <v>2875</v>
      </c>
      <c r="C1808" t="s">
        <v>23</v>
      </c>
      <c r="D1808">
        <v>0.03</v>
      </c>
      <c r="E1808">
        <v>7.96</v>
      </c>
      <c r="F1808">
        <v>4.95</v>
      </c>
      <c r="G1808" t="s">
        <v>14</v>
      </c>
      <c r="H1808" t="s">
        <v>15</v>
      </c>
      <c r="I1808" t="s">
        <v>4</v>
      </c>
      <c r="J1808" t="s">
        <v>102</v>
      </c>
      <c r="K1808" t="s">
        <v>49</v>
      </c>
      <c r="L1808" t="s">
        <v>787</v>
      </c>
      <c r="M1808">
        <v>0.41</v>
      </c>
      <c r="N1808" t="s">
        <v>8</v>
      </c>
      <c r="O1808" t="s">
        <v>35</v>
      </c>
      <c r="P1808" t="s">
        <v>66</v>
      </c>
      <c r="Q1808" t="s">
        <v>2072</v>
      </c>
      <c r="R1808">
        <v>92646</v>
      </c>
      <c r="S1808" s="1">
        <v>42172</v>
      </c>
      <c r="T1808" s="1">
        <v>42174</v>
      </c>
      <c r="U1808">
        <v>24.260400000000001</v>
      </c>
      <c r="V1808">
        <v>4</v>
      </c>
      <c r="W1808">
        <v>35.159999999999997</v>
      </c>
      <c r="X1808">
        <v>87584</v>
      </c>
      <c r="Y1808">
        <f>cleaneddata[[#This Row],[Unit Price]]-cleaneddata[[#This Row],[Discount]]</f>
        <v>7.93</v>
      </c>
      <c r="Z180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09" spans="1:26" x14ac:dyDescent="0.3">
      <c r="A1809">
        <v>1193</v>
      </c>
      <c r="B1809" t="s">
        <v>1327</v>
      </c>
      <c r="C1809" t="s">
        <v>23</v>
      </c>
      <c r="D1809">
        <v>0.03</v>
      </c>
      <c r="E1809">
        <v>10.64</v>
      </c>
      <c r="F1809">
        <v>5.16</v>
      </c>
      <c r="G1809" t="s">
        <v>14</v>
      </c>
      <c r="H1809" t="s">
        <v>15</v>
      </c>
      <c r="I1809" t="s">
        <v>4</v>
      </c>
      <c r="J1809" t="s">
        <v>102</v>
      </c>
      <c r="K1809" t="s">
        <v>49</v>
      </c>
      <c r="L1809" t="s">
        <v>1820</v>
      </c>
      <c r="M1809">
        <v>0.56999999999999995</v>
      </c>
      <c r="N1809" t="s">
        <v>8</v>
      </c>
      <c r="O1809" t="s">
        <v>87</v>
      </c>
      <c r="P1809" t="s">
        <v>350</v>
      </c>
      <c r="Q1809" t="s">
        <v>42</v>
      </c>
      <c r="R1809">
        <v>20016</v>
      </c>
      <c r="S1809" s="1">
        <v>42172</v>
      </c>
      <c r="T1809" s="1">
        <v>42177</v>
      </c>
      <c r="U1809">
        <v>14.48</v>
      </c>
      <c r="V1809">
        <v>63</v>
      </c>
      <c r="W1809">
        <v>696.96</v>
      </c>
      <c r="X1809">
        <v>5984</v>
      </c>
      <c r="Y1809">
        <f>cleaneddata[[#This Row],[Unit Price]]-cleaneddata[[#This Row],[Discount]]</f>
        <v>10.610000000000001</v>
      </c>
      <c r="Z180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10" spans="1:26" x14ac:dyDescent="0.3">
      <c r="A1810">
        <v>1193</v>
      </c>
      <c r="B1810" t="s">
        <v>1327</v>
      </c>
      <c r="C1810" t="s">
        <v>23</v>
      </c>
      <c r="D1810">
        <v>0.03</v>
      </c>
      <c r="E1810">
        <v>7.96</v>
      </c>
      <c r="F1810">
        <v>4.95</v>
      </c>
      <c r="G1810" t="s">
        <v>14</v>
      </c>
      <c r="H1810" t="s">
        <v>15</v>
      </c>
      <c r="I1810" t="s">
        <v>4</v>
      </c>
      <c r="J1810" t="s">
        <v>102</v>
      </c>
      <c r="K1810" t="s">
        <v>49</v>
      </c>
      <c r="L1810" t="s">
        <v>787</v>
      </c>
      <c r="M1810">
        <v>0.41</v>
      </c>
      <c r="N1810" t="s">
        <v>8</v>
      </c>
      <c r="O1810" t="s">
        <v>87</v>
      </c>
      <c r="P1810" t="s">
        <v>350</v>
      </c>
      <c r="Q1810" t="s">
        <v>42</v>
      </c>
      <c r="R1810">
        <v>20016</v>
      </c>
      <c r="S1810" s="1">
        <v>42172</v>
      </c>
      <c r="T1810" s="1">
        <v>42174</v>
      </c>
      <c r="U1810">
        <v>22.25</v>
      </c>
      <c r="V1810">
        <v>17</v>
      </c>
      <c r="W1810">
        <v>149.41</v>
      </c>
      <c r="X1810">
        <v>5984</v>
      </c>
      <c r="Y1810">
        <f>cleaneddata[[#This Row],[Unit Price]]-cleaneddata[[#This Row],[Discount]]</f>
        <v>7.93</v>
      </c>
      <c r="Z181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11" spans="1:26" x14ac:dyDescent="0.3">
      <c r="A1811">
        <v>3098</v>
      </c>
      <c r="B1811" t="s">
        <v>1396</v>
      </c>
      <c r="C1811" t="s">
        <v>23</v>
      </c>
      <c r="D1811">
        <v>0</v>
      </c>
      <c r="E1811">
        <v>11.7</v>
      </c>
      <c r="F1811">
        <v>6.96</v>
      </c>
      <c r="G1811" t="s">
        <v>63</v>
      </c>
      <c r="H1811" t="s">
        <v>15</v>
      </c>
      <c r="I1811" t="s">
        <v>24</v>
      </c>
      <c r="J1811" t="s">
        <v>71</v>
      </c>
      <c r="K1811" t="s">
        <v>120</v>
      </c>
      <c r="L1811" t="s">
        <v>736</v>
      </c>
      <c r="M1811">
        <v>0.5</v>
      </c>
      <c r="N1811" t="s">
        <v>8</v>
      </c>
      <c r="O1811" t="s">
        <v>87</v>
      </c>
      <c r="P1811" t="s">
        <v>88</v>
      </c>
      <c r="Q1811" t="s">
        <v>1397</v>
      </c>
      <c r="R1811">
        <v>11967</v>
      </c>
      <c r="S1811" s="1">
        <v>42172</v>
      </c>
      <c r="T1811" s="1">
        <v>42174</v>
      </c>
      <c r="U1811">
        <v>-11.247999999999999</v>
      </c>
      <c r="V1811">
        <v>10</v>
      </c>
      <c r="W1811">
        <v>131.69</v>
      </c>
      <c r="X1811">
        <v>89315</v>
      </c>
      <c r="Y1811">
        <f>cleaneddata[[#This Row],[Unit Price]]-cleaneddata[[#This Row],[Discount]]</f>
        <v>11.7</v>
      </c>
      <c r="Z181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12" spans="1:26" x14ac:dyDescent="0.3">
      <c r="A1812">
        <v>907</v>
      </c>
      <c r="B1812" t="s">
        <v>1347</v>
      </c>
      <c r="C1812" t="s">
        <v>92</v>
      </c>
      <c r="D1812">
        <v>0.09</v>
      </c>
      <c r="E1812">
        <v>2.6</v>
      </c>
      <c r="F1812">
        <v>2.4</v>
      </c>
      <c r="G1812" t="s">
        <v>14</v>
      </c>
      <c r="H1812" t="s">
        <v>47</v>
      </c>
      <c r="I1812" t="s">
        <v>24</v>
      </c>
      <c r="J1812" t="s">
        <v>25</v>
      </c>
      <c r="K1812" t="s">
        <v>26</v>
      </c>
      <c r="L1812" t="s">
        <v>332</v>
      </c>
      <c r="M1812">
        <v>0.57999999999999996</v>
      </c>
      <c r="N1812" t="s">
        <v>8</v>
      </c>
      <c r="O1812" t="s">
        <v>9</v>
      </c>
      <c r="P1812" t="s">
        <v>364</v>
      </c>
      <c r="Q1812" t="s">
        <v>442</v>
      </c>
      <c r="R1812">
        <v>42420</v>
      </c>
      <c r="S1812" s="1">
        <v>42172</v>
      </c>
      <c r="T1812" s="1">
        <v>42174</v>
      </c>
      <c r="U1812">
        <v>1107.4079999999999</v>
      </c>
      <c r="V1812">
        <v>12</v>
      </c>
      <c r="W1812">
        <v>31.73</v>
      </c>
      <c r="X1812">
        <v>86460</v>
      </c>
      <c r="Y1812">
        <f>cleaneddata[[#This Row],[Unit Price]]-cleaneddata[[#This Row],[Discount]]</f>
        <v>2.5100000000000002</v>
      </c>
      <c r="Z181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13" spans="1:26" x14ac:dyDescent="0.3">
      <c r="A1813">
        <v>317</v>
      </c>
      <c r="B1813" t="s">
        <v>2876</v>
      </c>
      <c r="C1813" t="s">
        <v>46</v>
      </c>
      <c r="D1813">
        <v>0.09</v>
      </c>
      <c r="E1813">
        <v>7.38</v>
      </c>
      <c r="F1813">
        <v>5.21</v>
      </c>
      <c r="G1813" t="s">
        <v>14</v>
      </c>
      <c r="H1813" t="s">
        <v>70</v>
      </c>
      <c r="I1813" t="s">
        <v>4</v>
      </c>
      <c r="J1813" t="s">
        <v>102</v>
      </c>
      <c r="K1813" t="s">
        <v>49</v>
      </c>
      <c r="L1813" t="s">
        <v>1893</v>
      </c>
      <c r="M1813">
        <v>0.56000000000000005</v>
      </c>
      <c r="N1813" t="s">
        <v>8</v>
      </c>
      <c r="O1813" t="s">
        <v>35</v>
      </c>
      <c r="P1813" t="s">
        <v>66</v>
      </c>
      <c r="Q1813" t="s">
        <v>2877</v>
      </c>
      <c r="R1813">
        <v>91945</v>
      </c>
      <c r="S1813" s="1">
        <v>42172</v>
      </c>
      <c r="T1813" s="1">
        <v>42173</v>
      </c>
      <c r="U1813">
        <v>-27.16</v>
      </c>
      <c r="V1813">
        <v>9</v>
      </c>
      <c r="W1813">
        <v>66.55</v>
      </c>
      <c r="X1813">
        <v>86041</v>
      </c>
      <c r="Y1813">
        <f>cleaneddata[[#This Row],[Unit Price]]-cleaneddata[[#This Row],[Discount]]</f>
        <v>7.29</v>
      </c>
      <c r="Z181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14" spans="1:26" x14ac:dyDescent="0.3">
      <c r="A1814">
        <v>317</v>
      </c>
      <c r="B1814" t="s">
        <v>2876</v>
      </c>
      <c r="C1814" t="s">
        <v>46</v>
      </c>
      <c r="D1814">
        <v>0.04</v>
      </c>
      <c r="E1814">
        <v>5.98</v>
      </c>
      <c r="F1814">
        <v>5.15</v>
      </c>
      <c r="G1814" t="s">
        <v>14</v>
      </c>
      <c r="H1814" t="s">
        <v>70</v>
      </c>
      <c r="I1814" t="s">
        <v>24</v>
      </c>
      <c r="J1814" t="s">
        <v>64</v>
      </c>
      <c r="K1814" t="s">
        <v>49</v>
      </c>
      <c r="L1814" t="s">
        <v>2444</v>
      </c>
      <c r="M1814">
        <v>0.36</v>
      </c>
      <c r="N1814" t="s">
        <v>8</v>
      </c>
      <c r="O1814" t="s">
        <v>35</v>
      </c>
      <c r="P1814" t="s">
        <v>66</v>
      </c>
      <c r="Q1814" t="s">
        <v>2877</v>
      </c>
      <c r="R1814">
        <v>91945</v>
      </c>
      <c r="S1814" s="1">
        <v>42172</v>
      </c>
      <c r="T1814" s="1">
        <v>42173</v>
      </c>
      <c r="U1814">
        <v>-52.344000000000001</v>
      </c>
      <c r="V1814">
        <v>17</v>
      </c>
      <c r="W1814">
        <v>103.49</v>
      </c>
      <c r="X1814">
        <v>86041</v>
      </c>
      <c r="Y1814">
        <f>cleaneddata[[#This Row],[Unit Price]]-cleaneddata[[#This Row],[Discount]]</f>
        <v>5.94</v>
      </c>
      <c r="Z181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15" spans="1:26" x14ac:dyDescent="0.3">
      <c r="A1815">
        <v>317</v>
      </c>
      <c r="B1815" t="s">
        <v>2876</v>
      </c>
      <c r="C1815" t="s">
        <v>46</v>
      </c>
      <c r="D1815">
        <v>0.04</v>
      </c>
      <c r="E1815">
        <v>15.42</v>
      </c>
      <c r="F1815">
        <v>10.68</v>
      </c>
      <c r="G1815" t="s">
        <v>14</v>
      </c>
      <c r="H1815" t="s">
        <v>70</v>
      </c>
      <c r="I1815" t="s">
        <v>24</v>
      </c>
      <c r="J1815" t="s">
        <v>54</v>
      </c>
      <c r="K1815" t="s">
        <v>49</v>
      </c>
      <c r="L1815" t="s">
        <v>2241</v>
      </c>
      <c r="M1815">
        <v>0.57999999999999996</v>
      </c>
      <c r="N1815" t="s">
        <v>8</v>
      </c>
      <c r="O1815" t="s">
        <v>35</v>
      </c>
      <c r="P1815" t="s">
        <v>66</v>
      </c>
      <c r="Q1815" t="s">
        <v>2877</v>
      </c>
      <c r="R1815">
        <v>91945</v>
      </c>
      <c r="S1815" s="1">
        <v>42172</v>
      </c>
      <c r="T1815" s="1">
        <v>42173</v>
      </c>
      <c r="U1815">
        <v>-119.93600000000001</v>
      </c>
      <c r="V1815">
        <v>12</v>
      </c>
      <c r="W1815">
        <v>192.18</v>
      </c>
      <c r="X1815">
        <v>86041</v>
      </c>
      <c r="Y1815">
        <f>cleaneddata[[#This Row],[Unit Price]]-cleaneddata[[#This Row],[Discount]]</f>
        <v>15.38</v>
      </c>
      <c r="Z181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16" spans="1:26" x14ac:dyDescent="0.3">
      <c r="A1816">
        <v>395</v>
      </c>
      <c r="B1816" t="s">
        <v>2878</v>
      </c>
      <c r="C1816" t="s">
        <v>1</v>
      </c>
      <c r="D1816">
        <v>0.04</v>
      </c>
      <c r="E1816">
        <v>15.98</v>
      </c>
      <c r="F1816">
        <v>4</v>
      </c>
      <c r="G1816" t="s">
        <v>14</v>
      </c>
      <c r="H1816" t="s">
        <v>70</v>
      </c>
      <c r="I1816" t="s">
        <v>16</v>
      </c>
      <c r="J1816" t="s">
        <v>17</v>
      </c>
      <c r="K1816" t="s">
        <v>49</v>
      </c>
      <c r="L1816" t="s">
        <v>1858</v>
      </c>
      <c r="M1816">
        <v>0.37</v>
      </c>
      <c r="N1816" t="s">
        <v>8</v>
      </c>
      <c r="O1816" t="s">
        <v>9</v>
      </c>
      <c r="P1816" t="s">
        <v>73</v>
      </c>
      <c r="Q1816" t="s">
        <v>2879</v>
      </c>
      <c r="R1816">
        <v>28001</v>
      </c>
      <c r="S1816" s="1">
        <v>42173</v>
      </c>
      <c r="T1816" s="1">
        <v>42174</v>
      </c>
      <c r="U1816">
        <v>-19.207999999999998</v>
      </c>
      <c r="V1816">
        <v>4</v>
      </c>
      <c r="W1816">
        <v>64.59</v>
      </c>
      <c r="X1816">
        <v>86384</v>
      </c>
      <c r="Y1816">
        <f>cleaneddata[[#This Row],[Unit Price]]-cleaneddata[[#This Row],[Discount]]</f>
        <v>15.940000000000001</v>
      </c>
      <c r="Z181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17" spans="1:26" x14ac:dyDescent="0.3">
      <c r="A1817">
        <v>395</v>
      </c>
      <c r="B1817" t="s">
        <v>2878</v>
      </c>
      <c r="C1817" t="s">
        <v>1</v>
      </c>
      <c r="D1817">
        <v>0.06</v>
      </c>
      <c r="E1817">
        <v>22.84</v>
      </c>
      <c r="F1817">
        <v>5.47</v>
      </c>
      <c r="G1817" t="s">
        <v>14</v>
      </c>
      <c r="H1817" t="s">
        <v>70</v>
      </c>
      <c r="I1817" t="s">
        <v>24</v>
      </c>
      <c r="J1817" t="s">
        <v>64</v>
      </c>
      <c r="K1817" t="s">
        <v>49</v>
      </c>
      <c r="L1817" t="s">
        <v>2880</v>
      </c>
      <c r="M1817">
        <v>0.39</v>
      </c>
      <c r="N1817" t="s">
        <v>8</v>
      </c>
      <c r="O1817" t="s">
        <v>9</v>
      </c>
      <c r="P1817" t="s">
        <v>73</v>
      </c>
      <c r="Q1817" t="s">
        <v>2879</v>
      </c>
      <c r="R1817">
        <v>28001</v>
      </c>
      <c r="S1817" s="1">
        <v>42173</v>
      </c>
      <c r="T1817" s="1">
        <v>42175</v>
      </c>
      <c r="U1817">
        <v>7.44</v>
      </c>
      <c r="V1817">
        <v>20</v>
      </c>
      <c r="W1817">
        <v>461.94</v>
      </c>
      <c r="X1817">
        <v>86384</v>
      </c>
      <c r="Y1817">
        <f>cleaneddata[[#This Row],[Unit Price]]-cleaneddata[[#This Row],[Discount]]</f>
        <v>22.78</v>
      </c>
      <c r="Z181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18" spans="1:26" x14ac:dyDescent="0.3">
      <c r="A1818">
        <v>152</v>
      </c>
      <c r="B1818" t="s">
        <v>481</v>
      </c>
      <c r="C1818" t="s">
        <v>23</v>
      </c>
      <c r="D1818">
        <v>0.1</v>
      </c>
      <c r="E1818">
        <v>39.979999999999997</v>
      </c>
      <c r="F1818">
        <v>4</v>
      </c>
      <c r="G1818" t="s">
        <v>14</v>
      </c>
      <c r="H1818" t="s">
        <v>3</v>
      </c>
      <c r="I1818" t="s">
        <v>16</v>
      </c>
      <c r="J1818" t="s">
        <v>17</v>
      </c>
      <c r="K1818" t="s">
        <v>49</v>
      </c>
      <c r="L1818" t="s">
        <v>1903</v>
      </c>
      <c r="M1818">
        <v>0.7</v>
      </c>
      <c r="N1818" t="s">
        <v>8</v>
      </c>
      <c r="O1818" t="s">
        <v>9</v>
      </c>
      <c r="P1818" t="s">
        <v>376</v>
      </c>
      <c r="Q1818" t="s">
        <v>483</v>
      </c>
      <c r="R1818">
        <v>37918</v>
      </c>
      <c r="S1818" s="1">
        <v>42173</v>
      </c>
      <c r="T1818" s="1">
        <v>42177</v>
      </c>
      <c r="U1818">
        <v>360.24</v>
      </c>
      <c r="V1818">
        <v>21</v>
      </c>
      <c r="W1818">
        <v>772.56</v>
      </c>
      <c r="X1818">
        <v>89525</v>
      </c>
      <c r="Y1818">
        <f>cleaneddata[[#This Row],[Unit Price]]-cleaneddata[[#This Row],[Discount]]</f>
        <v>39.879999999999995</v>
      </c>
      <c r="Z181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19" spans="1:26" x14ac:dyDescent="0.3">
      <c r="A1819">
        <v>1958</v>
      </c>
      <c r="B1819" t="s">
        <v>2881</v>
      </c>
      <c r="C1819" t="s">
        <v>23</v>
      </c>
      <c r="D1819">
        <v>0.09</v>
      </c>
      <c r="E1819">
        <v>30.98</v>
      </c>
      <c r="F1819">
        <v>6.5</v>
      </c>
      <c r="G1819" t="s">
        <v>63</v>
      </c>
      <c r="H1819" t="s">
        <v>15</v>
      </c>
      <c r="I1819" t="s">
        <v>16</v>
      </c>
      <c r="J1819" t="s">
        <v>17</v>
      </c>
      <c r="K1819" t="s">
        <v>49</v>
      </c>
      <c r="L1819" t="s">
        <v>2497</v>
      </c>
      <c r="M1819">
        <v>0.64</v>
      </c>
      <c r="N1819" t="s">
        <v>8</v>
      </c>
      <c r="O1819" t="s">
        <v>35</v>
      </c>
      <c r="P1819" t="s">
        <v>115</v>
      </c>
      <c r="Q1819" t="s">
        <v>1704</v>
      </c>
      <c r="R1819">
        <v>97068</v>
      </c>
      <c r="S1819" s="1">
        <v>42173</v>
      </c>
      <c r="T1819" s="1">
        <v>42177</v>
      </c>
      <c r="U1819">
        <v>-55.97</v>
      </c>
      <c r="V1819">
        <v>7</v>
      </c>
      <c r="W1819">
        <v>204.34</v>
      </c>
      <c r="X1819">
        <v>89819</v>
      </c>
      <c r="Y1819">
        <f>cleaneddata[[#This Row],[Unit Price]]-cleaneddata[[#This Row],[Discount]]</f>
        <v>30.89</v>
      </c>
      <c r="Z181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20" spans="1:26" x14ac:dyDescent="0.3">
      <c r="A1820">
        <v>2954</v>
      </c>
      <c r="B1820" t="s">
        <v>2882</v>
      </c>
      <c r="C1820" t="s">
        <v>23</v>
      </c>
      <c r="D1820">
        <v>0.09</v>
      </c>
      <c r="E1820">
        <v>12.22</v>
      </c>
      <c r="F1820">
        <v>2.85</v>
      </c>
      <c r="G1820" t="s">
        <v>14</v>
      </c>
      <c r="H1820" t="s">
        <v>15</v>
      </c>
      <c r="I1820" t="s">
        <v>4</v>
      </c>
      <c r="J1820" t="s">
        <v>102</v>
      </c>
      <c r="K1820" t="s">
        <v>18</v>
      </c>
      <c r="L1820" t="s">
        <v>2062</v>
      </c>
      <c r="M1820">
        <v>0.55000000000000004</v>
      </c>
      <c r="N1820" t="s">
        <v>8</v>
      </c>
      <c r="O1820" t="s">
        <v>28</v>
      </c>
      <c r="P1820" t="s">
        <v>60</v>
      </c>
      <c r="Q1820" t="s">
        <v>2883</v>
      </c>
      <c r="R1820">
        <v>55119</v>
      </c>
      <c r="S1820" s="1">
        <v>42173</v>
      </c>
      <c r="T1820" s="1">
        <v>42180</v>
      </c>
      <c r="U1820">
        <v>70.676699999999997</v>
      </c>
      <c r="V1820">
        <v>9</v>
      </c>
      <c r="W1820">
        <v>102.43</v>
      </c>
      <c r="X1820">
        <v>86427</v>
      </c>
      <c r="Y1820">
        <f>cleaneddata[[#This Row],[Unit Price]]-cleaneddata[[#This Row],[Discount]]</f>
        <v>12.13</v>
      </c>
      <c r="Z182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21" spans="1:26" x14ac:dyDescent="0.3">
      <c r="A1821">
        <v>553</v>
      </c>
      <c r="B1821" t="s">
        <v>827</v>
      </c>
      <c r="C1821" t="s">
        <v>92</v>
      </c>
      <c r="D1821">
        <v>0.08</v>
      </c>
      <c r="E1821">
        <v>124.49</v>
      </c>
      <c r="F1821">
        <v>51.94</v>
      </c>
      <c r="G1821" t="s">
        <v>2</v>
      </c>
      <c r="H1821" t="s">
        <v>70</v>
      </c>
      <c r="I1821" t="s">
        <v>4</v>
      </c>
      <c r="J1821" t="s">
        <v>5</v>
      </c>
      <c r="K1821" t="s">
        <v>6</v>
      </c>
      <c r="L1821" t="s">
        <v>1125</v>
      </c>
      <c r="M1821">
        <v>0.63</v>
      </c>
      <c r="N1821" t="s">
        <v>8</v>
      </c>
      <c r="O1821" t="s">
        <v>35</v>
      </c>
      <c r="P1821" t="s">
        <v>66</v>
      </c>
      <c r="Q1821" t="s">
        <v>76</v>
      </c>
      <c r="R1821">
        <v>90008</v>
      </c>
      <c r="S1821" s="1">
        <v>42173</v>
      </c>
      <c r="T1821" s="1">
        <v>42174</v>
      </c>
      <c r="U1821">
        <v>-500.38</v>
      </c>
      <c r="V1821">
        <v>56</v>
      </c>
      <c r="W1821">
        <v>6831.37</v>
      </c>
      <c r="X1821">
        <v>359</v>
      </c>
      <c r="Y1821">
        <f>cleaneddata[[#This Row],[Unit Price]]-cleaneddata[[#This Row],[Discount]]</f>
        <v>124.41</v>
      </c>
      <c r="Z182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22" spans="1:26" x14ac:dyDescent="0.3">
      <c r="A1822">
        <v>555</v>
      </c>
      <c r="B1822" t="s">
        <v>1276</v>
      </c>
      <c r="C1822" t="s">
        <v>92</v>
      </c>
      <c r="D1822">
        <v>0.08</v>
      </c>
      <c r="E1822">
        <v>124.49</v>
      </c>
      <c r="F1822">
        <v>51.94</v>
      </c>
      <c r="G1822" t="s">
        <v>2</v>
      </c>
      <c r="H1822" t="s">
        <v>70</v>
      </c>
      <c r="I1822" t="s">
        <v>4</v>
      </c>
      <c r="J1822" t="s">
        <v>5</v>
      </c>
      <c r="K1822" t="s">
        <v>6</v>
      </c>
      <c r="L1822" t="s">
        <v>1125</v>
      </c>
      <c r="M1822">
        <v>0.63</v>
      </c>
      <c r="N1822" t="s">
        <v>8</v>
      </c>
      <c r="O1822" t="s">
        <v>35</v>
      </c>
      <c r="P1822" t="s">
        <v>122</v>
      </c>
      <c r="Q1822" t="s">
        <v>1277</v>
      </c>
      <c r="R1822">
        <v>84062</v>
      </c>
      <c r="S1822" s="1">
        <v>42173</v>
      </c>
      <c r="T1822" s="1">
        <v>42174</v>
      </c>
      <c r="U1822">
        <v>-250.19</v>
      </c>
      <c r="V1822">
        <v>14</v>
      </c>
      <c r="W1822">
        <v>1707.84</v>
      </c>
      <c r="X1822">
        <v>86192</v>
      </c>
      <c r="Y1822">
        <f>cleaneddata[[#This Row],[Unit Price]]-cleaneddata[[#This Row],[Discount]]</f>
        <v>124.41</v>
      </c>
      <c r="Z18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23" spans="1:26" x14ac:dyDescent="0.3">
      <c r="A1823">
        <v>2016</v>
      </c>
      <c r="B1823" t="s">
        <v>2884</v>
      </c>
      <c r="C1823" t="s">
        <v>92</v>
      </c>
      <c r="D1823">
        <v>0.1</v>
      </c>
      <c r="E1823">
        <v>10.48</v>
      </c>
      <c r="F1823">
        <v>2.89</v>
      </c>
      <c r="G1823" t="s">
        <v>14</v>
      </c>
      <c r="H1823" t="s">
        <v>70</v>
      </c>
      <c r="I1823" t="s">
        <v>24</v>
      </c>
      <c r="J1823" t="s">
        <v>25</v>
      </c>
      <c r="K1823" t="s">
        <v>18</v>
      </c>
      <c r="L1823" t="s">
        <v>972</v>
      </c>
      <c r="M1823">
        <v>0.6</v>
      </c>
      <c r="N1823" t="s">
        <v>8</v>
      </c>
      <c r="O1823" t="s">
        <v>28</v>
      </c>
      <c r="P1823" t="s">
        <v>265</v>
      </c>
      <c r="Q1823" t="s">
        <v>266</v>
      </c>
      <c r="R1823">
        <v>48195</v>
      </c>
      <c r="S1823" s="1">
        <v>42173</v>
      </c>
      <c r="T1823" s="1">
        <v>42174</v>
      </c>
      <c r="U1823">
        <v>-8.9039999999999999</v>
      </c>
      <c r="V1823">
        <v>4</v>
      </c>
      <c r="W1823">
        <v>40.29</v>
      </c>
      <c r="X1823">
        <v>86874</v>
      </c>
      <c r="Y1823">
        <f>cleaneddata[[#This Row],[Unit Price]]-cleaneddata[[#This Row],[Discount]]</f>
        <v>10.38</v>
      </c>
      <c r="Z182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24" spans="1:26" x14ac:dyDescent="0.3">
      <c r="A1824">
        <v>594</v>
      </c>
      <c r="B1824" t="s">
        <v>1620</v>
      </c>
      <c r="C1824" t="s">
        <v>1</v>
      </c>
      <c r="D1824">
        <v>0.04</v>
      </c>
      <c r="E1824">
        <v>39.479999999999997</v>
      </c>
      <c r="F1824">
        <v>1.99</v>
      </c>
      <c r="G1824" t="s">
        <v>14</v>
      </c>
      <c r="H1824" t="s">
        <v>15</v>
      </c>
      <c r="I1824" t="s">
        <v>16</v>
      </c>
      <c r="J1824" t="s">
        <v>17</v>
      </c>
      <c r="K1824" t="s">
        <v>18</v>
      </c>
      <c r="L1824" t="s">
        <v>1233</v>
      </c>
      <c r="M1824">
        <v>0.54</v>
      </c>
      <c r="N1824" t="s">
        <v>8</v>
      </c>
      <c r="O1824" t="s">
        <v>28</v>
      </c>
      <c r="P1824" t="s">
        <v>29</v>
      </c>
      <c r="Q1824" t="s">
        <v>1621</v>
      </c>
      <c r="R1824">
        <v>46016</v>
      </c>
      <c r="S1824" s="1">
        <v>42174</v>
      </c>
      <c r="T1824" s="1">
        <v>42177</v>
      </c>
      <c r="U1824">
        <v>484.8492</v>
      </c>
      <c r="V1824">
        <v>18</v>
      </c>
      <c r="W1824">
        <v>702.68</v>
      </c>
      <c r="X1824">
        <v>86311</v>
      </c>
      <c r="Y1824">
        <f>cleaneddata[[#This Row],[Unit Price]]-cleaneddata[[#This Row],[Discount]]</f>
        <v>39.44</v>
      </c>
      <c r="Z182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25" spans="1:26" x14ac:dyDescent="0.3">
      <c r="A1825">
        <v>594</v>
      </c>
      <c r="B1825" t="s">
        <v>1620</v>
      </c>
      <c r="C1825" t="s">
        <v>1</v>
      </c>
      <c r="D1825">
        <v>0.04</v>
      </c>
      <c r="E1825">
        <v>3.7</v>
      </c>
      <c r="F1825">
        <v>1.61</v>
      </c>
      <c r="G1825" t="s">
        <v>14</v>
      </c>
      <c r="H1825" t="s">
        <v>15</v>
      </c>
      <c r="I1825" t="s">
        <v>4</v>
      </c>
      <c r="J1825" t="s">
        <v>102</v>
      </c>
      <c r="K1825" t="s">
        <v>26</v>
      </c>
      <c r="L1825" t="s">
        <v>2885</v>
      </c>
      <c r="M1825">
        <v>0.44</v>
      </c>
      <c r="N1825" t="s">
        <v>8</v>
      </c>
      <c r="O1825" t="s">
        <v>28</v>
      </c>
      <c r="P1825" t="s">
        <v>29</v>
      </c>
      <c r="Q1825" t="s">
        <v>1621</v>
      </c>
      <c r="R1825">
        <v>46016</v>
      </c>
      <c r="S1825" s="1">
        <v>42174</v>
      </c>
      <c r="T1825" s="1">
        <v>42175</v>
      </c>
      <c r="U1825">
        <v>18</v>
      </c>
      <c r="V1825">
        <v>18</v>
      </c>
      <c r="W1825">
        <v>67.239999999999995</v>
      </c>
      <c r="X1825">
        <v>86311</v>
      </c>
      <c r="Y1825">
        <f>cleaneddata[[#This Row],[Unit Price]]-cleaneddata[[#This Row],[Discount]]</f>
        <v>3.66</v>
      </c>
      <c r="Z182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26" spans="1:26" x14ac:dyDescent="0.3">
      <c r="A1826">
        <v>1009</v>
      </c>
      <c r="B1826" t="s">
        <v>2886</v>
      </c>
      <c r="C1826" t="s">
        <v>13</v>
      </c>
      <c r="D1826">
        <v>0.1</v>
      </c>
      <c r="E1826">
        <v>550.98</v>
      </c>
      <c r="F1826">
        <v>45.7</v>
      </c>
      <c r="G1826" t="s">
        <v>2</v>
      </c>
      <c r="H1826" t="s">
        <v>70</v>
      </c>
      <c r="I1826" t="s">
        <v>4</v>
      </c>
      <c r="J1826" t="s">
        <v>5</v>
      </c>
      <c r="K1826" t="s">
        <v>6</v>
      </c>
      <c r="L1826" t="s">
        <v>2887</v>
      </c>
      <c r="M1826">
        <v>0.71</v>
      </c>
      <c r="N1826" t="s">
        <v>8</v>
      </c>
      <c r="O1826" t="s">
        <v>87</v>
      </c>
      <c r="P1826" t="s">
        <v>307</v>
      </c>
      <c r="Q1826" t="s">
        <v>2888</v>
      </c>
      <c r="R1826">
        <v>4072</v>
      </c>
      <c r="S1826" s="1">
        <v>42174</v>
      </c>
      <c r="T1826" s="1">
        <v>42176</v>
      </c>
      <c r="U1826">
        <v>818.54617499999995</v>
      </c>
      <c r="V1826">
        <v>14</v>
      </c>
      <c r="W1826">
        <v>6963.67</v>
      </c>
      <c r="X1826">
        <v>88372</v>
      </c>
      <c r="Y1826">
        <f>cleaneddata[[#This Row],[Unit Price]]-cleaneddata[[#This Row],[Discount]]</f>
        <v>550.88</v>
      </c>
      <c r="Z182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27" spans="1:26" x14ac:dyDescent="0.3">
      <c r="A1827">
        <v>1956</v>
      </c>
      <c r="B1827" t="s">
        <v>2889</v>
      </c>
      <c r="C1827" t="s">
        <v>13</v>
      </c>
      <c r="D1827">
        <v>0.09</v>
      </c>
      <c r="E1827">
        <v>40.98</v>
      </c>
      <c r="F1827">
        <v>6.5</v>
      </c>
      <c r="G1827" t="s">
        <v>14</v>
      </c>
      <c r="H1827" t="s">
        <v>15</v>
      </c>
      <c r="I1827" t="s">
        <v>16</v>
      </c>
      <c r="J1827" t="s">
        <v>17</v>
      </c>
      <c r="K1827" t="s">
        <v>49</v>
      </c>
      <c r="L1827" t="s">
        <v>422</v>
      </c>
      <c r="M1827">
        <v>0.74</v>
      </c>
      <c r="N1827" t="s">
        <v>8</v>
      </c>
      <c r="O1827" t="s">
        <v>35</v>
      </c>
      <c r="P1827" t="s">
        <v>36</v>
      </c>
      <c r="Q1827" t="s">
        <v>1289</v>
      </c>
      <c r="R1827">
        <v>80027</v>
      </c>
      <c r="S1827" s="1">
        <v>42174</v>
      </c>
      <c r="T1827" s="1">
        <v>42176</v>
      </c>
      <c r="U1827">
        <v>-50.244999999999997</v>
      </c>
      <c r="V1827">
        <v>19</v>
      </c>
      <c r="W1827">
        <v>746.91</v>
      </c>
      <c r="X1827">
        <v>89820</v>
      </c>
      <c r="Y1827">
        <f>cleaneddata[[#This Row],[Unit Price]]-cleaneddata[[#This Row],[Discount]]</f>
        <v>40.889999999999993</v>
      </c>
      <c r="Z18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28" spans="1:26" x14ac:dyDescent="0.3">
      <c r="A1828">
        <v>796</v>
      </c>
      <c r="B1828" t="s">
        <v>1564</v>
      </c>
      <c r="C1828" t="s">
        <v>46</v>
      </c>
      <c r="D1828">
        <v>0.1</v>
      </c>
      <c r="E1828">
        <v>14.42</v>
      </c>
      <c r="F1828">
        <v>6.75</v>
      </c>
      <c r="G1828" t="s">
        <v>14</v>
      </c>
      <c r="H1828" t="s">
        <v>70</v>
      </c>
      <c r="I1828" t="s">
        <v>24</v>
      </c>
      <c r="J1828" t="s">
        <v>71</v>
      </c>
      <c r="K1828" t="s">
        <v>120</v>
      </c>
      <c r="L1828" t="s">
        <v>385</v>
      </c>
      <c r="M1828">
        <v>0.52</v>
      </c>
      <c r="N1828" t="s">
        <v>8</v>
      </c>
      <c r="O1828" t="s">
        <v>28</v>
      </c>
      <c r="P1828" t="s">
        <v>109</v>
      </c>
      <c r="Q1828" t="s">
        <v>1565</v>
      </c>
      <c r="R1828">
        <v>68046</v>
      </c>
      <c r="S1828" s="1">
        <v>42174</v>
      </c>
      <c r="T1828" s="1">
        <v>42177</v>
      </c>
      <c r="U1828">
        <v>-20.103999999999999</v>
      </c>
      <c r="V1828">
        <v>1</v>
      </c>
      <c r="W1828">
        <v>15.49</v>
      </c>
      <c r="X1828">
        <v>86869</v>
      </c>
      <c r="Y1828">
        <f>cleaneddata[[#This Row],[Unit Price]]-cleaneddata[[#This Row],[Discount]]</f>
        <v>14.32</v>
      </c>
      <c r="Z182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29" spans="1:26" x14ac:dyDescent="0.3">
      <c r="A1829">
        <v>2323</v>
      </c>
      <c r="B1829" t="s">
        <v>1651</v>
      </c>
      <c r="C1829" t="s">
        <v>46</v>
      </c>
      <c r="D1829">
        <v>0.06</v>
      </c>
      <c r="E1829">
        <v>4.9800000000000004</v>
      </c>
      <c r="F1829">
        <v>4.62</v>
      </c>
      <c r="G1829" t="s">
        <v>63</v>
      </c>
      <c r="H1829" t="s">
        <v>3</v>
      </c>
      <c r="I1829" t="s">
        <v>16</v>
      </c>
      <c r="J1829" t="s">
        <v>17</v>
      </c>
      <c r="K1829" t="s">
        <v>18</v>
      </c>
      <c r="L1829" t="s">
        <v>1197</v>
      </c>
      <c r="M1829">
        <v>0.64</v>
      </c>
      <c r="N1829" t="s">
        <v>8</v>
      </c>
      <c r="O1829" t="s">
        <v>35</v>
      </c>
      <c r="P1829" t="s">
        <v>66</v>
      </c>
      <c r="Q1829" t="s">
        <v>1190</v>
      </c>
      <c r="R1829">
        <v>92236</v>
      </c>
      <c r="S1829" s="1">
        <v>42174</v>
      </c>
      <c r="T1829" s="1">
        <v>42174</v>
      </c>
      <c r="U1829">
        <v>-27.004999999999999</v>
      </c>
      <c r="V1829">
        <v>7</v>
      </c>
      <c r="W1829">
        <v>38.74</v>
      </c>
      <c r="X1829">
        <v>88722</v>
      </c>
      <c r="Y1829">
        <f>cleaneddata[[#This Row],[Unit Price]]-cleaneddata[[#This Row],[Discount]]</f>
        <v>4.9200000000000008</v>
      </c>
      <c r="Z18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30" spans="1:26" x14ac:dyDescent="0.3">
      <c r="A1830">
        <v>3138</v>
      </c>
      <c r="B1830" t="s">
        <v>2890</v>
      </c>
      <c r="C1830" t="s">
        <v>46</v>
      </c>
      <c r="D1830">
        <v>0.05</v>
      </c>
      <c r="E1830">
        <v>4.0599999999999996</v>
      </c>
      <c r="F1830">
        <v>6.89</v>
      </c>
      <c r="G1830" t="s">
        <v>63</v>
      </c>
      <c r="H1830" t="s">
        <v>70</v>
      </c>
      <c r="I1830" t="s">
        <v>24</v>
      </c>
      <c r="J1830" t="s">
        <v>71</v>
      </c>
      <c r="K1830" t="s">
        <v>49</v>
      </c>
      <c r="L1830" t="s">
        <v>1247</v>
      </c>
      <c r="M1830">
        <v>0.6</v>
      </c>
      <c r="N1830" t="s">
        <v>8</v>
      </c>
      <c r="O1830" t="s">
        <v>87</v>
      </c>
      <c r="P1830" t="s">
        <v>1332</v>
      </c>
      <c r="Q1830" t="s">
        <v>2891</v>
      </c>
      <c r="R1830">
        <v>3053</v>
      </c>
      <c r="S1830" s="1">
        <v>42174</v>
      </c>
      <c r="T1830" s="1">
        <v>42176</v>
      </c>
      <c r="U1830">
        <v>-122.83499999999999</v>
      </c>
      <c r="V1830">
        <v>22</v>
      </c>
      <c r="W1830">
        <v>92.57</v>
      </c>
      <c r="X1830">
        <v>86796</v>
      </c>
      <c r="Y1830">
        <f>cleaneddata[[#This Row],[Unit Price]]-cleaneddata[[#This Row],[Discount]]</f>
        <v>4.01</v>
      </c>
      <c r="Z183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31" spans="1:26" x14ac:dyDescent="0.3">
      <c r="A1831">
        <v>3167</v>
      </c>
      <c r="B1831" t="s">
        <v>2892</v>
      </c>
      <c r="C1831" t="s">
        <v>46</v>
      </c>
      <c r="D1831">
        <v>7.0000000000000007E-2</v>
      </c>
      <c r="E1831">
        <v>280.98</v>
      </c>
      <c r="F1831">
        <v>57</v>
      </c>
      <c r="G1831" t="s">
        <v>2</v>
      </c>
      <c r="H1831" t="s">
        <v>70</v>
      </c>
      <c r="I1831" t="s">
        <v>4</v>
      </c>
      <c r="J1831" t="s">
        <v>85</v>
      </c>
      <c r="K1831" t="s">
        <v>33</v>
      </c>
      <c r="L1831" t="s">
        <v>838</v>
      </c>
      <c r="M1831">
        <v>0.78</v>
      </c>
      <c r="N1831" t="s">
        <v>8</v>
      </c>
      <c r="O1831" t="s">
        <v>9</v>
      </c>
      <c r="P1831" t="s">
        <v>99</v>
      </c>
      <c r="Q1831" t="s">
        <v>2893</v>
      </c>
      <c r="R1831">
        <v>32004</v>
      </c>
      <c r="S1831" s="1">
        <v>42174</v>
      </c>
      <c r="T1831" s="1">
        <v>42175</v>
      </c>
      <c r="U1831">
        <v>-283.9914</v>
      </c>
      <c r="V1831">
        <v>14</v>
      </c>
      <c r="W1831">
        <v>3936.61</v>
      </c>
      <c r="X1831">
        <v>86491</v>
      </c>
      <c r="Y1831">
        <f>cleaneddata[[#This Row],[Unit Price]]-cleaneddata[[#This Row],[Discount]]</f>
        <v>280.91000000000003</v>
      </c>
      <c r="Z1831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32" spans="1:26" x14ac:dyDescent="0.3">
      <c r="A1832">
        <v>3167</v>
      </c>
      <c r="B1832" t="s">
        <v>2892</v>
      </c>
      <c r="C1832" t="s">
        <v>46</v>
      </c>
      <c r="D1832">
        <v>0</v>
      </c>
      <c r="E1832">
        <v>4.9800000000000004</v>
      </c>
      <c r="F1832">
        <v>7.44</v>
      </c>
      <c r="G1832" t="s">
        <v>14</v>
      </c>
      <c r="H1832" t="s">
        <v>70</v>
      </c>
      <c r="I1832" t="s">
        <v>24</v>
      </c>
      <c r="J1832" t="s">
        <v>64</v>
      </c>
      <c r="K1832" t="s">
        <v>49</v>
      </c>
      <c r="L1832" t="s">
        <v>2150</v>
      </c>
      <c r="M1832">
        <v>0.36</v>
      </c>
      <c r="N1832" t="s">
        <v>8</v>
      </c>
      <c r="O1832" t="s">
        <v>9</v>
      </c>
      <c r="P1832" t="s">
        <v>99</v>
      </c>
      <c r="Q1832" t="s">
        <v>2893</v>
      </c>
      <c r="R1832">
        <v>32004</v>
      </c>
      <c r="S1832" s="1">
        <v>42174</v>
      </c>
      <c r="T1832" s="1">
        <v>42176</v>
      </c>
      <c r="U1832">
        <v>-195.34200000000001</v>
      </c>
      <c r="V1832">
        <v>15</v>
      </c>
      <c r="W1832">
        <v>78.31</v>
      </c>
      <c r="X1832">
        <v>86491</v>
      </c>
      <c r="Y1832">
        <f>cleaneddata[[#This Row],[Unit Price]]-cleaneddata[[#This Row],[Discount]]</f>
        <v>4.9800000000000004</v>
      </c>
      <c r="Z1832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33" spans="1:26" x14ac:dyDescent="0.3">
      <c r="A1833">
        <v>3167</v>
      </c>
      <c r="B1833" t="s">
        <v>2892</v>
      </c>
      <c r="C1833" t="s">
        <v>46</v>
      </c>
      <c r="D1833">
        <v>0.1</v>
      </c>
      <c r="E1833">
        <v>3.98</v>
      </c>
      <c r="F1833">
        <v>0.83</v>
      </c>
      <c r="G1833" t="s">
        <v>14</v>
      </c>
      <c r="H1833" t="s">
        <v>70</v>
      </c>
      <c r="I1833" t="s">
        <v>24</v>
      </c>
      <c r="J1833" t="s">
        <v>25</v>
      </c>
      <c r="K1833" t="s">
        <v>26</v>
      </c>
      <c r="L1833" t="s">
        <v>2761</v>
      </c>
      <c r="M1833">
        <v>0.51</v>
      </c>
      <c r="N1833" t="s">
        <v>8</v>
      </c>
      <c r="O1833" t="s">
        <v>9</v>
      </c>
      <c r="P1833" t="s">
        <v>99</v>
      </c>
      <c r="Q1833" t="s">
        <v>2893</v>
      </c>
      <c r="R1833">
        <v>32004</v>
      </c>
      <c r="S1833" s="1">
        <v>42174</v>
      </c>
      <c r="T1833" s="1">
        <v>42176</v>
      </c>
      <c r="U1833">
        <v>-89.709199999999996</v>
      </c>
      <c r="V1833">
        <v>11</v>
      </c>
      <c r="W1833">
        <v>42.46</v>
      </c>
      <c r="X1833">
        <v>86491</v>
      </c>
      <c r="Y1833">
        <f>cleaneddata[[#This Row],[Unit Price]]-cleaneddata[[#This Row],[Discount]]</f>
        <v>3.88</v>
      </c>
      <c r="Z18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34" spans="1:26" x14ac:dyDescent="0.3">
      <c r="A1834">
        <v>491</v>
      </c>
      <c r="B1834" t="s">
        <v>1049</v>
      </c>
      <c r="C1834" t="s">
        <v>1</v>
      </c>
      <c r="D1834">
        <v>0.02</v>
      </c>
      <c r="E1834">
        <v>1360.14</v>
      </c>
      <c r="F1834">
        <v>14.7</v>
      </c>
      <c r="G1834" t="s">
        <v>2</v>
      </c>
      <c r="H1834" t="s">
        <v>15</v>
      </c>
      <c r="I1834" t="s">
        <v>16</v>
      </c>
      <c r="J1834" t="s">
        <v>32</v>
      </c>
      <c r="K1834" t="s">
        <v>33</v>
      </c>
      <c r="L1834" t="s">
        <v>2748</v>
      </c>
      <c r="M1834">
        <v>0.59</v>
      </c>
      <c r="N1834" t="s">
        <v>8</v>
      </c>
      <c r="O1834" t="s">
        <v>87</v>
      </c>
      <c r="P1834" t="s">
        <v>88</v>
      </c>
      <c r="Q1834" t="s">
        <v>89</v>
      </c>
      <c r="R1834">
        <v>10154</v>
      </c>
      <c r="S1834" s="1">
        <v>42175</v>
      </c>
      <c r="T1834" s="1">
        <v>42177</v>
      </c>
      <c r="U1834">
        <v>2028.12</v>
      </c>
      <c r="V1834">
        <v>22</v>
      </c>
      <c r="W1834">
        <v>31670.6</v>
      </c>
      <c r="X1834">
        <v>6562</v>
      </c>
      <c r="Y1834">
        <f>cleaneddata[[#This Row],[Unit Price]]-cleaneddata[[#This Row],[Discount]]</f>
        <v>1360.1200000000001</v>
      </c>
      <c r="Z18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35" spans="1:26" x14ac:dyDescent="0.3">
      <c r="A1835">
        <v>494</v>
      </c>
      <c r="B1835" t="s">
        <v>1050</v>
      </c>
      <c r="C1835" t="s">
        <v>1</v>
      </c>
      <c r="D1835">
        <v>0.02</v>
      </c>
      <c r="E1835">
        <v>1360.14</v>
      </c>
      <c r="F1835">
        <v>14.7</v>
      </c>
      <c r="G1835" t="s">
        <v>2</v>
      </c>
      <c r="H1835" t="s">
        <v>15</v>
      </c>
      <c r="I1835" t="s">
        <v>16</v>
      </c>
      <c r="J1835" t="s">
        <v>32</v>
      </c>
      <c r="K1835" t="s">
        <v>33</v>
      </c>
      <c r="L1835" t="s">
        <v>2748</v>
      </c>
      <c r="M1835">
        <v>0.59</v>
      </c>
      <c r="N1835" t="s">
        <v>8</v>
      </c>
      <c r="O1835" t="s">
        <v>35</v>
      </c>
      <c r="P1835" t="s">
        <v>42</v>
      </c>
      <c r="Q1835" t="s">
        <v>118</v>
      </c>
      <c r="R1835">
        <v>98115</v>
      </c>
      <c r="S1835" s="1">
        <v>42175</v>
      </c>
      <c r="T1835" s="1">
        <v>42177</v>
      </c>
      <c r="U1835">
        <v>3042.18</v>
      </c>
      <c r="V1835">
        <v>6</v>
      </c>
      <c r="W1835">
        <v>8637.44</v>
      </c>
      <c r="X1835">
        <v>88908</v>
      </c>
      <c r="Y1835">
        <f>cleaneddata[[#This Row],[Unit Price]]-cleaneddata[[#This Row],[Discount]]</f>
        <v>1360.1200000000001</v>
      </c>
      <c r="Z183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36" spans="1:26" x14ac:dyDescent="0.3">
      <c r="A1836">
        <v>896</v>
      </c>
      <c r="B1836" t="s">
        <v>351</v>
      </c>
      <c r="C1836" t="s">
        <v>1</v>
      </c>
      <c r="D1836">
        <v>0.06</v>
      </c>
      <c r="E1836">
        <v>47.98</v>
      </c>
      <c r="F1836">
        <v>3.61</v>
      </c>
      <c r="G1836" t="s">
        <v>14</v>
      </c>
      <c r="H1836" t="s">
        <v>70</v>
      </c>
      <c r="I1836" t="s">
        <v>16</v>
      </c>
      <c r="J1836" t="s">
        <v>17</v>
      </c>
      <c r="K1836" t="s">
        <v>18</v>
      </c>
      <c r="L1836" t="s">
        <v>1215</v>
      </c>
      <c r="M1836">
        <v>0.71</v>
      </c>
      <c r="N1836" t="s">
        <v>8</v>
      </c>
      <c r="O1836" t="s">
        <v>28</v>
      </c>
      <c r="P1836" t="s">
        <v>163</v>
      </c>
      <c r="Q1836" t="s">
        <v>352</v>
      </c>
      <c r="R1836">
        <v>76201</v>
      </c>
      <c r="S1836" s="1">
        <v>42175</v>
      </c>
      <c r="T1836" s="1">
        <v>42177</v>
      </c>
      <c r="U1836">
        <v>35.954999999999998</v>
      </c>
      <c r="V1836">
        <v>11</v>
      </c>
      <c r="W1836">
        <v>517.67999999999995</v>
      </c>
      <c r="X1836">
        <v>90167</v>
      </c>
      <c r="Y1836">
        <f>cleaneddata[[#This Row],[Unit Price]]-cleaneddata[[#This Row],[Discount]]</f>
        <v>47.919999999999995</v>
      </c>
      <c r="Z183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37" spans="1:26" x14ac:dyDescent="0.3">
      <c r="A1837">
        <v>2352</v>
      </c>
      <c r="B1837" t="s">
        <v>2894</v>
      </c>
      <c r="C1837" t="s">
        <v>1</v>
      </c>
      <c r="D1837">
        <v>0.06</v>
      </c>
      <c r="E1837">
        <v>59.76</v>
      </c>
      <c r="F1837">
        <v>9.7100000000000009</v>
      </c>
      <c r="G1837" t="s">
        <v>14</v>
      </c>
      <c r="H1837" t="s">
        <v>15</v>
      </c>
      <c r="I1837" t="s">
        <v>24</v>
      </c>
      <c r="J1837" t="s">
        <v>54</v>
      </c>
      <c r="K1837" t="s">
        <v>49</v>
      </c>
      <c r="L1837" t="s">
        <v>1949</v>
      </c>
      <c r="M1837">
        <v>0.56999999999999995</v>
      </c>
      <c r="N1837" t="s">
        <v>8</v>
      </c>
      <c r="O1837" t="s">
        <v>87</v>
      </c>
      <c r="P1837" t="s">
        <v>394</v>
      </c>
      <c r="Q1837" t="s">
        <v>2895</v>
      </c>
      <c r="R1837">
        <v>21501</v>
      </c>
      <c r="S1837" s="1">
        <v>42175</v>
      </c>
      <c r="T1837" s="1">
        <v>42178</v>
      </c>
      <c r="U1837">
        <v>756.67470000000003</v>
      </c>
      <c r="V1837">
        <v>18</v>
      </c>
      <c r="W1837">
        <v>1096.6300000000001</v>
      </c>
      <c r="X1837">
        <v>86165</v>
      </c>
      <c r="Y1837">
        <f>cleaneddata[[#This Row],[Unit Price]]-cleaneddata[[#This Row],[Discount]]</f>
        <v>59.699999999999996</v>
      </c>
      <c r="Z18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38" spans="1:26" x14ac:dyDescent="0.3">
      <c r="A1838">
        <v>2352</v>
      </c>
      <c r="B1838" t="s">
        <v>2894</v>
      </c>
      <c r="C1838" t="s">
        <v>1</v>
      </c>
      <c r="D1838">
        <v>7.0000000000000007E-2</v>
      </c>
      <c r="E1838">
        <v>195.99</v>
      </c>
      <c r="F1838">
        <v>4.2</v>
      </c>
      <c r="G1838" t="s">
        <v>14</v>
      </c>
      <c r="H1838" t="s">
        <v>15</v>
      </c>
      <c r="I1838" t="s">
        <v>16</v>
      </c>
      <c r="J1838" t="s">
        <v>111</v>
      </c>
      <c r="K1838" t="s">
        <v>49</v>
      </c>
      <c r="L1838" t="s">
        <v>2804</v>
      </c>
      <c r="M1838">
        <v>0.56000000000000005</v>
      </c>
      <c r="N1838" t="s">
        <v>8</v>
      </c>
      <c r="O1838" t="s">
        <v>87</v>
      </c>
      <c r="P1838" t="s">
        <v>394</v>
      </c>
      <c r="Q1838" t="s">
        <v>2895</v>
      </c>
      <c r="R1838">
        <v>21501</v>
      </c>
      <c r="S1838" s="1">
        <v>42175</v>
      </c>
      <c r="T1838" s="1">
        <v>42178</v>
      </c>
      <c r="U1838">
        <v>-222.34299999999999</v>
      </c>
      <c r="V1838">
        <v>4</v>
      </c>
      <c r="W1838">
        <v>632.12</v>
      </c>
      <c r="X1838">
        <v>86165</v>
      </c>
      <c r="Y1838">
        <f>cleaneddata[[#This Row],[Unit Price]]-cleaneddata[[#This Row],[Discount]]</f>
        <v>195.92000000000002</v>
      </c>
      <c r="Z183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39" spans="1:26" x14ac:dyDescent="0.3">
      <c r="A1839">
        <v>1123</v>
      </c>
      <c r="B1839" t="s">
        <v>1623</v>
      </c>
      <c r="C1839" t="s">
        <v>13</v>
      </c>
      <c r="D1839">
        <v>0.09</v>
      </c>
      <c r="E1839">
        <v>175.99</v>
      </c>
      <c r="F1839">
        <v>4.99</v>
      </c>
      <c r="G1839" t="s">
        <v>14</v>
      </c>
      <c r="H1839" t="s">
        <v>3</v>
      </c>
      <c r="I1839" t="s">
        <v>16</v>
      </c>
      <c r="J1839" t="s">
        <v>111</v>
      </c>
      <c r="K1839" t="s">
        <v>49</v>
      </c>
      <c r="L1839" t="s">
        <v>1225</v>
      </c>
      <c r="M1839">
        <v>0.59</v>
      </c>
      <c r="N1839" t="s">
        <v>8</v>
      </c>
      <c r="O1839" t="s">
        <v>35</v>
      </c>
      <c r="P1839" t="s">
        <v>66</v>
      </c>
      <c r="Q1839" t="s">
        <v>1625</v>
      </c>
      <c r="R1839">
        <v>95661</v>
      </c>
      <c r="S1839" s="1">
        <v>42175</v>
      </c>
      <c r="T1839" s="1">
        <v>42177</v>
      </c>
      <c r="U1839">
        <v>2169.7464</v>
      </c>
      <c r="V1839">
        <v>22</v>
      </c>
      <c r="W1839">
        <v>3144.56</v>
      </c>
      <c r="X1839">
        <v>87016</v>
      </c>
      <c r="Y1839">
        <f>cleaneddata[[#This Row],[Unit Price]]-cleaneddata[[#This Row],[Discount]]</f>
        <v>175.9</v>
      </c>
      <c r="Z183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40" spans="1:26" x14ac:dyDescent="0.3">
      <c r="A1840">
        <v>1124</v>
      </c>
      <c r="B1840" t="s">
        <v>2896</v>
      </c>
      <c r="C1840" t="s">
        <v>13</v>
      </c>
      <c r="D1840">
        <v>0.09</v>
      </c>
      <c r="E1840">
        <v>160.97999999999999</v>
      </c>
      <c r="F1840">
        <v>35.020000000000003</v>
      </c>
      <c r="G1840" t="s">
        <v>2</v>
      </c>
      <c r="H1840" t="s">
        <v>3</v>
      </c>
      <c r="I1840" t="s">
        <v>4</v>
      </c>
      <c r="J1840" t="s">
        <v>93</v>
      </c>
      <c r="K1840" t="s">
        <v>6</v>
      </c>
      <c r="L1840" t="s">
        <v>1731</v>
      </c>
      <c r="M1840">
        <v>0.72</v>
      </c>
      <c r="N1840" t="s">
        <v>8</v>
      </c>
      <c r="O1840" t="s">
        <v>87</v>
      </c>
      <c r="P1840" t="s">
        <v>224</v>
      </c>
      <c r="Q1840" t="s">
        <v>2897</v>
      </c>
      <c r="R1840">
        <v>6360</v>
      </c>
      <c r="S1840" s="1">
        <v>42175</v>
      </c>
      <c r="T1840" s="1">
        <v>42176</v>
      </c>
      <c r="U1840">
        <v>-229.93</v>
      </c>
      <c r="V1840">
        <v>18</v>
      </c>
      <c r="W1840">
        <v>2653.02</v>
      </c>
      <c r="X1840">
        <v>87016</v>
      </c>
      <c r="Y1840">
        <f>cleaneddata[[#This Row],[Unit Price]]-cleaneddata[[#This Row],[Discount]]</f>
        <v>160.88999999999999</v>
      </c>
      <c r="Z184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41" spans="1:26" x14ac:dyDescent="0.3">
      <c r="A1841">
        <v>1432</v>
      </c>
      <c r="B1841" t="s">
        <v>1486</v>
      </c>
      <c r="C1841" t="s">
        <v>23</v>
      </c>
      <c r="D1841">
        <v>7.0000000000000007E-2</v>
      </c>
      <c r="E1841">
        <v>10.98</v>
      </c>
      <c r="F1841">
        <v>4.8</v>
      </c>
      <c r="G1841" t="s">
        <v>14</v>
      </c>
      <c r="H1841" t="s">
        <v>70</v>
      </c>
      <c r="I1841" t="s">
        <v>24</v>
      </c>
      <c r="J1841" t="s">
        <v>321</v>
      </c>
      <c r="K1841" t="s">
        <v>49</v>
      </c>
      <c r="L1841" t="s">
        <v>1457</v>
      </c>
      <c r="M1841">
        <v>0.36</v>
      </c>
      <c r="N1841" t="s">
        <v>8</v>
      </c>
      <c r="O1841" t="s">
        <v>28</v>
      </c>
      <c r="P1841" t="s">
        <v>29</v>
      </c>
      <c r="Q1841" t="s">
        <v>1488</v>
      </c>
      <c r="R1841">
        <v>46203</v>
      </c>
      <c r="S1841" s="1">
        <v>42175</v>
      </c>
      <c r="T1841" s="1">
        <v>42182</v>
      </c>
      <c r="U1841">
        <v>52.92</v>
      </c>
      <c r="V1841">
        <v>16</v>
      </c>
      <c r="W1841">
        <v>165.21</v>
      </c>
      <c r="X1841">
        <v>86827</v>
      </c>
      <c r="Y1841">
        <f>cleaneddata[[#This Row],[Unit Price]]-cleaneddata[[#This Row],[Discount]]</f>
        <v>10.91</v>
      </c>
      <c r="Z184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42" spans="1:26" x14ac:dyDescent="0.3">
      <c r="A1842">
        <v>491</v>
      </c>
      <c r="B1842" t="s">
        <v>1049</v>
      </c>
      <c r="C1842" t="s">
        <v>46</v>
      </c>
      <c r="D1842">
        <v>0.02</v>
      </c>
      <c r="E1842">
        <v>9.06</v>
      </c>
      <c r="F1842">
        <v>9.86</v>
      </c>
      <c r="G1842" t="s">
        <v>14</v>
      </c>
      <c r="H1842" t="s">
        <v>15</v>
      </c>
      <c r="I1842" t="s">
        <v>24</v>
      </c>
      <c r="J1842" t="s">
        <v>64</v>
      </c>
      <c r="K1842" t="s">
        <v>49</v>
      </c>
      <c r="L1842" t="s">
        <v>2262</v>
      </c>
      <c r="M1842">
        <v>0.4</v>
      </c>
      <c r="N1842" t="s">
        <v>8</v>
      </c>
      <c r="O1842" t="s">
        <v>87</v>
      </c>
      <c r="P1842" t="s">
        <v>88</v>
      </c>
      <c r="Q1842" t="s">
        <v>89</v>
      </c>
      <c r="R1842">
        <v>10154</v>
      </c>
      <c r="S1842" s="1">
        <v>42175</v>
      </c>
      <c r="T1842" s="1">
        <v>42177</v>
      </c>
      <c r="U1842">
        <v>-63.51</v>
      </c>
      <c r="V1842">
        <v>24</v>
      </c>
      <c r="W1842">
        <v>239.82</v>
      </c>
      <c r="X1842">
        <v>42852</v>
      </c>
      <c r="Y1842">
        <f>cleaneddata[[#This Row],[Unit Price]]-cleaneddata[[#This Row],[Discount]]</f>
        <v>9.0400000000000009</v>
      </c>
      <c r="Z184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43" spans="1:26" x14ac:dyDescent="0.3">
      <c r="A1843">
        <v>494</v>
      </c>
      <c r="B1843" t="s">
        <v>1050</v>
      </c>
      <c r="C1843" t="s">
        <v>46</v>
      </c>
      <c r="D1843">
        <v>0.02</v>
      </c>
      <c r="E1843">
        <v>9.06</v>
      </c>
      <c r="F1843">
        <v>9.86</v>
      </c>
      <c r="G1843" t="s">
        <v>14</v>
      </c>
      <c r="H1843" t="s">
        <v>15</v>
      </c>
      <c r="I1843" t="s">
        <v>24</v>
      </c>
      <c r="J1843" t="s">
        <v>64</v>
      </c>
      <c r="K1843" t="s">
        <v>49</v>
      </c>
      <c r="L1843" t="s">
        <v>2262</v>
      </c>
      <c r="M1843">
        <v>0.4</v>
      </c>
      <c r="N1843" t="s">
        <v>8</v>
      </c>
      <c r="O1843" t="s">
        <v>35</v>
      </c>
      <c r="P1843" t="s">
        <v>42</v>
      </c>
      <c r="Q1843" t="s">
        <v>118</v>
      </c>
      <c r="R1843">
        <v>98115</v>
      </c>
      <c r="S1843" s="1">
        <v>42175</v>
      </c>
      <c r="T1843" s="1">
        <v>42177</v>
      </c>
      <c r="U1843">
        <v>-31.754999999999999</v>
      </c>
      <c r="V1843">
        <v>6</v>
      </c>
      <c r="W1843">
        <v>59.95</v>
      </c>
      <c r="X1843">
        <v>88908</v>
      </c>
      <c r="Y1843">
        <f>cleaneddata[[#This Row],[Unit Price]]-cleaneddata[[#This Row],[Discount]]</f>
        <v>9.0400000000000009</v>
      </c>
      <c r="Z184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44" spans="1:26" x14ac:dyDescent="0.3">
      <c r="A1844">
        <v>1424</v>
      </c>
      <c r="B1844" t="s">
        <v>413</v>
      </c>
      <c r="C1844" t="s">
        <v>46</v>
      </c>
      <c r="D1844">
        <v>0.05</v>
      </c>
      <c r="E1844">
        <v>8.0399999999999991</v>
      </c>
      <c r="F1844">
        <v>8.94</v>
      </c>
      <c r="G1844" t="s">
        <v>14</v>
      </c>
      <c r="H1844" t="s">
        <v>47</v>
      </c>
      <c r="I1844" t="s">
        <v>24</v>
      </c>
      <c r="J1844" t="s">
        <v>48</v>
      </c>
      <c r="K1844" t="s">
        <v>49</v>
      </c>
      <c r="L1844" t="s">
        <v>2125</v>
      </c>
      <c r="M1844">
        <v>0.4</v>
      </c>
      <c r="N1844" t="s">
        <v>8</v>
      </c>
      <c r="O1844" t="s">
        <v>35</v>
      </c>
      <c r="P1844" t="s">
        <v>36</v>
      </c>
      <c r="Q1844" t="s">
        <v>415</v>
      </c>
      <c r="R1844">
        <v>80112</v>
      </c>
      <c r="S1844" s="1">
        <v>42175</v>
      </c>
      <c r="T1844" s="1">
        <v>42177</v>
      </c>
      <c r="U1844">
        <v>-164.3948</v>
      </c>
      <c r="V1844">
        <v>15</v>
      </c>
      <c r="W1844">
        <v>121.36</v>
      </c>
      <c r="X1844">
        <v>89449</v>
      </c>
      <c r="Y1844">
        <f>cleaneddata[[#This Row],[Unit Price]]-cleaneddata[[#This Row],[Discount]]</f>
        <v>7.9899999999999993</v>
      </c>
      <c r="Z184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45" spans="1:26" x14ac:dyDescent="0.3">
      <c r="A1845">
        <v>2487</v>
      </c>
      <c r="B1845" t="s">
        <v>2722</v>
      </c>
      <c r="C1845" t="s">
        <v>46</v>
      </c>
      <c r="D1845">
        <v>0.04</v>
      </c>
      <c r="E1845">
        <v>3.08</v>
      </c>
      <c r="F1845">
        <v>0.99</v>
      </c>
      <c r="G1845" t="s">
        <v>14</v>
      </c>
      <c r="H1845" t="s">
        <v>3</v>
      </c>
      <c r="I1845" t="s">
        <v>24</v>
      </c>
      <c r="J1845" t="s">
        <v>128</v>
      </c>
      <c r="K1845" t="s">
        <v>49</v>
      </c>
      <c r="L1845" t="s">
        <v>634</v>
      </c>
      <c r="M1845">
        <v>0.37</v>
      </c>
      <c r="N1845" t="s">
        <v>8</v>
      </c>
      <c r="O1845" t="s">
        <v>9</v>
      </c>
      <c r="P1845" t="s">
        <v>51</v>
      </c>
      <c r="Q1845" t="s">
        <v>2723</v>
      </c>
      <c r="R1845">
        <v>30084</v>
      </c>
      <c r="S1845" s="1">
        <v>42175</v>
      </c>
      <c r="T1845" s="1">
        <v>42176</v>
      </c>
      <c r="U1845">
        <v>257.08319999999998</v>
      </c>
      <c r="V1845">
        <v>14</v>
      </c>
      <c r="W1845">
        <v>43.41</v>
      </c>
      <c r="X1845">
        <v>91415</v>
      </c>
      <c r="Y1845">
        <f>cleaneddata[[#This Row],[Unit Price]]-cleaneddata[[#This Row],[Discount]]</f>
        <v>3.04</v>
      </c>
      <c r="Z184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46" spans="1:26" x14ac:dyDescent="0.3">
      <c r="A1846">
        <v>2487</v>
      </c>
      <c r="B1846" t="s">
        <v>2722</v>
      </c>
      <c r="C1846" t="s">
        <v>46</v>
      </c>
      <c r="D1846">
        <v>0.1</v>
      </c>
      <c r="E1846">
        <v>2.78</v>
      </c>
      <c r="F1846">
        <v>1.25</v>
      </c>
      <c r="G1846" t="s">
        <v>14</v>
      </c>
      <c r="H1846" t="s">
        <v>3</v>
      </c>
      <c r="I1846" t="s">
        <v>24</v>
      </c>
      <c r="J1846" t="s">
        <v>25</v>
      </c>
      <c r="K1846" t="s">
        <v>26</v>
      </c>
      <c r="L1846" t="s">
        <v>358</v>
      </c>
      <c r="M1846">
        <v>0.59</v>
      </c>
      <c r="N1846" t="s">
        <v>8</v>
      </c>
      <c r="O1846" t="s">
        <v>9</v>
      </c>
      <c r="P1846" t="s">
        <v>51</v>
      </c>
      <c r="Q1846" t="s">
        <v>2723</v>
      </c>
      <c r="R1846">
        <v>30084</v>
      </c>
      <c r="S1846" s="1">
        <v>42175</v>
      </c>
      <c r="T1846" s="1">
        <v>42176</v>
      </c>
      <c r="U1846">
        <v>0.78539999999999999</v>
      </c>
      <c r="V1846">
        <v>18</v>
      </c>
      <c r="W1846">
        <v>46.42</v>
      </c>
      <c r="X1846">
        <v>91415</v>
      </c>
      <c r="Y1846">
        <f>cleaneddata[[#This Row],[Unit Price]]-cleaneddata[[#This Row],[Discount]]</f>
        <v>2.6799999999999997</v>
      </c>
      <c r="Z184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47" spans="1:26" x14ac:dyDescent="0.3">
      <c r="A1847">
        <v>2713</v>
      </c>
      <c r="B1847" t="s">
        <v>2898</v>
      </c>
      <c r="C1847" t="s">
        <v>1</v>
      </c>
      <c r="D1847">
        <v>7.0000000000000007E-2</v>
      </c>
      <c r="E1847">
        <v>2.88</v>
      </c>
      <c r="F1847">
        <v>0.5</v>
      </c>
      <c r="G1847" t="s">
        <v>14</v>
      </c>
      <c r="H1847" t="s">
        <v>70</v>
      </c>
      <c r="I1847" t="s">
        <v>24</v>
      </c>
      <c r="J1847" t="s">
        <v>128</v>
      </c>
      <c r="K1847" t="s">
        <v>49</v>
      </c>
      <c r="L1847" t="s">
        <v>2899</v>
      </c>
      <c r="M1847">
        <v>0.39</v>
      </c>
      <c r="N1847" t="s">
        <v>8</v>
      </c>
      <c r="O1847" t="s">
        <v>28</v>
      </c>
      <c r="P1847" t="s">
        <v>265</v>
      </c>
      <c r="Q1847" t="s">
        <v>2900</v>
      </c>
      <c r="R1847">
        <v>49001</v>
      </c>
      <c r="S1847" s="1">
        <v>42176</v>
      </c>
      <c r="T1847" s="1">
        <v>42179</v>
      </c>
      <c r="U1847">
        <v>17.429400000000001</v>
      </c>
      <c r="V1847">
        <v>9</v>
      </c>
      <c r="W1847">
        <v>25.26</v>
      </c>
      <c r="X1847">
        <v>88701</v>
      </c>
      <c r="Y1847">
        <f>cleaneddata[[#This Row],[Unit Price]]-cleaneddata[[#This Row],[Discount]]</f>
        <v>2.81</v>
      </c>
      <c r="Z1847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48" spans="1:26" x14ac:dyDescent="0.3">
      <c r="A1848">
        <v>2713</v>
      </c>
      <c r="B1848" t="s">
        <v>2898</v>
      </c>
      <c r="C1848" t="s">
        <v>1</v>
      </c>
      <c r="D1848">
        <v>0.03</v>
      </c>
      <c r="E1848">
        <v>348.21</v>
      </c>
      <c r="F1848">
        <v>40.19</v>
      </c>
      <c r="G1848" t="s">
        <v>2</v>
      </c>
      <c r="H1848" t="s">
        <v>70</v>
      </c>
      <c r="I1848" t="s">
        <v>4</v>
      </c>
      <c r="J1848" t="s">
        <v>5</v>
      </c>
      <c r="K1848" t="s">
        <v>6</v>
      </c>
      <c r="L1848" t="s">
        <v>7</v>
      </c>
      <c r="M1848">
        <v>0.62</v>
      </c>
      <c r="N1848" t="s">
        <v>8</v>
      </c>
      <c r="O1848" t="s">
        <v>28</v>
      </c>
      <c r="P1848" t="s">
        <v>265</v>
      </c>
      <c r="Q1848" t="s">
        <v>2900</v>
      </c>
      <c r="R1848">
        <v>49001</v>
      </c>
      <c r="S1848" s="1">
        <v>42176</v>
      </c>
      <c r="T1848" s="1">
        <v>42177</v>
      </c>
      <c r="U1848">
        <v>-178.86959999999999</v>
      </c>
      <c r="V1848">
        <v>2</v>
      </c>
      <c r="W1848">
        <v>736.16</v>
      </c>
      <c r="X1848">
        <v>88701</v>
      </c>
      <c r="Y1848">
        <f>cleaneddata[[#This Row],[Unit Price]]-cleaneddata[[#This Row],[Discount]]</f>
        <v>348.18</v>
      </c>
      <c r="Z184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49" spans="1:26" x14ac:dyDescent="0.3">
      <c r="A1849">
        <v>2049</v>
      </c>
      <c r="B1849" t="s">
        <v>2901</v>
      </c>
      <c r="C1849" t="s">
        <v>13</v>
      </c>
      <c r="D1849">
        <v>0.03</v>
      </c>
      <c r="E1849">
        <v>15.28</v>
      </c>
      <c r="F1849">
        <v>1.99</v>
      </c>
      <c r="G1849" t="s">
        <v>14</v>
      </c>
      <c r="H1849" t="s">
        <v>70</v>
      </c>
      <c r="I1849" t="s">
        <v>16</v>
      </c>
      <c r="J1849" t="s">
        <v>17</v>
      </c>
      <c r="K1849" t="s">
        <v>18</v>
      </c>
      <c r="L1849" t="s">
        <v>488</v>
      </c>
      <c r="M1849">
        <v>0.42</v>
      </c>
      <c r="N1849" t="s">
        <v>8</v>
      </c>
      <c r="O1849" t="s">
        <v>9</v>
      </c>
      <c r="P1849" t="s">
        <v>218</v>
      </c>
      <c r="Q1849" t="s">
        <v>2902</v>
      </c>
      <c r="R1849">
        <v>22801</v>
      </c>
      <c r="S1849" s="1">
        <v>42176</v>
      </c>
      <c r="T1849" s="1">
        <v>42178</v>
      </c>
      <c r="U1849">
        <v>-266.68599999999998</v>
      </c>
      <c r="V1849">
        <v>19</v>
      </c>
      <c r="W1849">
        <v>290.98</v>
      </c>
      <c r="X1849">
        <v>88220</v>
      </c>
      <c r="Y1849">
        <f>cleaneddata[[#This Row],[Unit Price]]-cleaneddata[[#This Row],[Discount]]</f>
        <v>15.25</v>
      </c>
      <c r="Z184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50" spans="1:26" x14ac:dyDescent="0.3">
      <c r="A1850">
        <v>2049</v>
      </c>
      <c r="B1850" t="s">
        <v>2901</v>
      </c>
      <c r="C1850" t="s">
        <v>13</v>
      </c>
      <c r="D1850">
        <v>0.09</v>
      </c>
      <c r="E1850">
        <v>1.76</v>
      </c>
      <c r="F1850">
        <v>0.7</v>
      </c>
      <c r="G1850" t="s">
        <v>14</v>
      </c>
      <c r="H1850" t="s">
        <v>70</v>
      </c>
      <c r="I1850" t="s">
        <v>24</v>
      </c>
      <c r="J1850" t="s">
        <v>25</v>
      </c>
      <c r="K1850" t="s">
        <v>26</v>
      </c>
      <c r="L1850" t="s">
        <v>2903</v>
      </c>
      <c r="M1850">
        <v>0.56000000000000005</v>
      </c>
      <c r="N1850" t="s">
        <v>8</v>
      </c>
      <c r="O1850" t="s">
        <v>9</v>
      </c>
      <c r="P1850" t="s">
        <v>218</v>
      </c>
      <c r="Q1850" t="s">
        <v>2902</v>
      </c>
      <c r="R1850">
        <v>22801</v>
      </c>
      <c r="S1850" s="1">
        <v>42176</v>
      </c>
      <c r="T1850" s="1">
        <v>42179</v>
      </c>
      <c r="U1850">
        <v>-12.278</v>
      </c>
      <c r="V1850">
        <v>13</v>
      </c>
      <c r="W1850">
        <v>21.77</v>
      </c>
      <c r="X1850">
        <v>88220</v>
      </c>
      <c r="Y1850">
        <f>cleaneddata[[#This Row],[Unit Price]]-cleaneddata[[#This Row],[Discount]]</f>
        <v>1.67</v>
      </c>
      <c r="Z185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51" spans="1:26" x14ac:dyDescent="0.3">
      <c r="A1851">
        <v>2305</v>
      </c>
      <c r="B1851" t="s">
        <v>2904</v>
      </c>
      <c r="C1851" t="s">
        <v>13</v>
      </c>
      <c r="D1851">
        <v>0</v>
      </c>
      <c r="E1851">
        <v>90.48</v>
      </c>
      <c r="F1851">
        <v>19.989999999999998</v>
      </c>
      <c r="G1851" t="s">
        <v>14</v>
      </c>
      <c r="H1851" t="s">
        <v>3</v>
      </c>
      <c r="I1851" t="s">
        <v>24</v>
      </c>
      <c r="J1851" t="s">
        <v>321</v>
      </c>
      <c r="K1851" t="s">
        <v>49</v>
      </c>
      <c r="L1851" t="s">
        <v>478</v>
      </c>
      <c r="M1851">
        <v>0.4</v>
      </c>
      <c r="N1851" t="s">
        <v>8</v>
      </c>
      <c r="O1851" t="s">
        <v>28</v>
      </c>
      <c r="P1851" t="s">
        <v>1047</v>
      </c>
      <c r="Q1851" t="s">
        <v>106</v>
      </c>
      <c r="R1851">
        <v>57201</v>
      </c>
      <c r="S1851" s="1">
        <v>42176</v>
      </c>
      <c r="T1851" s="1">
        <v>42179</v>
      </c>
      <c r="U1851">
        <v>800.25509999999997</v>
      </c>
      <c r="V1851">
        <v>12</v>
      </c>
      <c r="W1851">
        <v>1159.79</v>
      </c>
      <c r="X1851">
        <v>89869</v>
      </c>
      <c r="Y1851">
        <f>cleaneddata[[#This Row],[Unit Price]]-cleaneddata[[#This Row],[Discount]]</f>
        <v>90.48</v>
      </c>
      <c r="Z185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2" spans="1:26" x14ac:dyDescent="0.3">
      <c r="A1852">
        <v>648</v>
      </c>
      <c r="B1852" t="s">
        <v>2905</v>
      </c>
      <c r="C1852" t="s">
        <v>46</v>
      </c>
      <c r="D1852">
        <v>0.02</v>
      </c>
      <c r="E1852">
        <v>25.38</v>
      </c>
      <c r="F1852">
        <v>8.99</v>
      </c>
      <c r="G1852" t="s">
        <v>14</v>
      </c>
      <c r="H1852" t="s">
        <v>47</v>
      </c>
      <c r="I1852" t="s">
        <v>4</v>
      </c>
      <c r="J1852" t="s">
        <v>102</v>
      </c>
      <c r="K1852" t="s">
        <v>18</v>
      </c>
      <c r="L1852" t="s">
        <v>2361</v>
      </c>
      <c r="M1852">
        <v>0.5</v>
      </c>
      <c r="N1852" t="s">
        <v>8</v>
      </c>
      <c r="O1852" t="s">
        <v>28</v>
      </c>
      <c r="P1852" t="s">
        <v>79</v>
      </c>
      <c r="Q1852" t="s">
        <v>2906</v>
      </c>
      <c r="R1852">
        <v>60440</v>
      </c>
      <c r="S1852" s="1">
        <v>42176</v>
      </c>
      <c r="T1852" s="1">
        <v>42177</v>
      </c>
      <c r="U1852">
        <v>-10.36</v>
      </c>
      <c r="V1852">
        <v>1</v>
      </c>
      <c r="W1852">
        <v>34.11</v>
      </c>
      <c r="X1852">
        <v>91365</v>
      </c>
      <c r="Y1852">
        <f>cleaneddata[[#This Row],[Unit Price]]-cleaneddata[[#This Row],[Discount]]</f>
        <v>25.36</v>
      </c>
      <c r="Z185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3" spans="1:26" x14ac:dyDescent="0.3">
      <c r="A1853">
        <v>792</v>
      </c>
      <c r="B1853" t="s">
        <v>2907</v>
      </c>
      <c r="C1853" t="s">
        <v>46</v>
      </c>
      <c r="D1853">
        <v>0.09</v>
      </c>
      <c r="E1853">
        <v>6.48</v>
      </c>
      <c r="F1853">
        <v>9.68</v>
      </c>
      <c r="G1853" t="s">
        <v>14</v>
      </c>
      <c r="H1853" t="s">
        <v>70</v>
      </c>
      <c r="I1853" t="s">
        <v>24</v>
      </c>
      <c r="J1853" t="s">
        <v>64</v>
      </c>
      <c r="K1853" t="s">
        <v>49</v>
      </c>
      <c r="L1853" t="s">
        <v>2908</v>
      </c>
      <c r="M1853">
        <v>0.36</v>
      </c>
      <c r="N1853" t="s">
        <v>8</v>
      </c>
      <c r="O1853" t="s">
        <v>28</v>
      </c>
      <c r="P1853" t="s">
        <v>183</v>
      </c>
      <c r="Q1853" t="s">
        <v>2909</v>
      </c>
      <c r="R1853">
        <v>73064</v>
      </c>
      <c r="S1853" s="1">
        <v>42176</v>
      </c>
      <c r="T1853" s="1">
        <v>42177</v>
      </c>
      <c r="U1853">
        <v>-204.16</v>
      </c>
      <c r="V1853">
        <v>16</v>
      </c>
      <c r="W1853">
        <v>99.92</v>
      </c>
      <c r="X1853">
        <v>88753</v>
      </c>
      <c r="Y1853">
        <f>cleaneddata[[#This Row],[Unit Price]]-cleaneddata[[#This Row],[Discount]]</f>
        <v>6.3900000000000006</v>
      </c>
      <c r="Z185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4" spans="1:26" x14ac:dyDescent="0.3">
      <c r="A1854">
        <v>1511</v>
      </c>
      <c r="B1854" t="s">
        <v>2910</v>
      </c>
      <c r="C1854" t="s">
        <v>1</v>
      </c>
      <c r="D1854">
        <v>0.09</v>
      </c>
      <c r="E1854">
        <v>20.98</v>
      </c>
      <c r="F1854">
        <v>1.49</v>
      </c>
      <c r="G1854" t="s">
        <v>14</v>
      </c>
      <c r="H1854" t="s">
        <v>70</v>
      </c>
      <c r="I1854" t="s">
        <v>24</v>
      </c>
      <c r="J1854" t="s">
        <v>48</v>
      </c>
      <c r="K1854" t="s">
        <v>49</v>
      </c>
      <c r="L1854" t="s">
        <v>2585</v>
      </c>
      <c r="M1854">
        <v>0.35</v>
      </c>
      <c r="N1854" t="s">
        <v>8</v>
      </c>
      <c r="O1854" t="s">
        <v>28</v>
      </c>
      <c r="P1854" t="s">
        <v>29</v>
      </c>
      <c r="Q1854" t="s">
        <v>2911</v>
      </c>
      <c r="R1854">
        <v>47302</v>
      </c>
      <c r="S1854" s="1">
        <v>42177</v>
      </c>
      <c r="T1854" s="1">
        <v>42179</v>
      </c>
      <c r="U1854">
        <v>199.1823</v>
      </c>
      <c r="V1854">
        <v>14</v>
      </c>
      <c r="W1854">
        <v>288.67</v>
      </c>
      <c r="X1854">
        <v>90303</v>
      </c>
      <c r="Y1854">
        <f>cleaneddata[[#This Row],[Unit Price]]-cleaneddata[[#This Row],[Discount]]</f>
        <v>20.89</v>
      </c>
      <c r="Z185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5" spans="1:26" x14ac:dyDescent="0.3">
      <c r="A1855">
        <v>2874</v>
      </c>
      <c r="B1855" t="s">
        <v>2016</v>
      </c>
      <c r="C1855" t="s">
        <v>1</v>
      </c>
      <c r="D1855">
        <v>0.03</v>
      </c>
      <c r="E1855">
        <v>304.99</v>
      </c>
      <c r="F1855">
        <v>19.989999999999998</v>
      </c>
      <c r="G1855" t="s">
        <v>14</v>
      </c>
      <c r="H1855" t="s">
        <v>47</v>
      </c>
      <c r="I1855" t="s">
        <v>24</v>
      </c>
      <c r="J1855" t="s">
        <v>48</v>
      </c>
      <c r="K1855" t="s">
        <v>49</v>
      </c>
      <c r="L1855" t="s">
        <v>2779</v>
      </c>
      <c r="M1855">
        <v>0.4</v>
      </c>
      <c r="N1855" t="s">
        <v>8</v>
      </c>
      <c r="O1855" t="s">
        <v>28</v>
      </c>
      <c r="P1855" t="s">
        <v>109</v>
      </c>
      <c r="Q1855" t="s">
        <v>2017</v>
      </c>
      <c r="R1855">
        <v>68128</v>
      </c>
      <c r="S1855" s="1">
        <v>42177</v>
      </c>
      <c r="T1855" s="1">
        <v>42179</v>
      </c>
      <c r="U1855">
        <v>4033.6089000000002</v>
      </c>
      <c r="V1855">
        <v>19</v>
      </c>
      <c r="W1855">
        <v>5845.81</v>
      </c>
      <c r="X1855">
        <v>89874</v>
      </c>
      <c r="Y1855">
        <f>cleaneddata[[#This Row],[Unit Price]]-cleaneddata[[#This Row],[Discount]]</f>
        <v>304.96000000000004</v>
      </c>
      <c r="Z185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6" spans="1:26" x14ac:dyDescent="0.3">
      <c r="A1856">
        <v>2874</v>
      </c>
      <c r="B1856" t="s">
        <v>2016</v>
      </c>
      <c r="C1856" t="s">
        <v>1</v>
      </c>
      <c r="D1856">
        <v>0.09</v>
      </c>
      <c r="E1856">
        <v>65.989999999999995</v>
      </c>
      <c r="F1856">
        <v>8.99</v>
      </c>
      <c r="G1856" t="s">
        <v>14</v>
      </c>
      <c r="H1856" t="s">
        <v>47</v>
      </c>
      <c r="I1856" t="s">
        <v>16</v>
      </c>
      <c r="J1856" t="s">
        <v>111</v>
      </c>
      <c r="K1856" t="s">
        <v>49</v>
      </c>
      <c r="L1856" t="s">
        <v>2912</v>
      </c>
      <c r="M1856">
        <v>0.57999999999999996</v>
      </c>
      <c r="N1856" t="s">
        <v>8</v>
      </c>
      <c r="O1856" t="s">
        <v>28</v>
      </c>
      <c r="P1856" t="s">
        <v>109</v>
      </c>
      <c r="Q1856" t="s">
        <v>2017</v>
      </c>
      <c r="R1856">
        <v>68128</v>
      </c>
      <c r="S1856" s="1">
        <v>42177</v>
      </c>
      <c r="T1856" s="1">
        <v>42179</v>
      </c>
      <c r="U1856">
        <v>141.7824</v>
      </c>
      <c r="V1856">
        <v>12</v>
      </c>
      <c r="W1856">
        <v>633.85</v>
      </c>
      <c r="X1856">
        <v>89874</v>
      </c>
      <c r="Y1856">
        <f>cleaneddata[[#This Row],[Unit Price]]-cleaneddata[[#This Row],[Discount]]</f>
        <v>65.899999999999991</v>
      </c>
      <c r="Z185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7" spans="1:26" x14ac:dyDescent="0.3">
      <c r="A1857">
        <v>2963</v>
      </c>
      <c r="B1857" t="s">
        <v>2913</v>
      </c>
      <c r="C1857" t="s">
        <v>1</v>
      </c>
      <c r="D1857">
        <v>0.01</v>
      </c>
      <c r="E1857">
        <v>7.98</v>
      </c>
      <c r="F1857">
        <v>6.5</v>
      </c>
      <c r="G1857" t="s">
        <v>14</v>
      </c>
      <c r="H1857" t="s">
        <v>15</v>
      </c>
      <c r="I1857" t="s">
        <v>24</v>
      </c>
      <c r="J1857" t="s">
        <v>54</v>
      </c>
      <c r="K1857" t="s">
        <v>120</v>
      </c>
      <c r="L1857" t="s">
        <v>2914</v>
      </c>
      <c r="M1857">
        <v>0.59</v>
      </c>
      <c r="N1857" t="s">
        <v>8</v>
      </c>
      <c r="O1857" t="s">
        <v>87</v>
      </c>
      <c r="P1857" t="s">
        <v>394</v>
      </c>
      <c r="Q1857" t="s">
        <v>2915</v>
      </c>
      <c r="R1857">
        <v>21220</v>
      </c>
      <c r="S1857" s="1">
        <v>42177</v>
      </c>
      <c r="T1857" s="1">
        <v>42178</v>
      </c>
      <c r="U1857">
        <v>-34.591999999999999</v>
      </c>
      <c r="V1857">
        <v>4</v>
      </c>
      <c r="W1857">
        <v>34.909999999999997</v>
      </c>
      <c r="X1857">
        <v>88612</v>
      </c>
      <c r="Y1857">
        <f>cleaneddata[[#This Row],[Unit Price]]-cleaneddata[[#This Row],[Discount]]</f>
        <v>7.9700000000000006</v>
      </c>
      <c r="Z185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58" spans="1:26" x14ac:dyDescent="0.3">
      <c r="A1858">
        <v>3132</v>
      </c>
      <c r="B1858" t="s">
        <v>2528</v>
      </c>
      <c r="C1858" t="s">
        <v>13</v>
      </c>
      <c r="D1858">
        <v>0.1</v>
      </c>
      <c r="E1858">
        <v>180.98</v>
      </c>
      <c r="F1858">
        <v>26.2</v>
      </c>
      <c r="G1858" t="s">
        <v>2</v>
      </c>
      <c r="H1858" t="s">
        <v>70</v>
      </c>
      <c r="I1858" t="s">
        <v>4</v>
      </c>
      <c r="J1858" t="s">
        <v>85</v>
      </c>
      <c r="K1858" t="s">
        <v>33</v>
      </c>
      <c r="L1858" t="s">
        <v>2250</v>
      </c>
      <c r="M1858">
        <v>0.59</v>
      </c>
      <c r="N1858" t="s">
        <v>8</v>
      </c>
      <c r="O1858" t="s">
        <v>28</v>
      </c>
      <c r="P1858" t="s">
        <v>79</v>
      </c>
      <c r="Q1858" t="s">
        <v>2530</v>
      </c>
      <c r="R1858">
        <v>60060</v>
      </c>
      <c r="S1858" s="1">
        <v>42177</v>
      </c>
      <c r="T1858" s="1">
        <v>42178</v>
      </c>
      <c r="U1858">
        <v>-64.664000000000001</v>
      </c>
      <c r="V1858">
        <v>3</v>
      </c>
      <c r="W1858">
        <v>519.41999999999996</v>
      </c>
      <c r="X1858">
        <v>86790</v>
      </c>
      <c r="Y1858">
        <f>cleaneddata[[#This Row],[Unit Price]]-cleaneddata[[#This Row],[Discount]]</f>
        <v>180.88</v>
      </c>
      <c r="Z185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59" spans="1:26" x14ac:dyDescent="0.3">
      <c r="A1859">
        <v>437</v>
      </c>
      <c r="B1859" t="s">
        <v>2916</v>
      </c>
      <c r="C1859" t="s">
        <v>23</v>
      </c>
      <c r="D1859">
        <v>0.05</v>
      </c>
      <c r="E1859">
        <v>125.99</v>
      </c>
      <c r="F1859">
        <v>8.08</v>
      </c>
      <c r="G1859" t="s">
        <v>14</v>
      </c>
      <c r="H1859" t="s">
        <v>3</v>
      </c>
      <c r="I1859" t="s">
        <v>16</v>
      </c>
      <c r="J1859" t="s">
        <v>111</v>
      </c>
      <c r="K1859" t="s">
        <v>49</v>
      </c>
      <c r="L1859" t="s">
        <v>2089</v>
      </c>
      <c r="M1859">
        <v>0.56999999999999995</v>
      </c>
      <c r="N1859" t="s">
        <v>8</v>
      </c>
      <c r="O1859" t="s">
        <v>87</v>
      </c>
      <c r="P1859" t="s">
        <v>379</v>
      </c>
      <c r="Q1859" t="s">
        <v>2917</v>
      </c>
      <c r="R1859">
        <v>1462</v>
      </c>
      <c r="S1859" s="1">
        <v>42177</v>
      </c>
      <c r="T1859" s="1">
        <v>42182</v>
      </c>
      <c r="U1859">
        <v>427.11840000000001</v>
      </c>
      <c r="V1859">
        <v>9</v>
      </c>
      <c r="W1859">
        <v>952.26</v>
      </c>
      <c r="X1859">
        <v>90695</v>
      </c>
      <c r="Y1859">
        <f>cleaneddata[[#This Row],[Unit Price]]-cleaneddata[[#This Row],[Discount]]</f>
        <v>125.94</v>
      </c>
      <c r="Z185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60" spans="1:26" x14ac:dyDescent="0.3">
      <c r="A1860">
        <v>1127</v>
      </c>
      <c r="B1860" t="s">
        <v>1321</v>
      </c>
      <c r="C1860" t="s">
        <v>23</v>
      </c>
      <c r="D1860">
        <v>0.04</v>
      </c>
      <c r="E1860">
        <v>4.71</v>
      </c>
      <c r="F1860">
        <v>0.7</v>
      </c>
      <c r="G1860" t="s">
        <v>14</v>
      </c>
      <c r="H1860" t="s">
        <v>15</v>
      </c>
      <c r="I1860" t="s">
        <v>24</v>
      </c>
      <c r="J1860" t="s">
        <v>152</v>
      </c>
      <c r="K1860" t="s">
        <v>26</v>
      </c>
      <c r="L1860" t="s">
        <v>2700</v>
      </c>
      <c r="M1860">
        <v>0.8</v>
      </c>
      <c r="N1860" t="s">
        <v>8</v>
      </c>
      <c r="O1860" t="s">
        <v>28</v>
      </c>
      <c r="P1860" t="s">
        <v>163</v>
      </c>
      <c r="Q1860" t="s">
        <v>1322</v>
      </c>
      <c r="R1860">
        <v>78852</v>
      </c>
      <c r="S1860" s="1">
        <v>42177</v>
      </c>
      <c r="T1860" s="1">
        <v>42181</v>
      </c>
      <c r="U1860">
        <v>4.53</v>
      </c>
      <c r="V1860">
        <v>19</v>
      </c>
      <c r="W1860">
        <v>90.52</v>
      </c>
      <c r="X1860">
        <v>87222</v>
      </c>
      <c r="Y1860">
        <f>cleaneddata[[#This Row],[Unit Price]]-cleaneddata[[#This Row],[Discount]]</f>
        <v>4.67</v>
      </c>
      <c r="Z186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61" spans="1:26" x14ac:dyDescent="0.3">
      <c r="A1861">
        <v>1128</v>
      </c>
      <c r="B1861" t="s">
        <v>2918</v>
      </c>
      <c r="C1861" t="s">
        <v>23</v>
      </c>
      <c r="D1861">
        <v>0.06</v>
      </c>
      <c r="E1861">
        <v>4.2</v>
      </c>
      <c r="F1861">
        <v>2.2599999999999998</v>
      </c>
      <c r="G1861" t="s">
        <v>14</v>
      </c>
      <c r="H1861" t="s">
        <v>15</v>
      </c>
      <c r="I1861" t="s">
        <v>24</v>
      </c>
      <c r="J1861" t="s">
        <v>64</v>
      </c>
      <c r="K1861" t="s">
        <v>26</v>
      </c>
      <c r="L1861" t="s">
        <v>572</v>
      </c>
      <c r="M1861">
        <v>0.36</v>
      </c>
      <c r="N1861" t="s">
        <v>8</v>
      </c>
      <c r="O1861" t="s">
        <v>28</v>
      </c>
      <c r="P1861" t="s">
        <v>163</v>
      </c>
      <c r="Q1861" t="s">
        <v>2919</v>
      </c>
      <c r="R1861">
        <v>78539</v>
      </c>
      <c r="S1861" s="1">
        <v>42177</v>
      </c>
      <c r="T1861" s="1">
        <v>42182</v>
      </c>
      <c r="U1861">
        <v>9.7799999999999994</v>
      </c>
      <c r="V1861">
        <v>13</v>
      </c>
      <c r="W1861">
        <v>55.97</v>
      </c>
      <c r="X1861">
        <v>87222</v>
      </c>
      <c r="Y1861">
        <f>cleaneddata[[#This Row],[Unit Price]]-cleaneddata[[#This Row],[Discount]]</f>
        <v>4.1400000000000006</v>
      </c>
      <c r="Z186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62" spans="1:26" x14ac:dyDescent="0.3">
      <c r="A1862">
        <v>2279</v>
      </c>
      <c r="B1862" t="s">
        <v>2920</v>
      </c>
      <c r="C1862" t="s">
        <v>23</v>
      </c>
      <c r="D1862">
        <v>0.04</v>
      </c>
      <c r="E1862">
        <v>4.4800000000000004</v>
      </c>
      <c r="F1862">
        <v>2.5</v>
      </c>
      <c r="G1862" t="s">
        <v>63</v>
      </c>
      <c r="H1862" t="s">
        <v>47</v>
      </c>
      <c r="I1862" t="s">
        <v>24</v>
      </c>
      <c r="J1862" t="s">
        <v>321</v>
      </c>
      <c r="K1862" t="s">
        <v>49</v>
      </c>
      <c r="L1862" t="s">
        <v>997</v>
      </c>
      <c r="M1862">
        <v>0.37</v>
      </c>
      <c r="N1862" t="s">
        <v>8</v>
      </c>
      <c r="O1862" t="s">
        <v>87</v>
      </c>
      <c r="P1862" t="s">
        <v>296</v>
      </c>
      <c r="Q1862" t="s">
        <v>2921</v>
      </c>
      <c r="R1862">
        <v>15601</v>
      </c>
      <c r="S1862" s="1">
        <v>42177</v>
      </c>
      <c r="T1862" s="1">
        <v>42181</v>
      </c>
      <c r="U1862">
        <v>10.32</v>
      </c>
      <c r="V1862">
        <v>7</v>
      </c>
      <c r="W1862">
        <v>35.93</v>
      </c>
      <c r="X1862">
        <v>85949</v>
      </c>
      <c r="Y1862">
        <f>cleaneddata[[#This Row],[Unit Price]]-cleaneddata[[#This Row],[Discount]]</f>
        <v>4.4400000000000004</v>
      </c>
      <c r="Z186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63" spans="1:26" x14ac:dyDescent="0.3">
      <c r="A1863">
        <v>101</v>
      </c>
      <c r="B1863" t="s">
        <v>2922</v>
      </c>
      <c r="C1863" t="s">
        <v>92</v>
      </c>
      <c r="D1863">
        <v>0.1</v>
      </c>
      <c r="E1863">
        <v>19.98</v>
      </c>
      <c r="F1863">
        <v>4</v>
      </c>
      <c r="G1863" t="s">
        <v>14</v>
      </c>
      <c r="H1863" t="s">
        <v>15</v>
      </c>
      <c r="I1863" t="s">
        <v>16</v>
      </c>
      <c r="J1863" t="s">
        <v>17</v>
      </c>
      <c r="K1863" t="s">
        <v>49</v>
      </c>
      <c r="L1863" t="s">
        <v>1737</v>
      </c>
      <c r="M1863">
        <v>0.68</v>
      </c>
      <c r="N1863" t="s">
        <v>8</v>
      </c>
      <c r="O1863" t="s">
        <v>87</v>
      </c>
      <c r="P1863" t="s">
        <v>307</v>
      </c>
      <c r="Q1863" t="s">
        <v>2923</v>
      </c>
      <c r="R1863">
        <v>4005</v>
      </c>
      <c r="S1863" s="1">
        <v>42177</v>
      </c>
      <c r="T1863" s="1">
        <v>42179</v>
      </c>
      <c r="U1863">
        <v>-16.2</v>
      </c>
      <c r="V1863">
        <v>16</v>
      </c>
      <c r="W1863">
        <v>303.58999999999997</v>
      </c>
      <c r="X1863">
        <v>88205</v>
      </c>
      <c r="Y1863">
        <f>cleaneddata[[#This Row],[Unit Price]]-cleaneddata[[#This Row],[Discount]]</f>
        <v>19.88</v>
      </c>
      <c r="Z186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64" spans="1:26" x14ac:dyDescent="0.3">
      <c r="A1864">
        <v>102</v>
      </c>
      <c r="B1864" t="s">
        <v>2018</v>
      </c>
      <c r="C1864" t="s">
        <v>92</v>
      </c>
      <c r="D1864">
        <v>0.1</v>
      </c>
      <c r="E1864">
        <v>19.98</v>
      </c>
      <c r="F1864">
        <v>4</v>
      </c>
      <c r="G1864" t="s">
        <v>14</v>
      </c>
      <c r="H1864" t="s">
        <v>15</v>
      </c>
      <c r="I1864" t="s">
        <v>16</v>
      </c>
      <c r="J1864" t="s">
        <v>17</v>
      </c>
      <c r="K1864" t="s">
        <v>49</v>
      </c>
      <c r="L1864" t="s">
        <v>1737</v>
      </c>
      <c r="M1864">
        <v>0.68</v>
      </c>
      <c r="N1864" t="s">
        <v>8</v>
      </c>
      <c r="O1864" t="s">
        <v>87</v>
      </c>
      <c r="P1864" t="s">
        <v>379</v>
      </c>
      <c r="Q1864" t="s">
        <v>764</v>
      </c>
      <c r="R1864">
        <v>2129</v>
      </c>
      <c r="S1864" s="1">
        <v>42177</v>
      </c>
      <c r="T1864" s="1">
        <v>42179</v>
      </c>
      <c r="U1864">
        <v>-20.25</v>
      </c>
      <c r="V1864">
        <v>65</v>
      </c>
      <c r="W1864">
        <v>1233.32</v>
      </c>
      <c r="X1864">
        <v>3397</v>
      </c>
      <c r="Y1864">
        <f>cleaneddata[[#This Row],[Unit Price]]-cleaneddata[[#This Row],[Discount]]</f>
        <v>19.88</v>
      </c>
      <c r="Z186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65" spans="1:26" x14ac:dyDescent="0.3">
      <c r="A1865">
        <v>102</v>
      </c>
      <c r="B1865" t="s">
        <v>2018</v>
      </c>
      <c r="C1865" t="s">
        <v>92</v>
      </c>
      <c r="D1865">
        <v>0.09</v>
      </c>
      <c r="E1865">
        <v>2.88</v>
      </c>
      <c r="F1865">
        <v>1.49</v>
      </c>
      <c r="G1865" t="s">
        <v>14</v>
      </c>
      <c r="H1865" t="s">
        <v>15</v>
      </c>
      <c r="I1865" t="s">
        <v>24</v>
      </c>
      <c r="J1865" t="s">
        <v>48</v>
      </c>
      <c r="K1865" t="s">
        <v>49</v>
      </c>
      <c r="L1865" t="s">
        <v>2924</v>
      </c>
      <c r="M1865">
        <v>0.36</v>
      </c>
      <c r="N1865" t="s">
        <v>8</v>
      </c>
      <c r="O1865" t="s">
        <v>87</v>
      </c>
      <c r="P1865" t="s">
        <v>379</v>
      </c>
      <c r="Q1865" t="s">
        <v>764</v>
      </c>
      <c r="R1865">
        <v>2129</v>
      </c>
      <c r="S1865" s="1">
        <v>42177</v>
      </c>
      <c r="T1865" s="1">
        <v>42178</v>
      </c>
      <c r="U1865">
        <v>-3.3809999999999998</v>
      </c>
      <c r="V1865">
        <v>17</v>
      </c>
      <c r="W1865">
        <v>47.31</v>
      </c>
      <c r="X1865">
        <v>3397</v>
      </c>
      <c r="Y1865">
        <f>cleaneddata[[#This Row],[Unit Price]]-cleaneddata[[#This Row],[Discount]]</f>
        <v>2.79</v>
      </c>
      <c r="Z186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66" spans="1:26" x14ac:dyDescent="0.3">
      <c r="A1866">
        <v>109</v>
      </c>
      <c r="B1866" t="s">
        <v>2925</v>
      </c>
      <c r="C1866" t="s">
        <v>92</v>
      </c>
      <c r="D1866">
        <v>0.09</v>
      </c>
      <c r="E1866">
        <v>2.88</v>
      </c>
      <c r="F1866">
        <v>1.49</v>
      </c>
      <c r="G1866" t="s">
        <v>14</v>
      </c>
      <c r="H1866" t="s">
        <v>15</v>
      </c>
      <c r="I1866" t="s">
        <v>24</v>
      </c>
      <c r="J1866" t="s">
        <v>48</v>
      </c>
      <c r="K1866" t="s">
        <v>49</v>
      </c>
      <c r="L1866" t="s">
        <v>2924</v>
      </c>
      <c r="M1866">
        <v>0.36</v>
      </c>
      <c r="N1866" t="s">
        <v>8</v>
      </c>
      <c r="O1866" t="s">
        <v>87</v>
      </c>
      <c r="P1866" t="s">
        <v>373</v>
      </c>
      <c r="Q1866" t="s">
        <v>2926</v>
      </c>
      <c r="R1866">
        <v>7644</v>
      </c>
      <c r="S1866" s="1">
        <v>42177</v>
      </c>
      <c r="T1866" s="1">
        <v>42178</v>
      </c>
      <c r="U1866">
        <v>-2.7048000000000001</v>
      </c>
      <c r="V1866">
        <v>4</v>
      </c>
      <c r="W1866">
        <v>11.13</v>
      </c>
      <c r="X1866">
        <v>88205</v>
      </c>
      <c r="Y1866">
        <f>cleaneddata[[#This Row],[Unit Price]]-cleaneddata[[#This Row],[Discount]]</f>
        <v>2.79</v>
      </c>
      <c r="Z186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67" spans="1:26" x14ac:dyDescent="0.3">
      <c r="A1867">
        <v>522</v>
      </c>
      <c r="B1867" t="s">
        <v>2927</v>
      </c>
      <c r="C1867" t="s">
        <v>92</v>
      </c>
      <c r="D1867">
        <v>0.02</v>
      </c>
      <c r="E1867">
        <v>150.97999999999999</v>
      </c>
      <c r="F1867">
        <v>13.99</v>
      </c>
      <c r="G1867" t="s">
        <v>63</v>
      </c>
      <c r="H1867" t="s">
        <v>3</v>
      </c>
      <c r="I1867" t="s">
        <v>16</v>
      </c>
      <c r="J1867" t="s">
        <v>32</v>
      </c>
      <c r="K1867" t="s">
        <v>120</v>
      </c>
      <c r="L1867" t="s">
        <v>758</v>
      </c>
      <c r="M1867">
        <v>0.38</v>
      </c>
      <c r="N1867" t="s">
        <v>8</v>
      </c>
      <c r="O1867" t="s">
        <v>35</v>
      </c>
      <c r="P1867" t="s">
        <v>115</v>
      </c>
      <c r="Q1867" t="s">
        <v>818</v>
      </c>
      <c r="R1867">
        <v>97756</v>
      </c>
      <c r="S1867" s="1">
        <v>42177</v>
      </c>
      <c r="T1867" s="1">
        <v>42179</v>
      </c>
      <c r="U1867">
        <v>26.1</v>
      </c>
      <c r="V1867">
        <v>3</v>
      </c>
      <c r="W1867">
        <v>480.37</v>
      </c>
      <c r="X1867">
        <v>89327</v>
      </c>
      <c r="Y1867">
        <f>cleaneddata[[#This Row],[Unit Price]]-cleaneddata[[#This Row],[Discount]]</f>
        <v>150.95999999999998</v>
      </c>
      <c r="Z186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68" spans="1:26" x14ac:dyDescent="0.3">
      <c r="A1868">
        <v>522</v>
      </c>
      <c r="B1868" t="s">
        <v>2927</v>
      </c>
      <c r="C1868" t="s">
        <v>92</v>
      </c>
      <c r="D1868">
        <v>0.1</v>
      </c>
      <c r="E1868">
        <v>5.43</v>
      </c>
      <c r="F1868">
        <v>0.95</v>
      </c>
      <c r="G1868" t="s">
        <v>14</v>
      </c>
      <c r="H1868" t="s">
        <v>3</v>
      </c>
      <c r="I1868" t="s">
        <v>24</v>
      </c>
      <c r="J1868" t="s">
        <v>64</v>
      </c>
      <c r="K1868" t="s">
        <v>26</v>
      </c>
      <c r="L1868" t="s">
        <v>2239</v>
      </c>
      <c r="M1868">
        <v>0.36</v>
      </c>
      <c r="N1868" t="s">
        <v>8</v>
      </c>
      <c r="O1868" t="s">
        <v>35</v>
      </c>
      <c r="P1868" t="s">
        <v>115</v>
      </c>
      <c r="Q1868" t="s">
        <v>818</v>
      </c>
      <c r="R1868">
        <v>97756</v>
      </c>
      <c r="S1868" s="1">
        <v>42177</v>
      </c>
      <c r="T1868" s="1">
        <v>42179</v>
      </c>
      <c r="U1868">
        <v>-2.58</v>
      </c>
      <c r="V1868">
        <v>1</v>
      </c>
      <c r="W1868">
        <v>5.76</v>
      </c>
      <c r="X1868">
        <v>89327</v>
      </c>
      <c r="Y1868">
        <f>cleaneddata[[#This Row],[Unit Price]]-cleaneddata[[#This Row],[Discount]]</f>
        <v>5.33</v>
      </c>
      <c r="Z186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69" spans="1:26" x14ac:dyDescent="0.3">
      <c r="A1869">
        <v>522</v>
      </c>
      <c r="B1869" t="s">
        <v>2927</v>
      </c>
      <c r="C1869" t="s">
        <v>92</v>
      </c>
      <c r="D1869">
        <v>0.01</v>
      </c>
      <c r="E1869">
        <v>179.29</v>
      </c>
      <c r="F1869">
        <v>29.21</v>
      </c>
      <c r="G1869" t="s">
        <v>2</v>
      </c>
      <c r="H1869" t="s">
        <v>3</v>
      </c>
      <c r="I1869" t="s">
        <v>4</v>
      </c>
      <c r="J1869" t="s">
        <v>5</v>
      </c>
      <c r="K1869" t="s">
        <v>6</v>
      </c>
      <c r="L1869" t="s">
        <v>519</v>
      </c>
      <c r="M1869">
        <v>0.74</v>
      </c>
      <c r="N1869" t="s">
        <v>8</v>
      </c>
      <c r="O1869" t="s">
        <v>35</v>
      </c>
      <c r="P1869" t="s">
        <v>115</v>
      </c>
      <c r="Q1869" t="s">
        <v>818</v>
      </c>
      <c r="R1869">
        <v>97756</v>
      </c>
      <c r="S1869" s="1">
        <v>42177</v>
      </c>
      <c r="T1869" s="1">
        <v>42178</v>
      </c>
      <c r="U1869">
        <v>2800.12</v>
      </c>
      <c r="V1869">
        <v>21</v>
      </c>
      <c r="W1869">
        <v>3112.13</v>
      </c>
      <c r="X1869">
        <v>89327</v>
      </c>
      <c r="Y1869">
        <f>cleaneddata[[#This Row],[Unit Price]]-cleaneddata[[#This Row],[Discount]]</f>
        <v>179.28</v>
      </c>
      <c r="Z186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70" spans="1:26" x14ac:dyDescent="0.3">
      <c r="A1870">
        <v>445</v>
      </c>
      <c r="B1870" t="s">
        <v>2118</v>
      </c>
      <c r="C1870" t="s">
        <v>13</v>
      </c>
      <c r="D1870">
        <v>0.09</v>
      </c>
      <c r="E1870">
        <v>200.98</v>
      </c>
      <c r="F1870">
        <v>55.96</v>
      </c>
      <c r="G1870" t="s">
        <v>2</v>
      </c>
      <c r="H1870" t="s">
        <v>3</v>
      </c>
      <c r="I1870" t="s">
        <v>4</v>
      </c>
      <c r="J1870" t="s">
        <v>93</v>
      </c>
      <c r="K1870" t="s">
        <v>6</v>
      </c>
      <c r="L1870" t="s">
        <v>1615</v>
      </c>
      <c r="M1870">
        <v>0.75</v>
      </c>
      <c r="N1870" t="s">
        <v>8</v>
      </c>
      <c r="O1870" t="s">
        <v>28</v>
      </c>
      <c r="P1870" t="s">
        <v>109</v>
      </c>
      <c r="Q1870" t="s">
        <v>1353</v>
      </c>
      <c r="R1870">
        <v>68701</v>
      </c>
      <c r="S1870" s="1">
        <v>42178</v>
      </c>
      <c r="T1870" s="1">
        <v>42179</v>
      </c>
      <c r="U1870">
        <v>-512.87199999999996</v>
      </c>
      <c r="V1870">
        <v>9</v>
      </c>
      <c r="W1870">
        <v>1766.68</v>
      </c>
      <c r="X1870">
        <v>88084</v>
      </c>
      <c r="Y1870">
        <f>cleaneddata[[#This Row],[Unit Price]]-cleaneddata[[#This Row],[Discount]]</f>
        <v>200.89</v>
      </c>
      <c r="Z187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71" spans="1:26" x14ac:dyDescent="0.3">
      <c r="A1871">
        <v>445</v>
      </c>
      <c r="B1871" t="s">
        <v>2118</v>
      </c>
      <c r="C1871" t="s">
        <v>13</v>
      </c>
      <c r="D1871">
        <v>0.09</v>
      </c>
      <c r="E1871">
        <v>2.78</v>
      </c>
      <c r="F1871">
        <v>0.97</v>
      </c>
      <c r="G1871" t="s">
        <v>14</v>
      </c>
      <c r="H1871" t="s">
        <v>3</v>
      </c>
      <c r="I1871" t="s">
        <v>24</v>
      </c>
      <c r="J1871" t="s">
        <v>25</v>
      </c>
      <c r="K1871" t="s">
        <v>26</v>
      </c>
      <c r="L1871" t="s">
        <v>2928</v>
      </c>
      <c r="M1871">
        <v>0.59</v>
      </c>
      <c r="N1871" t="s">
        <v>8</v>
      </c>
      <c r="O1871" t="s">
        <v>28</v>
      </c>
      <c r="P1871" t="s">
        <v>109</v>
      </c>
      <c r="Q1871" t="s">
        <v>1353</v>
      </c>
      <c r="R1871">
        <v>68701</v>
      </c>
      <c r="S1871" s="1">
        <v>42178</v>
      </c>
      <c r="T1871" s="1">
        <v>42179</v>
      </c>
      <c r="U1871">
        <v>-3.7839999999999998</v>
      </c>
      <c r="V1871">
        <v>11</v>
      </c>
      <c r="W1871">
        <v>29.02</v>
      </c>
      <c r="X1871">
        <v>88084</v>
      </c>
      <c r="Y1871">
        <f>cleaneddata[[#This Row],[Unit Price]]-cleaneddata[[#This Row],[Discount]]</f>
        <v>2.69</v>
      </c>
      <c r="Z187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72" spans="1:26" x14ac:dyDescent="0.3">
      <c r="A1872">
        <v>2333</v>
      </c>
      <c r="B1872" t="s">
        <v>2929</v>
      </c>
      <c r="C1872" t="s">
        <v>13</v>
      </c>
      <c r="D1872">
        <v>0.06</v>
      </c>
      <c r="E1872">
        <v>180.98</v>
      </c>
      <c r="F1872">
        <v>26.2</v>
      </c>
      <c r="G1872" t="s">
        <v>2</v>
      </c>
      <c r="H1872" t="s">
        <v>3</v>
      </c>
      <c r="I1872" t="s">
        <v>4</v>
      </c>
      <c r="J1872" t="s">
        <v>85</v>
      </c>
      <c r="K1872" t="s">
        <v>33</v>
      </c>
      <c r="L1872" t="s">
        <v>2250</v>
      </c>
      <c r="M1872">
        <v>0.59</v>
      </c>
      <c r="N1872" t="s">
        <v>8</v>
      </c>
      <c r="O1872" t="s">
        <v>28</v>
      </c>
      <c r="P1872" t="s">
        <v>333</v>
      </c>
      <c r="Q1872" t="s">
        <v>2930</v>
      </c>
      <c r="R1872">
        <v>54302</v>
      </c>
      <c r="S1872" s="1">
        <v>42178</v>
      </c>
      <c r="T1872" s="1">
        <v>42179</v>
      </c>
      <c r="U1872">
        <v>-122.235</v>
      </c>
      <c r="V1872">
        <v>1</v>
      </c>
      <c r="W1872">
        <v>191.73</v>
      </c>
      <c r="X1872">
        <v>89611</v>
      </c>
      <c r="Y1872">
        <f>cleaneddata[[#This Row],[Unit Price]]-cleaneddata[[#This Row],[Discount]]</f>
        <v>180.92</v>
      </c>
      <c r="Z187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73" spans="1:26" x14ac:dyDescent="0.3">
      <c r="A1873">
        <v>1548</v>
      </c>
      <c r="B1873" t="s">
        <v>2931</v>
      </c>
      <c r="C1873" t="s">
        <v>23</v>
      </c>
      <c r="D1873">
        <v>0</v>
      </c>
      <c r="E1873">
        <v>599.99</v>
      </c>
      <c r="F1873">
        <v>24.49</v>
      </c>
      <c r="G1873" t="s">
        <v>14</v>
      </c>
      <c r="H1873" t="s">
        <v>70</v>
      </c>
      <c r="I1873" t="s">
        <v>16</v>
      </c>
      <c r="J1873" t="s">
        <v>39</v>
      </c>
      <c r="K1873" t="s">
        <v>40</v>
      </c>
      <c r="L1873" t="s">
        <v>2932</v>
      </c>
      <c r="M1873">
        <v>0.44</v>
      </c>
      <c r="N1873" t="s">
        <v>8</v>
      </c>
      <c r="O1873" t="s">
        <v>28</v>
      </c>
      <c r="P1873" t="s">
        <v>29</v>
      </c>
      <c r="Q1873" t="s">
        <v>2408</v>
      </c>
      <c r="R1873">
        <v>47374</v>
      </c>
      <c r="S1873" s="1">
        <v>42178</v>
      </c>
      <c r="T1873" s="1">
        <v>42180</v>
      </c>
      <c r="U1873">
        <v>-367.16500000000002</v>
      </c>
      <c r="V1873">
        <v>18</v>
      </c>
      <c r="W1873">
        <v>11015.82</v>
      </c>
      <c r="X1873">
        <v>88487</v>
      </c>
      <c r="Y1873">
        <f>cleaneddata[[#This Row],[Unit Price]]-cleaneddata[[#This Row],[Discount]]</f>
        <v>599.99</v>
      </c>
      <c r="Z187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74" spans="1:26" x14ac:dyDescent="0.3">
      <c r="A1874">
        <v>2215</v>
      </c>
      <c r="B1874" t="s">
        <v>2933</v>
      </c>
      <c r="C1874" t="s">
        <v>23</v>
      </c>
      <c r="D1874">
        <v>7.0000000000000007E-2</v>
      </c>
      <c r="E1874">
        <v>3.28</v>
      </c>
      <c r="F1874">
        <v>3.97</v>
      </c>
      <c r="G1874" t="s">
        <v>14</v>
      </c>
      <c r="H1874" t="s">
        <v>70</v>
      </c>
      <c r="I1874" t="s">
        <v>24</v>
      </c>
      <c r="J1874" t="s">
        <v>25</v>
      </c>
      <c r="K1874" t="s">
        <v>26</v>
      </c>
      <c r="L1874" t="s">
        <v>343</v>
      </c>
      <c r="M1874">
        <v>0.56000000000000005</v>
      </c>
      <c r="N1874" t="s">
        <v>8</v>
      </c>
      <c r="O1874" t="s">
        <v>87</v>
      </c>
      <c r="P1874" t="s">
        <v>293</v>
      </c>
      <c r="Q1874" t="s">
        <v>2934</v>
      </c>
      <c r="R1874">
        <v>44646</v>
      </c>
      <c r="S1874" s="1">
        <v>42178</v>
      </c>
      <c r="T1874" s="1">
        <v>42178</v>
      </c>
      <c r="U1874">
        <v>-22.175999999999998</v>
      </c>
      <c r="V1874">
        <v>4</v>
      </c>
      <c r="W1874">
        <v>14.76</v>
      </c>
      <c r="X1874">
        <v>90314</v>
      </c>
      <c r="Y1874">
        <f>cleaneddata[[#This Row],[Unit Price]]-cleaneddata[[#This Row],[Discount]]</f>
        <v>3.21</v>
      </c>
      <c r="Z187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75" spans="1:26" x14ac:dyDescent="0.3">
      <c r="A1875">
        <v>2216</v>
      </c>
      <c r="B1875" t="s">
        <v>2935</v>
      </c>
      <c r="C1875" t="s">
        <v>23</v>
      </c>
      <c r="D1875">
        <v>0.02</v>
      </c>
      <c r="E1875">
        <v>256.99</v>
      </c>
      <c r="F1875">
        <v>11.25</v>
      </c>
      <c r="G1875" t="s">
        <v>14</v>
      </c>
      <c r="H1875" t="s">
        <v>70</v>
      </c>
      <c r="I1875" t="s">
        <v>16</v>
      </c>
      <c r="J1875" t="s">
        <v>17</v>
      </c>
      <c r="K1875" t="s">
        <v>49</v>
      </c>
      <c r="L1875" t="s">
        <v>2597</v>
      </c>
      <c r="M1875">
        <v>0.51</v>
      </c>
      <c r="N1875" t="s">
        <v>8</v>
      </c>
      <c r="O1875" t="s">
        <v>87</v>
      </c>
      <c r="P1875" t="s">
        <v>293</v>
      </c>
      <c r="Q1875" t="s">
        <v>2109</v>
      </c>
      <c r="R1875">
        <v>44256</v>
      </c>
      <c r="S1875" s="1">
        <v>42178</v>
      </c>
      <c r="T1875" s="1">
        <v>42185</v>
      </c>
      <c r="U1875">
        <v>-214.10400000000001</v>
      </c>
      <c r="V1875">
        <v>3</v>
      </c>
      <c r="W1875">
        <v>808.44</v>
      </c>
      <c r="X1875">
        <v>90314</v>
      </c>
      <c r="Y1875">
        <f>cleaneddata[[#This Row],[Unit Price]]-cleaneddata[[#This Row],[Discount]]</f>
        <v>256.97000000000003</v>
      </c>
      <c r="Z187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76" spans="1:26" x14ac:dyDescent="0.3">
      <c r="A1876">
        <v>2216</v>
      </c>
      <c r="B1876" t="s">
        <v>2935</v>
      </c>
      <c r="C1876" t="s">
        <v>23</v>
      </c>
      <c r="D1876">
        <v>0.01</v>
      </c>
      <c r="E1876">
        <v>6.48</v>
      </c>
      <c r="F1876">
        <v>5.14</v>
      </c>
      <c r="G1876" t="s">
        <v>14</v>
      </c>
      <c r="H1876" t="s">
        <v>70</v>
      </c>
      <c r="I1876" t="s">
        <v>24</v>
      </c>
      <c r="J1876" t="s">
        <v>64</v>
      </c>
      <c r="K1876" t="s">
        <v>49</v>
      </c>
      <c r="L1876" t="s">
        <v>1721</v>
      </c>
      <c r="M1876">
        <v>0.37</v>
      </c>
      <c r="N1876" t="s">
        <v>8</v>
      </c>
      <c r="O1876" t="s">
        <v>87</v>
      </c>
      <c r="P1876" t="s">
        <v>293</v>
      </c>
      <c r="Q1876" t="s">
        <v>2109</v>
      </c>
      <c r="R1876">
        <v>44256</v>
      </c>
      <c r="S1876" s="1">
        <v>42178</v>
      </c>
      <c r="T1876" s="1">
        <v>42180</v>
      </c>
      <c r="U1876">
        <v>-26.936</v>
      </c>
      <c r="V1876">
        <v>10</v>
      </c>
      <c r="W1876">
        <v>67.41</v>
      </c>
      <c r="X1876">
        <v>90314</v>
      </c>
      <c r="Y1876">
        <f>cleaneddata[[#This Row],[Unit Price]]-cleaneddata[[#This Row],[Discount]]</f>
        <v>6.4700000000000006</v>
      </c>
      <c r="Z187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77" spans="1:26" x14ac:dyDescent="0.3">
      <c r="A1877">
        <v>2352</v>
      </c>
      <c r="B1877" t="s">
        <v>2894</v>
      </c>
      <c r="C1877" t="s">
        <v>46</v>
      </c>
      <c r="D1877">
        <v>0.09</v>
      </c>
      <c r="E1877">
        <v>71.37</v>
      </c>
      <c r="F1877">
        <v>69</v>
      </c>
      <c r="G1877" t="s">
        <v>14</v>
      </c>
      <c r="H1877" t="s">
        <v>47</v>
      </c>
      <c r="I1877" t="s">
        <v>4</v>
      </c>
      <c r="J1877" t="s">
        <v>5</v>
      </c>
      <c r="K1877" t="s">
        <v>40</v>
      </c>
      <c r="L1877" t="s">
        <v>1007</v>
      </c>
      <c r="M1877">
        <v>0.68</v>
      </c>
      <c r="N1877" t="s">
        <v>8</v>
      </c>
      <c r="O1877" t="s">
        <v>87</v>
      </c>
      <c r="P1877" t="s">
        <v>394</v>
      </c>
      <c r="Q1877" t="s">
        <v>2895</v>
      </c>
      <c r="R1877">
        <v>21501</v>
      </c>
      <c r="S1877" s="1">
        <v>42178</v>
      </c>
      <c r="T1877" s="1">
        <v>42179</v>
      </c>
      <c r="U1877">
        <v>-1537.1356000000001</v>
      </c>
      <c r="V1877">
        <v>19</v>
      </c>
      <c r="W1877">
        <v>1302.98</v>
      </c>
      <c r="X1877">
        <v>86166</v>
      </c>
      <c r="Y1877">
        <f>cleaneddata[[#This Row],[Unit Price]]-cleaneddata[[#This Row],[Discount]]</f>
        <v>71.28</v>
      </c>
      <c r="Z187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78" spans="1:26" x14ac:dyDescent="0.3">
      <c r="A1878">
        <v>2044</v>
      </c>
      <c r="B1878" t="s">
        <v>2936</v>
      </c>
      <c r="C1878" t="s">
        <v>23</v>
      </c>
      <c r="D1878">
        <v>0.09</v>
      </c>
      <c r="E1878">
        <v>20.99</v>
      </c>
      <c r="F1878">
        <v>2.5</v>
      </c>
      <c r="G1878" t="s">
        <v>14</v>
      </c>
      <c r="H1878" t="s">
        <v>70</v>
      </c>
      <c r="I1878" t="s">
        <v>16</v>
      </c>
      <c r="J1878" t="s">
        <v>111</v>
      </c>
      <c r="K1878" t="s">
        <v>26</v>
      </c>
      <c r="L1878" t="s">
        <v>1177</v>
      </c>
      <c r="M1878">
        <v>0.81</v>
      </c>
      <c r="N1878" t="s">
        <v>8</v>
      </c>
      <c r="O1878" t="s">
        <v>9</v>
      </c>
      <c r="P1878" t="s">
        <v>20</v>
      </c>
      <c r="Q1878" t="s">
        <v>2937</v>
      </c>
      <c r="R1878">
        <v>72756</v>
      </c>
      <c r="S1878" s="1">
        <v>42179</v>
      </c>
      <c r="T1878" s="1">
        <v>42186</v>
      </c>
      <c r="U1878">
        <v>-136.12200000000001</v>
      </c>
      <c r="V1878">
        <v>6</v>
      </c>
      <c r="W1878">
        <v>100.11</v>
      </c>
      <c r="X1878">
        <v>88692</v>
      </c>
      <c r="Y1878">
        <f>cleaneddata[[#This Row],[Unit Price]]-cleaneddata[[#This Row],[Discount]]</f>
        <v>20.9</v>
      </c>
      <c r="Z187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79" spans="1:26" x14ac:dyDescent="0.3">
      <c r="A1879">
        <v>3325</v>
      </c>
      <c r="B1879" t="s">
        <v>2259</v>
      </c>
      <c r="C1879" t="s">
        <v>23</v>
      </c>
      <c r="D1879">
        <v>0</v>
      </c>
      <c r="E1879">
        <v>8.74</v>
      </c>
      <c r="F1879">
        <v>8.2899999999999991</v>
      </c>
      <c r="G1879" t="s">
        <v>14</v>
      </c>
      <c r="H1879" t="s">
        <v>15</v>
      </c>
      <c r="I1879" t="s">
        <v>24</v>
      </c>
      <c r="J1879" t="s">
        <v>321</v>
      </c>
      <c r="K1879" t="s">
        <v>49</v>
      </c>
      <c r="L1879" t="s">
        <v>416</v>
      </c>
      <c r="M1879">
        <v>0.38</v>
      </c>
      <c r="N1879" t="s">
        <v>8</v>
      </c>
      <c r="O1879" t="s">
        <v>35</v>
      </c>
      <c r="P1879" t="s">
        <v>115</v>
      </c>
      <c r="Q1879" t="s">
        <v>2261</v>
      </c>
      <c r="R1879">
        <v>97420</v>
      </c>
      <c r="S1879" s="1">
        <v>42179</v>
      </c>
      <c r="T1879" s="1">
        <v>42181</v>
      </c>
      <c r="U1879">
        <v>-79.400000000000006</v>
      </c>
      <c r="V1879">
        <v>14</v>
      </c>
      <c r="W1879">
        <v>131.62</v>
      </c>
      <c r="X1879">
        <v>90986</v>
      </c>
      <c r="Y1879">
        <f>cleaneddata[[#This Row],[Unit Price]]-cleaneddata[[#This Row],[Discount]]</f>
        <v>8.74</v>
      </c>
      <c r="Z187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80" spans="1:26" x14ac:dyDescent="0.3">
      <c r="A1880">
        <v>721</v>
      </c>
      <c r="B1880" t="s">
        <v>2116</v>
      </c>
      <c r="C1880" t="s">
        <v>46</v>
      </c>
      <c r="D1880">
        <v>0.04</v>
      </c>
      <c r="E1880">
        <v>10.64</v>
      </c>
      <c r="F1880">
        <v>5.16</v>
      </c>
      <c r="G1880" t="s">
        <v>14</v>
      </c>
      <c r="H1880" t="s">
        <v>70</v>
      </c>
      <c r="I1880" t="s">
        <v>4</v>
      </c>
      <c r="J1880" t="s">
        <v>102</v>
      </c>
      <c r="K1880" t="s">
        <v>49</v>
      </c>
      <c r="L1880" t="s">
        <v>1820</v>
      </c>
      <c r="M1880">
        <v>0.56999999999999995</v>
      </c>
      <c r="N1880" t="s">
        <v>8</v>
      </c>
      <c r="O1880" t="s">
        <v>28</v>
      </c>
      <c r="P1880" t="s">
        <v>29</v>
      </c>
      <c r="Q1880" t="s">
        <v>2117</v>
      </c>
      <c r="R1880">
        <v>46041</v>
      </c>
      <c r="S1880" s="1">
        <v>42179</v>
      </c>
      <c r="T1880" s="1">
        <v>42180</v>
      </c>
      <c r="U1880">
        <v>24.096</v>
      </c>
      <c r="V1880">
        <v>6</v>
      </c>
      <c r="W1880">
        <v>66.900000000000006</v>
      </c>
      <c r="X1880">
        <v>91053</v>
      </c>
      <c r="Y1880">
        <f>cleaneddata[[#This Row],[Unit Price]]-cleaneddata[[#This Row],[Discount]]</f>
        <v>10.600000000000001</v>
      </c>
      <c r="Z188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81" spans="1:26" x14ac:dyDescent="0.3">
      <c r="A1881">
        <v>721</v>
      </c>
      <c r="B1881" t="s">
        <v>2116</v>
      </c>
      <c r="C1881" t="s">
        <v>46</v>
      </c>
      <c r="D1881">
        <v>0.03</v>
      </c>
      <c r="E1881">
        <v>2.78</v>
      </c>
      <c r="F1881">
        <v>1.34</v>
      </c>
      <c r="G1881" t="s">
        <v>63</v>
      </c>
      <c r="H1881" t="s">
        <v>70</v>
      </c>
      <c r="I1881" t="s">
        <v>24</v>
      </c>
      <c r="J1881" t="s">
        <v>25</v>
      </c>
      <c r="K1881" t="s">
        <v>26</v>
      </c>
      <c r="L1881" t="s">
        <v>2938</v>
      </c>
      <c r="M1881">
        <v>0.45</v>
      </c>
      <c r="N1881" t="s">
        <v>8</v>
      </c>
      <c r="O1881" t="s">
        <v>28</v>
      </c>
      <c r="P1881" t="s">
        <v>29</v>
      </c>
      <c r="Q1881" t="s">
        <v>2117</v>
      </c>
      <c r="R1881">
        <v>46041</v>
      </c>
      <c r="S1881" s="1">
        <v>42179</v>
      </c>
      <c r="T1881" s="1">
        <v>42181</v>
      </c>
      <c r="U1881">
        <v>6.9720000000000004</v>
      </c>
      <c r="V1881">
        <v>15</v>
      </c>
      <c r="W1881">
        <v>43.13</v>
      </c>
      <c r="X1881">
        <v>91053</v>
      </c>
      <c r="Y1881">
        <f>cleaneddata[[#This Row],[Unit Price]]-cleaneddata[[#This Row],[Discount]]</f>
        <v>2.75</v>
      </c>
      <c r="Z188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82" spans="1:26" x14ac:dyDescent="0.3">
      <c r="A1882">
        <v>3084</v>
      </c>
      <c r="B1882" t="s">
        <v>2210</v>
      </c>
      <c r="C1882" t="s">
        <v>46</v>
      </c>
      <c r="D1882">
        <v>0.01</v>
      </c>
      <c r="E1882">
        <v>7.1</v>
      </c>
      <c r="F1882">
        <v>6.05</v>
      </c>
      <c r="G1882" t="s">
        <v>14</v>
      </c>
      <c r="H1882" t="s">
        <v>3</v>
      </c>
      <c r="I1882" t="s">
        <v>24</v>
      </c>
      <c r="J1882" t="s">
        <v>48</v>
      </c>
      <c r="K1882" t="s">
        <v>49</v>
      </c>
      <c r="L1882" t="s">
        <v>227</v>
      </c>
      <c r="M1882">
        <v>0.39</v>
      </c>
      <c r="N1882" t="s">
        <v>8</v>
      </c>
      <c r="O1882" t="s">
        <v>35</v>
      </c>
      <c r="P1882" t="s">
        <v>42</v>
      </c>
      <c r="Q1882" t="s">
        <v>463</v>
      </c>
      <c r="R1882">
        <v>98503</v>
      </c>
      <c r="S1882" s="1">
        <v>42179</v>
      </c>
      <c r="T1882" s="1">
        <v>42180</v>
      </c>
      <c r="U1882">
        <v>-39.186250000000001</v>
      </c>
      <c r="V1882">
        <v>18</v>
      </c>
      <c r="W1882">
        <v>133.19</v>
      </c>
      <c r="X1882">
        <v>89880</v>
      </c>
      <c r="Y1882">
        <f>cleaneddata[[#This Row],[Unit Price]]-cleaneddata[[#This Row],[Discount]]</f>
        <v>7.09</v>
      </c>
      <c r="Z188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83" spans="1:26" x14ac:dyDescent="0.3">
      <c r="A1883">
        <v>3084</v>
      </c>
      <c r="B1883" t="s">
        <v>2210</v>
      </c>
      <c r="C1883" t="s">
        <v>46</v>
      </c>
      <c r="D1883">
        <v>0.05</v>
      </c>
      <c r="E1883">
        <v>18.97</v>
      </c>
      <c r="F1883">
        <v>9.0299999999999994</v>
      </c>
      <c r="G1883" t="s">
        <v>14</v>
      </c>
      <c r="H1883" t="s">
        <v>3</v>
      </c>
      <c r="I1883" t="s">
        <v>24</v>
      </c>
      <c r="J1883" t="s">
        <v>64</v>
      </c>
      <c r="K1883" t="s">
        <v>49</v>
      </c>
      <c r="L1883" t="s">
        <v>606</v>
      </c>
      <c r="M1883">
        <v>0.37</v>
      </c>
      <c r="N1883" t="s">
        <v>8</v>
      </c>
      <c r="O1883" t="s">
        <v>35</v>
      </c>
      <c r="P1883" t="s">
        <v>42</v>
      </c>
      <c r="Q1883" t="s">
        <v>463</v>
      </c>
      <c r="R1883">
        <v>98503</v>
      </c>
      <c r="S1883" s="1">
        <v>42179</v>
      </c>
      <c r="T1883" s="1">
        <v>42180</v>
      </c>
      <c r="U1883">
        <v>-1.89</v>
      </c>
      <c r="V1883">
        <v>5</v>
      </c>
      <c r="W1883">
        <v>97.33</v>
      </c>
      <c r="X1883">
        <v>89880</v>
      </c>
      <c r="Y1883">
        <f>cleaneddata[[#This Row],[Unit Price]]-cleaneddata[[#This Row],[Discount]]</f>
        <v>18.919999999999998</v>
      </c>
      <c r="Z188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884" spans="1:26" x14ac:dyDescent="0.3">
      <c r="A1884">
        <v>1416</v>
      </c>
      <c r="B1884" t="s">
        <v>2406</v>
      </c>
      <c r="C1884" t="s">
        <v>13</v>
      </c>
      <c r="D1884">
        <v>0.04</v>
      </c>
      <c r="E1884">
        <v>46.89</v>
      </c>
      <c r="F1884">
        <v>5.0999999999999996</v>
      </c>
      <c r="G1884" t="s">
        <v>14</v>
      </c>
      <c r="H1884" t="s">
        <v>3</v>
      </c>
      <c r="I1884" t="s">
        <v>24</v>
      </c>
      <c r="J1884" t="s">
        <v>71</v>
      </c>
      <c r="K1884" t="s">
        <v>120</v>
      </c>
      <c r="L1884" t="s">
        <v>1819</v>
      </c>
      <c r="M1884">
        <v>0.46</v>
      </c>
      <c r="N1884" t="s">
        <v>8</v>
      </c>
      <c r="O1884" t="s">
        <v>28</v>
      </c>
      <c r="P1884" t="s">
        <v>29</v>
      </c>
      <c r="Q1884" t="s">
        <v>1488</v>
      </c>
      <c r="R1884">
        <v>46203</v>
      </c>
      <c r="S1884" s="1">
        <v>42180</v>
      </c>
      <c r="T1884" s="1">
        <v>42182</v>
      </c>
      <c r="U1884">
        <v>87.12</v>
      </c>
      <c r="V1884">
        <v>4</v>
      </c>
      <c r="W1884">
        <v>182.61</v>
      </c>
      <c r="X1884">
        <v>90540</v>
      </c>
      <c r="Y1884">
        <f>cleaneddata[[#This Row],[Unit Price]]-cleaneddata[[#This Row],[Discount]]</f>
        <v>46.85</v>
      </c>
      <c r="Z188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85" spans="1:26" x14ac:dyDescent="0.3">
      <c r="A1885">
        <v>1551</v>
      </c>
      <c r="B1885" t="s">
        <v>2939</v>
      </c>
      <c r="C1885" t="s">
        <v>23</v>
      </c>
      <c r="D1885">
        <v>7.0000000000000007E-2</v>
      </c>
      <c r="E1885">
        <v>17.7</v>
      </c>
      <c r="F1885">
        <v>9.4700000000000006</v>
      </c>
      <c r="G1885" t="s">
        <v>14</v>
      </c>
      <c r="H1885" t="s">
        <v>15</v>
      </c>
      <c r="I1885" t="s">
        <v>24</v>
      </c>
      <c r="J1885" t="s">
        <v>54</v>
      </c>
      <c r="K1885" t="s">
        <v>49</v>
      </c>
      <c r="L1885" t="s">
        <v>1027</v>
      </c>
      <c r="M1885">
        <v>0.59</v>
      </c>
      <c r="N1885" t="s">
        <v>8</v>
      </c>
      <c r="O1885" t="s">
        <v>9</v>
      </c>
      <c r="P1885" t="s">
        <v>10</v>
      </c>
      <c r="Q1885" t="s">
        <v>2940</v>
      </c>
      <c r="R1885">
        <v>39530</v>
      </c>
      <c r="S1885" s="1">
        <v>42180</v>
      </c>
      <c r="T1885" s="1">
        <v>42186</v>
      </c>
      <c r="U1885">
        <v>-243.54400000000001</v>
      </c>
      <c r="V1885">
        <v>18</v>
      </c>
      <c r="W1885">
        <v>300.67</v>
      </c>
      <c r="X1885">
        <v>87488</v>
      </c>
      <c r="Y1885">
        <f>cleaneddata[[#This Row],[Unit Price]]-cleaneddata[[#This Row],[Discount]]</f>
        <v>17.63</v>
      </c>
      <c r="Z188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86" spans="1:26" x14ac:dyDescent="0.3">
      <c r="A1886">
        <v>3128</v>
      </c>
      <c r="B1886" t="s">
        <v>2941</v>
      </c>
      <c r="C1886" t="s">
        <v>23</v>
      </c>
      <c r="D1886">
        <v>0.08</v>
      </c>
      <c r="E1886">
        <v>3.69</v>
      </c>
      <c r="F1886">
        <v>2.5</v>
      </c>
      <c r="G1886" t="s">
        <v>14</v>
      </c>
      <c r="H1886" t="s">
        <v>3</v>
      </c>
      <c r="I1886" t="s">
        <v>24</v>
      </c>
      <c r="J1886" t="s">
        <v>321</v>
      </c>
      <c r="K1886" t="s">
        <v>49</v>
      </c>
      <c r="L1886" t="s">
        <v>2206</v>
      </c>
      <c r="M1886">
        <v>0.39</v>
      </c>
      <c r="N1886" t="s">
        <v>8</v>
      </c>
      <c r="O1886" t="s">
        <v>9</v>
      </c>
      <c r="P1886" t="s">
        <v>144</v>
      </c>
      <c r="Q1886" t="s">
        <v>2942</v>
      </c>
      <c r="R1886">
        <v>71109</v>
      </c>
      <c r="S1886" s="1">
        <v>42180</v>
      </c>
      <c r="T1886" s="1">
        <v>42185</v>
      </c>
      <c r="U1886">
        <v>-139.07599999999999</v>
      </c>
      <c r="V1886">
        <v>9</v>
      </c>
      <c r="W1886">
        <v>31.98</v>
      </c>
      <c r="X1886">
        <v>89810</v>
      </c>
      <c r="Y1886">
        <f>cleaneddata[[#This Row],[Unit Price]]-cleaneddata[[#This Row],[Discount]]</f>
        <v>3.61</v>
      </c>
      <c r="Z1886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87" spans="1:26" x14ac:dyDescent="0.3">
      <c r="A1887">
        <v>3176</v>
      </c>
      <c r="B1887" t="s">
        <v>2385</v>
      </c>
      <c r="C1887" t="s">
        <v>23</v>
      </c>
      <c r="D1887">
        <v>0.02</v>
      </c>
      <c r="E1887">
        <v>58.14</v>
      </c>
      <c r="F1887">
        <v>36.61</v>
      </c>
      <c r="G1887" t="s">
        <v>2</v>
      </c>
      <c r="H1887" t="s">
        <v>15</v>
      </c>
      <c r="I1887" t="s">
        <v>4</v>
      </c>
      <c r="J1887" t="s">
        <v>93</v>
      </c>
      <c r="K1887" t="s">
        <v>6</v>
      </c>
      <c r="L1887" t="s">
        <v>2551</v>
      </c>
      <c r="M1887">
        <v>0.61</v>
      </c>
      <c r="N1887" t="s">
        <v>8</v>
      </c>
      <c r="O1887" t="s">
        <v>9</v>
      </c>
      <c r="P1887" t="s">
        <v>99</v>
      </c>
      <c r="Q1887" t="s">
        <v>2387</v>
      </c>
      <c r="R1887">
        <v>32216</v>
      </c>
      <c r="S1887" s="1">
        <v>42180</v>
      </c>
      <c r="T1887" s="1">
        <v>42186</v>
      </c>
      <c r="U1887">
        <v>0.25800000000000001</v>
      </c>
      <c r="V1887">
        <v>22</v>
      </c>
      <c r="W1887">
        <v>1358.02</v>
      </c>
      <c r="X1887">
        <v>90821</v>
      </c>
      <c r="Y1887">
        <f>cleaneddata[[#This Row],[Unit Price]]-cleaneddata[[#This Row],[Discount]]</f>
        <v>58.12</v>
      </c>
      <c r="Z188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88" spans="1:26" x14ac:dyDescent="0.3">
      <c r="A1888">
        <v>3176</v>
      </c>
      <c r="B1888" t="s">
        <v>2385</v>
      </c>
      <c r="C1888" t="s">
        <v>23</v>
      </c>
      <c r="D1888">
        <v>0.03</v>
      </c>
      <c r="E1888">
        <v>15.57</v>
      </c>
      <c r="F1888">
        <v>1.39</v>
      </c>
      <c r="G1888" t="s">
        <v>14</v>
      </c>
      <c r="H1888" t="s">
        <v>15</v>
      </c>
      <c r="I1888" t="s">
        <v>24</v>
      </c>
      <c r="J1888" t="s">
        <v>321</v>
      </c>
      <c r="K1888" t="s">
        <v>49</v>
      </c>
      <c r="L1888" t="s">
        <v>2316</v>
      </c>
      <c r="M1888">
        <v>0.38</v>
      </c>
      <c r="N1888" t="s">
        <v>8</v>
      </c>
      <c r="O1888" t="s">
        <v>9</v>
      </c>
      <c r="P1888" t="s">
        <v>99</v>
      </c>
      <c r="Q1888" t="s">
        <v>2387</v>
      </c>
      <c r="R1888">
        <v>32216</v>
      </c>
      <c r="S1888" s="1">
        <v>42180</v>
      </c>
      <c r="T1888" s="1">
        <v>42186</v>
      </c>
      <c r="U1888">
        <v>63.222000000000001</v>
      </c>
      <c r="V1888">
        <v>22</v>
      </c>
      <c r="W1888">
        <v>358.84</v>
      </c>
      <c r="X1888">
        <v>90821</v>
      </c>
      <c r="Y1888">
        <f>cleaneddata[[#This Row],[Unit Price]]-cleaneddata[[#This Row],[Discount]]</f>
        <v>15.540000000000001</v>
      </c>
      <c r="Z1888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89" spans="1:26" x14ac:dyDescent="0.3">
      <c r="A1889">
        <v>447</v>
      </c>
      <c r="B1889" t="s">
        <v>2943</v>
      </c>
      <c r="C1889" t="s">
        <v>46</v>
      </c>
      <c r="D1889">
        <v>0.04</v>
      </c>
      <c r="E1889">
        <v>130.97999999999999</v>
      </c>
      <c r="F1889">
        <v>30</v>
      </c>
      <c r="G1889" t="s">
        <v>2</v>
      </c>
      <c r="H1889" t="s">
        <v>70</v>
      </c>
      <c r="I1889" t="s">
        <v>4</v>
      </c>
      <c r="J1889" t="s">
        <v>85</v>
      </c>
      <c r="K1889" t="s">
        <v>33</v>
      </c>
      <c r="L1889" t="s">
        <v>2175</v>
      </c>
      <c r="M1889">
        <v>0.78</v>
      </c>
      <c r="N1889" t="s">
        <v>8</v>
      </c>
      <c r="O1889" t="s">
        <v>28</v>
      </c>
      <c r="P1889" t="s">
        <v>60</v>
      </c>
      <c r="Q1889" t="s">
        <v>1625</v>
      </c>
      <c r="R1889">
        <v>55113</v>
      </c>
      <c r="S1889" s="1">
        <v>42180</v>
      </c>
      <c r="T1889" s="1">
        <v>42183</v>
      </c>
      <c r="U1889">
        <v>-82.903999999999996</v>
      </c>
      <c r="V1889">
        <v>1</v>
      </c>
      <c r="W1889">
        <v>159.51</v>
      </c>
      <c r="X1889">
        <v>90449</v>
      </c>
      <c r="Y1889">
        <f>cleaneddata[[#This Row],[Unit Price]]-cleaneddata[[#This Row],[Discount]]</f>
        <v>130.94</v>
      </c>
      <c r="Z1889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90" spans="1:26" x14ac:dyDescent="0.3">
      <c r="A1890">
        <v>447</v>
      </c>
      <c r="B1890" t="s">
        <v>2943</v>
      </c>
      <c r="C1890" t="s">
        <v>46</v>
      </c>
      <c r="D1890">
        <v>0.05</v>
      </c>
      <c r="E1890">
        <v>200.99</v>
      </c>
      <c r="F1890">
        <v>4.2</v>
      </c>
      <c r="G1890" t="s">
        <v>14</v>
      </c>
      <c r="H1890" t="s">
        <v>70</v>
      </c>
      <c r="I1890" t="s">
        <v>16</v>
      </c>
      <c r="J1890" t="s">
        <v>111</v>
      </c>
      <c r="K1890" t="s">
        <v>49</v>
      </c>
      <c r="L1890" t="s">
        <v>770</v>
      </c>
      <c r="M1890">
        <v>0.59</v>
      </c>
      <c r="N1890" t="s">
        <v>8</v>
      </c>
      <c r="O1890" t="s">
        <v>28</v>
      </c>
      <c r="P1890" t="s">
        <v>60</v>
      </c>
      <c r="Q1890" t="s">
        <v>1625</v>
      </c>
      <c r="R1890">
        <v>55113</v>
      </c>
      <c r="S1890" s="1">
        <v>42180</v>
      </c>
      <c r="T1890" s="1">
        <v>42180</v>
      </c>
      <c r="U1890">
        <v>1268.8064999999999</v>
      </c>
      <c r="V1890">
        <v>11</v>
      </c>
      <c r="W1890">
        <v>1838.85</v>
      </c>
      <c r="X1890">
        <v>90449</v>
      </c>
      <c r="Y1890">
        <f>cleaneddata[[#This Row],[Unit Price]]-cleaneddata[[#This Row],[Discount]]</f>
        <v>200.94</v>
      </c>
      <c r="Z1890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91" spans="1:26" x14ac:dyDescent="0.3">
      <c r="A1891">
        <v>1419</v>
      </c>
      <c r="B1891" t="s">
        <v>2944</v>
      </c>
      <c r="C1891" t="s">
        <v>46</v>
      </c>
      <c r="D1891">
        <v>0.01</v>
      </c>
      <c r="E1891">
        <v>124.49</v>
      </c>
      <c r="F1891">
        <v>51.94</v>
      </c>
      <c r="G1891" t="s">
        <v>2</v>
      </c>
      <c r="H1891" t="s">
        <v>3</v>
      </c>
      <c r="I1891" t="s">
        <v>4</v>
      </c>
      <c r="J1891" t="s">
        <v>5</v>
      </c>
      <c r="K1891" t="s">
        <v>6</v>
      </c>
      <c r="L1891" t="s">
        <v>1125</v>
      </c>
      <c r="M1891">
        <v>0.63</v>
      </c>
      <c r="N1891" t="s">
        <v>8</v>
      </c>
      <c r="O1891" t="s">
        <v>28</v>
      </c>
      <c r="P1891" t="s">
        <v>29</v>
      </c>
      <c r="Q1891" t="s">
        <v>2005</v>
      </c>
      <c r="R1891">
        <v>47905</v>
      </c>
      <c r="S1891" s="1">
        <v>42180</v>
      </c>
      <c r="T1891" s="1">
        <v>42181</v>
      </c>
      <c r="U1891">
        <v>-94.674644999999998</v>
      </c>
      <c r="V1891">
        <v>18</v>
      </c>
      <c r="W1891">
        <v>2376.12</v>
      </c>
      <c r="X1891">
        <v>90540</v>
      </c>
      <c r="Y1891">
        <f>cleaneddata[[#This Row],[Unit Price]]-cleaneddata[[#This Row],[Discount]]</f>
        <v>124.47999999999999</v>
      </c>
      <c r="Z189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92" spans="1:26" x14ac:dyDescent="0.3">
      <c r="A1892">
        <v>1442</v>
      </c>
      <c r="B1892" t="s">
        <v>853</v>
      </c>
      <c r="C1892" t="s">
        <v>46</v>
      </c>
      <c r="D1892">
        <v>0.04</v>
      </c>
      <c r="E1892">
        <v>177.98</v>
      </c>
      <c r="F1892">
        <v>0.99</v>
      </c>
      <c r="G1892" t="s">
        <v>14</v>
      </c>
      <c r="H1892" t="s">
        <v>70</v>
      </c>
      <c r="I1892" t="s">
        <v>24</v>
      </c>
      <c r="J1892" t="s">
        <v>71</v>
      </c>
      <c r="K1892" t="s">
        <v>49</v>
      </c>
      <c r="L1892" t="s">
        <v>2829</v>
      </c>
      <c r="M1892">
        <v>0.56000000000000005</v>
      </c>
      <c r="N1892" t="s">
        <v>8</v>
      </c>
      <c r="O1892" t="s">
        <v>28</v>
      </c>
      <c r="P1892" t="s">
        <v>56</v>
      </c>
      <c r="Q1892" t="s">
        <v>854</v>
      </c>
      <c r="R1892">
        <v>65807</v>
      </c>
      <c r="S1892" s="1">
        <v>42180</v>
      </c>
      <c r="T1892" s="1">
        <v>42182</v>
      </c>
      <c r="U1892">
        <v>1909.8855000000001</v>
      </c>
      <c r="V1892">
        <v>15</v>
      </c>
      <c r="W1892">
        <v>2767.95</v>
      </c>
      <c r="X1892">
        <v>89076</v>
      </c>
      <c r="Y1892">
        <f>cleaneddata[[#This Row],[Unit Price]]-cleaneddata[[#This Row],[Discount]]</f>
        <v>177.94</v>
      </c>
      <c r="Z189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93" spans="1:26" x14ac:dyDescent="0.3">
      <c r="A1893">
        <v>2903</v>
      </c>
      <c r="B1893" t="s">
        <v>2945</v>
      </c>
      <c r="C1893" t="s">
        <v>46</v>
      </c>
      <c r="D1893">
        <v>0.06</v>
      </c>
      <c r="E1893">
        <v>70.89</v>
      </c>
      <c r="F1893">
        <v>89.3</v>
      </c>
      <c r="G1893" t="s">
        <v>2</v>
      </c>
      <c r="H1893" t="s">
        <v>3</v>
      </c>
      <c r="I1893" t="s">
        <v>4</v>
      </c>
      <c r="J1893" t="s">
        <v>5</v>
      </c>
      <c r="K1893" t="s">
        <v>6</v>
      </c>
      <c r="L1893" t="s">
        <v>2946</v>
      </c>
      <c r="M1893">
        <v>0.72</v>
      </c>
      <c r="N1893" t="s">
        <v>8</v>
      </c>
      <c r="O1893" t="s">
        <v>87</v>
      </c>
      <c r="P1893" t="s">
        <v>293</v>
      </c>
      <c r="Q1893" t="s">
        <v>2947</v>
      </c>
      <c r="R1893">
        <v>43068</v>
      </c>
      <c r="S1893" s="1">
        <v>42180</v>
      </c>
      <c r="T1893" s="1">
        <v>42180</v>
      </c>
      <c r="U1893">
        <v>65.077020000000005</v>
      </c>
      <c r="V1893">
        <v>6</v>
      </c>
      <c r="W1893">
        <v>364.26</v>
      </c>
      <c r="X1893">
        <v>87374</v>
      </c>
      <c r="Y1893">
        <f>cleaneddata[[#This Row],[Unit Price]]-cleaneddata[[#This Row],[Discount]]</f>
        <v>70.83</v>
      </c>
      <c r="Z1893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94" spans="1:26" x14ac:dyDescent="0.3">
      <c r="A1894">
        <v>3261</v>
      </c>
      <c r="B1894" t="s">
        <v>2948</v>
      </c>
      <c r="C1894" t="s">
        <v>46</v>
      </c>
      <c r="D1894">
        <v>7.0000000000000007E-2</v>
      </c>
      <c r="E1894">
        <v>105.34</v>
      </c>
      <c r="F1894">
        <v>24.49</v>
      </c>
      <c r="G1894" t="s">
        <v>63</v>
      </c>
      <c r="H1894" t="s">
        <v>15</v>
      </c>
      <c r="I1894" t="s">
        <v>4</v>
      </c>
      <c r="J1894" t="s">
        <v>102</v>
      </c>
      <c r="K1894" t="s">
        <v>40</v>
      </c>
      <c r="L1894" t="s">
        <v>657</v>
      </c>
      <c r="M1894">
        <v>0.61</v>
      </c>
      <c r="N1894" t="s">
        <v>8</v>
      </c>
      <c r="O1894" t="s">
        <v>28</v>
      </c>
      <c r="P1894" t="s">
        <v>265</v>
      </c>
      <c r="Q1894" t="s">
        <v>2949</v>
      </c>
      <c r="R1894">
        <v>49221</v>
      </c>
      <c r="S1894" s="1">
        <v>42180</v>
      </c>
      <c r="T1894" s="1">
        <v>42181</v>
      </c>
      <c r="U1894">
        <v>710.67240000000004</v>
      </c>
      <c r="V1894">
        <v>10</v>
      </c>
      <c r="W1894">
        <v>1029.96</v>
      </c>
      <c r="X1894">
        <v>90296</v>
      </c>
      <c r="Y1894">
        <f>cleaneddata[[#This Row],[Unit Price]]-cleaneddata[[#This Row],[Discount]]</f>
        <v>105.27000000000001</v>
      </c>
      <c r="Z189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95" spans="1:26" x14ac:dyDescent="0.3">
      <c r="A1895">
        <v>2197</v>
      </c>
      <c r="B1895" t="s">
        <v>2950</v>
      </c>
      <c r="C1895" t="s">
        <v>1</v>
      </c>
      <c r="D1895">
        <v>0.08</v>
      </c>
      <c r="E1895">
        <v>100.97</v>
      </c>
      <c r="F1895">
        <v>7.18</v>
      </c>
      <c r="G1895" t="s">
        <v>14</v>
      </c>
      <c r="H1895" t="s">
        <v>3</v>
      </c>
      <c r="I1895" t="s">
        <v>16</v>
      </c>
      <c r="J1895" t="s">
        <v>17</v>
      </c>
      <c r="K1895" t="s">
        <v>49</v>
      </c>
      <c r="L1895" t="s">
        <v>2777</v>
      </c>
      <c r="M1895">
        <v>0.46</v>
      </c>
      <c r="N1895" t="s">
        <v>8</v>
      </c>
      <c r="O1895" t="s">
        <v>87</v>
      </c>
      <c r="P1895" t="s">
        <v>88</v>
      </c>
      <c r="Q1895" t="s">
        <v>1832</v>
      </c>
      <c r="R1895">
        <v>11756</v>
      </c>
      <c r="S1895" s="1">
        <v>42181</v>
      </c>
      <c r="T1895" s="1">
        <v>42182</v>
      </c>
      <c r="U1895">
        <v>126.22499999999999</v>
      </c>
      <c r="V1895">
        <v>7</v>
      </c>
      <c r="W1895">
        <v>650.25</v>
      </c>
      <c r="X1895">
        <v>89176</v>
      </c>
      <c r="Y1895">
        <f>cleaneddata[[#This Row],[Unit Price]]-cleaneddata[[#This Row],[Discount]]</f>
        <v>100.89</v>
      </c>
      <c r="Z1895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96" spans="1:26" x14ac:dyDescent="0.3">
      <c r="A1896">
        <v>2197</v>
      </c>
      <c r="B1896" t="s">
        <v>2950</v>
      </c>
      <c r="C1896" t="s">
        <v>1</v>
      </c>
      <c r="D1896">
        <v>0</v>
      </c>
      <c r="E1896">
        <v>13.4</v>
      </c>
      <c r="F1896">
        <v>4.95</v>
      </c>
      <c r="G1896" t="s">
        <v>14</v>
      </c>
      <c r="H1896" t="s">
        <v>3</v>
      </c>
      <c r="I1896" t="s">
        <v>4</v>
      </c>
      <c r="J1896" t="s">
        <v>102</v>
      </c>
      <c r="K1896" t="s">
        <v>18</v>
      </c>
      <c r="L1896" t="s">
        <v>1181</v>
      </c>
      <c r="M1896">
        <v>0.37</v>
      </c>
      <c r="N1896" t="s">
        <v>8</v>
      </c>
      <c r="O1896" t="s">
        <v>87</v>
      </c>
      <c r="P1896" t="s">
        <v>88</v>
      </c>
      <c r="Q1896" t="s">
        <v>1832</v>
      </c>
      <c r="R1896">
        <v>11756</v>
      </c>
      <c r="S1896" s="1">
        <v>42181</v>
      </c>
      <c r="T1896" s="1">
        <v>42182</v>
      </c>
      <c r="U1896">
        <v>187.7628</v>
      </c>
      <c r="V1896">
        <v>19</v>
      </c>
      <c r="W1896">
        <v>272.12</v>
      </c>
      <c r="X1896">
        <v>89176</v>
      </c>
      <c r="Y1896">
        <f>cleaneddata[[#This Row],[Unit Price]]-cleaneddata[[#This Row],[Discount]]</f>
        <v>13.4</v>
      </c>
      <c r="Z189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897" spans="1:26" x14ac:dyDescent="0.3">
      <c r="A1897">
        <v>2062</v>
      </c>
      <c r="B1897" t="s">
        <v>842</v>
      </c>
      <c r="C1897" t="s">
        <v>23</v>
      </c>
      <c r="D1897">
        <v>0.04</v>
      </c>
      <c r="E1897">
        <v>291.73</v>
      </c>
      <c r="F1897">
        <v>48.8</v>
      </c>
      <c r="G1897" t="s">
        <v>2</v>
      </c>
      <c r="H1897" t="s">
        <v>70</v>
      </c>
      <c r="I1897" t="s">
        <v>4</v>
      </c>
      <c r="J1897" t="s">
        <v>85</v>
      </c>
      <c r="K1897" t="s">
        <v>33</v>
      </c>
      <c r="L1897" t="s">
        <v>86</v>
      </c>
      <c r="M1897">
        <v>0.56000000000000005</v>
      </c>
      <c r="N1897" t="s">
        <v>8</v>
      </c>
      <c r="O1897" t="s">
        <v>9</v>
      </c>
      <c r="P1897" t="s">
        <v>218</v>
      </c>
      <c r="Q1897" t="s">
        <v>844</v>
      </c>
      <c r="R1897">
        <v>23111</v>
      </c>
      <c r="S1897" s="1">
        <v>42181</v>
      </c>
      <c r="T1897" s="1">
        <v>42185</v>
      </c>
      <c r="U1897">
        <v>-115.90389999999999</v>
      </c>
      <c r="V1897">
        <v>22</v>
      </c>
      <c r="W1897">
        <v>6676.61</v>
      </c>
      <c r="X1897">
        <v>87148</v>
      </c>
      <c r="Y1897">
        <f>cleaneddata[[#This Row],[Unit Price]]-cleaneddata[[#This Row],[Discount]]</f>
        <v>291.69</v>
      </c>
      <c r="Z1897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898" spans="1:26" x14ac:dyDescent="0.3">
      <c r="A1898">
        <v>2587</v>
      </c>
      <c r="B1898" t="s">
        <v>1403</v>
      </c>
      <c r="C1898" t="s">
        <v>46</v>
      </c>
      <c r="D1898">
        <v>0.02</v>
      </c>
      <c r="E1898">
        <v>22.72</v>
      </c>
      <c r="F1898">
        <v>8.99</v>
      </c>
      <c r="G1898" t="s">
        <v>14</v>
      </c>
      <c r="H1898" t="s">
        <v>47</v>
      </c>
      <c r="I1898" t="s">
        <v>4</v>
      </c>
      <c r="J1898" t="s">
        <v>102</v>
      </c>
      <c r="K1898" t="s">
        <v>18</v>
      </c>
      <c r="L1898" t="s">
        <v>304</v>
      </c>
      <c r="M1898">
        <v>0.44</v>
      </c>
      <c r="N1898" t="s">
        <v>8</v>
      </c>
      <c r="O1898" t="s">
        <v>28</v>
      </c>
      <c r="P1898" t="s">
        <v>333</v>
      </c>
      <c r="Q1898" t="s">
        <v>1405</v>
      </c>
      <c r="R1898">
        <v>54220</v>
      </c>
      <c r="S1898" s="1">
        <v>42181</v>
      </c>
      <c r="T1898" s="1">
        <v>42181</v>
      </c>
      <c r="U1898">
        <v>200.0172</v>
      </c>
      <c r="V1898">
        <v>12</v>
      </c>
      <c r="W1898">
        <v>289.88</v>
      </c>
      <c r="X1898">
        <v>91167</v>
      </c>
      <c r="Y1898">
        <f>cleaneddata[[#This Row],[Unit Price]]-cleaneddata[[#This Row],[Discount]]</f>
        <v>22.7</v>
      </c>
      <c r="Z1898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899" spans="1:26" x14ac:dyDescent="0.3">
      <c r="A1899">
        <v>1380</v>
      </c>
      <c r="B1899" t="s">
        <v>2951</v>
      </c>
      <c r="C1899" t="s">
        <v>23</v>
      </c>
      <c r="D1899">
        <v>0.05</v>
      </c>
      <c r="E1899">
        <v>2.89</v>
      </c>
      <c r="F1899">
        <v>0.5</v>
      </c>
      <c r="G1899" t="s">
        <v>14</v>
      </c>
      <c r="H1899" t="s">
        <v>47</v>
      </c>
      <c r="I1899" t="s">
        <v>24</v>
      </c>
      <c r="J1899" t="s">
        <v>128</v>
      </c>
      <c r="K1899" t="s">
        <v>49</v>
      </c>
      <c r="L1899" t="s">
        <v>705</v>
      </c>
      <c r="M1899">
        <v>0.38</v>
      </c>
      <c r="N1899" t="s">
        <v>8</v>
      </c>
      <c r="O1899" t="s">
        <v>87</v>
      </c>
      <c r="P1899" t="s">
        <v>1332</v>
      </c>
      <c r="Q1899" t="s">
        <v>1853</v>
      </c>
      <c r="R1899">
        <v>3801</v>
      </c>
      <c r="S1899" s="1">
        <v>42182</v>
      </c>
      <c r="T1899" s="1">
        <v>42188</v>
      </c>
      <c r="U1899">
        <v>18.0642</v>
      </c>
      <c r="V1899">
        <v>9</v>
      </c>
      <c r="W1899">
        <v>26.18</v>
      </c>
      <c r="X1899">
        <v>88213</v>
      </c>
      <c r="Y1899">
        <f>cleaneddata[[#This Row],[Unit Price]]-cleaneddata[[#This Row],[Discount]]</f>
        <v>2.8400000000000003</v>
      </c>
      <c r="Z189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00" spans="1:26" x14ac:dyDescent="0.3">
      <c r="A1900">
        <v>936</v>
      </c>
      <c r="B1900" t="s">
        <v>1203</v>
      </c>
      <c r="C1900" t="s">
        <v>46</v>
      </c>
      <c r="D1900">
        <v>0.05</v>
      </c>
      <c r="E1900">
        <v>5.98</v>
      </c>
      <c r="F1900">
        <v>5.46</v>
      </c>
      <c r="G1900" t="s">
        <v>14</v>
      </c>
      <c r="H1900" t="s">
        <v>70</v>
      </c>
      <c r="I1900" t="s">
        <v>24</v>
      </c>
      <c r="J1900" t="s">
        <v>64</v>
      </c>
      <c r="K1900" t="s">
        <v>49</v>
      </c>
      <c r="L1900" t="s">
        <v>1132</v>
      </c>
      <c r="M1900">
        <v>0.36</v>
      </c>
      <c r="N1900" t="s">
        <v>8</v>
      </c>
      <c r="O1900" t="s">
        <v>35</v>
      </c>
      <c r="P1900" t="s">
        <v>66</v>
      </c>
      <c r="Q1900" t="s">
        <v>1205</v>
      </c>
      <c r="R1900">
        <v>92374</v>
      </c>
      <c r="S1900" s="1">
        <v>42182</v>
      </c>
      <c r="T1900" s="1">
        <v>42182</v>
      </c>
      <c r="U1900">
        <v>-31.885000000000002</v>
      </c>
      <c r="V1900">
        <v>17</v>
      </c>
      <c r="W1900">
        <v>104.95</v>
      </c>
      <c r="X1900">
        <v>90589</v>
      </c>
      <c r="Y1900">
        <f>cleaneddata[[#This Row],[Unit Price]]-cleaneddata[[#This Row],[Discount]]</f>
        <v>5.9300000000000006</v>
      </c>
      <c r="Z1900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01" spans="1:26" x14ac:dyDescent="0.3">
      <c r="A1901">
        <v>937</v>
      </c>
      <c r="B1901" t="s">
        <v>2952</v>
      </c>
      <c r="C1901" t="s">
        <v>46</v>
      </c>
      <c r="D1901">
        <v>0.01</v>
      </c>
      <c r="E1901">
        <v>65.989999999999995</v>
      </c>
      <c r="F1901">
        <v>3.99</v>
      </c>
      <c r="G1901" t="s">
        <v>14</v>
      </c>
      <c r="H1901" t="s">
        <v>70</v>
      </c>
      <c r="I1901" t="s">
        <v>16</v>
      </c>
      <c r="J1901" t="s">
        <v>111</v>
      </c>
      <c r="K1901" t="s">
        <v>49</v>
      </c>
      <c r="L1901" t="s">
        <v>1610</v>
      </c>
      <c r="M1901">
        <v>0.59</v>
      </c>
      <c r="N1901" t="s">
        <v>8</v>
      </c>
      <c r="O1901" t="s">
        <v>35</v>
      </c>
      <c r="P1901" t="s">
        <v>66</v>
      </c>
      <c r="Q1901" t="s">
        <v>935</v>
      </c>
      <c r="R1901">
        <v>90278</v>
      </c>
      <c r="S1901" s="1">
        <v>42182</v>
      </c>
      <c r="T1901" s="1">
        <v>42183</v>
      </c>
      <c r="U1901">
        <v>-95.210499999999996</v>
      </c>
      <c r="V1901">
        <v>3</v>
      </c>
      <c r="W1901">
        <v>166.59</v>
      </c>
      <c r="X1901">
        <v>90589</v>
      </c>
      <c r="Y1901">
        <f>cleaneddata[[#This Row],[Unit Price]]-cleaneddata[[#This Row],[Discount]]</f>
        <v>65.97999999999999</v>
      </c>
      <c r="Z1901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02" spans="1:26" x14ac:dyDescent="0.3">
      <c r="A1902">
        <v>2617</v>
      </c>
      <c r="B1902" t="s">
        <v>2953</v>
      </c>
      <c r="C1902" t="s">
        <v>46</v>
      </c>
      <c r="D1902">
        <v>0.1</v>
      </c>
      <c r="E1902">
        <v>3.25</v>
      </c>
      <c r="F1902">
        <v>49</v>
      </c>
      <c r="G1902" t="s">
        <v>14</v>
      </c>
      <c r="H1902" t="s">
        <v>70</v>
      </c>
      <c r="I1902" t="s">
        <v>24</v>
      </c>
      <c r="J1902" t="s">
        <v>71</v>
      </c>
      <c r="K1902" t="s">
        <v>40</v>
      </c>
      <c r="L1902" t="s">
        <v>2695</v>
      </c>
      <c r="M1902">
        <v>0.56000000000000005</v>
      </c>
      <c r="N1902" t="s">
        <v>8</v>
      </c>
      <c r="O1902" t="s">
        <v>28</v>
      </c>
      <c r="P1902" t="s">
        <v>1047</v>
      </c>
      <c r="Q1902" t="s">
        <v>2954</v>
      </c>
      <c r="R1902">
        <v>57401</v>
      </c>
      <c r="S1902" s="1">
        <v>42182</v>
      </c>
      <c r="T1902" s="1">
        <v>42183</v>
      </c>
      <c r="U1902">
        <v>-286.245</v>
      </c>
      <c r="V1902">
        <v>6</v>
      </c>
      <c r="W1902">
        <v>40.69</v>
      </c>
      <c r="X1902">
        <v>91496</v>
      </c>
      <c r="Y1902">
        <f>cleaneddata[[#This Row],[Unit Price]]-cleaneddata[[#This Row],[Discount]]</f>
        <v>3.15</v>
      </c>
      <c r="Z1902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03" spans="1:26" x14ac:dyDescent="0.3">
      <c r="A1903">
        <v>2987</v>
      </c>
      <c r="B1903" t="s">
        <v>2955</v>
      </c>
      <c r="C1903" t="s">
        <v>1</v>
      </c>
      <c r="D1903">
        <v>0.09</v>
      </c>
      <c r="E1903">
        <v>100.98</v>
      </c>
      <c r="F1903">
        <v>35.840000000000003</v>
      </c>
      <c r="G1903" t="s">
        <v>2</v>
      </c>
      <c r="H1903" t="s">
        <v>47</v>
      </c>
      <c r="I1903" t="s">
        <v>4</v>
      </c>
      <c r="J1903" t="s">
        <v>93</v>
      </c>
      <c r="K1903" t="s">
        <v>6</v>
      </c>
      <c r="L1903" t="s">
        <v>94</v>
      </c>
      <c r="M1903">
        <v>0.62</v>
      </c>
      <c r="N1903" t="s">
        <v>8</v>
      </c>
      <c r="O1903" t="s">
        <v>28</v>
      </c>
      <c r="P1903" t="s">
        <v>189</v>
      </c>
      <c r="Q1903" t="s">
        <v>2956</v>
      </c>
      <c r="R1903">
        <v>50265</v>
      </c>
      <c r="S1903" s="1">
        <v>42183</v>
      </c>
      <c r="T1903" s="1">
        <v>42183</v>
      </c>
      <c r="U1903">
        <v>-103.624</v>
      </c>
      <c r="V1903">
        <v>17</v>
      </c>
      <c r="W1903">
        <v>1700.38</v>
      </c>
      <c r="X1903">
        <v>91180</v>
      </c>
      <c r="Y1903">
        <f>cleaneddata[[#This Row],[Unit Price]]-cleaneddata[[#This Row],[Discount]]</f>
        <v>100.89</v>
      </c>
      <c r="Z1903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04" spans="1:26" x14ac:dyDescent="0.3">
      <c r="A1904">
        <v>2987</v>
      </c>
      <c r="B1904" t="s">
        <v>2955</v>
      </c>
      <c r="C1904" t="s">
        <v>1</v>
      </c>
      <c r="D1904">
        <v>0.1</v>
      </c>
      <c r="E1904">
        <v>5.78</v>
      </c>
      <c r="F1904">
        <v>7.96</v>
      </c>
      <c r="G1904" t="s">
        <v>14</v>
      </c>
      <c r="H1904" t="s">
        <v>47</v>
      </c>
      <c r="I1904" t="s">
        <v>24</v>
      </c>
      <c r="J1904" t="s">
        <v>64</v>
      </c>
      <c r="K1904" t="s">
        <v>49</v>
      </c>
      <c r="L1904" t="s">
        <v>2957</v>
      </c>
      <c r="M1904">
        <v>0.36</v>
      </c>
      <c r="N1904" t="s">
        <v>8</v>
      </c>
      <c r="O1904" t="s">
        <v>28</v>
      </c>
      <c r="P1904" t="s">
        <v>189</v>
      </c>
      <c r="Q1904" t="s">
        <v>2956</v>
      </c>
      <c r="R1904">
        <v>50265</v>
      </c>
      <c r="S1904" s="1">
        <v>42183</v>
      </c>
      <c r="T1904" s="1">
        <v>42183</v>
      </c>
      <c r="U1904">
        <v>-57.823999999999998</v>
      </c>
      <c r="V1904">
        <v>6</v>
      </c>
      <c r="W1904">
        <v>35.96</v>
      </c>
      <c r="X1904">
        <v>91180</v>
      </c>
      <c r="Y1904">
        <f>cleaneddata[[#This Row],[Unit Price]]-cleaneddata[[#This Row],[Discount]]</f>
        <v>5.6800000000000006</v>
      </c>
      <c r="Z1904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05" spans="1:26" x14ac:dyDescent="0.3">
      <c r="A1905">
        <v>3209</v>
      </c>
      <c r="B1905" t="s">
        <v>2958</v>
      </c>
      <c r="C1905" t="s">
        <v>1</v>
      </c>
      <c r="D1905">
        <v>0.03</v>
      </c>
      <c r="E1905">
        <v>4.9800000000000004</v>
      </c>
      <c r="F1905">
        <v>4.62</v>
      </c>
      <c r="G1905" t="s">
        <v>63</v>
      </c>
      <c r="H1905" t="s">
        <v>70</v>
      </c>
      <c r="I1905" t="s">
        <v>16</v>
      </c>
      <c r="J1905" t="s">
        <v>17</v>
      </c>
      <c r="K1905" t="s">
        <v>18</v>
      </c>
      <c r="L1905" t="s">
        <v>1197</v>
      </c>
      <c r="M1905">
        <v>0.64</v>
      </c>
      <c r="N1905" t="s">
        <v>8</v>
      </c>
      <c r="O1905" t="s">
        <v>35</v>
      </c>
      <c r="P1905" t="s">
        <v>66</v>
      </c>
      <c r="Q1905" t="s">
        <v>2959</v>
      </c>
      <c r="R1905">
        <v>90210</v>
      </c>
      <c r="S1905" s="1">
        <v>42183</v>
      </c>
      <c r="T1905" s="1">
        <v>42184</v>
      </c>
      <c r="U1905">
        <v>-30.45</v>
      </c>
      <c r="V1905">
        <v>8</v>
      </c>
      <c r="W1905">
        <v>44.24</v>
      </c>
      <c r="X1905">
        <v>90739</v>
      </c>
      <c r="Y1905">
        <f>cleaneddata[[#This Row],[Unit Price]]-cleaneddata[[#This Row],[Discount]]</f>
        <v>4.95</v>
      </c>
      <c r="Z190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06" spans="1:26" x14ac:dyDescent="0.3">
      <c r="A1906">
        <v>1357</v>
      </c>
      <c r="B1906" t="s">
        <v>2726</v>
      </c>
      <c r="C1906" t="s">
        <v>13</v>
      </c>
      <c r="D1906">
        <v>7.0000000000000007E-2</v>
      </c>
      <c r="E1906">
        <v>119.99</v>
      </c>
      <c r="F1906">
        <v>16.8</v>
      </c>
      <c r="G1906" t="s">
        <v>2</v>
      </c>
      <c r="H1906" t="s">
        <v>47</v>
      </c>
      <c r="I1906" t="s">
        <v>16</v>
      </c>
      <c r="J1906" t="s">
        <v>32</v>
      </c>
      <c r="K1906" t="s">
        <v>6</v>
      </c>
      <c r="L1906" t="s">
        <v>2960</v>
      </c>
      <c r="M1906">
        <v>0.35</v>
      </c>
      <c r="N1906" t="s">
        <v>8</v>
      </c>
      <c r="O1906" t="s">
        <v>28</v>
      </c>
      <c r="P1906" t="s">
        <v>163</v>
      </c>
      <c r="Q1906" t="s">
        <v>2727</v>
      </c>
      <c r="R1906">
        <v>78596</v>
      </c>
      <c r="S1906" s="1">
        <v>42183</v>
      </c>
      <c r="T1906" s="1">
        <v>42185</v>
      </c>
      <c r="U1906">
        <v>1206.5961</v>
      </c>
      <c r="V1906">
        <v>15</v>
      </c>
      <c r="W1906">
        <v>1748.69</v>
      </c>
      <c r="X1906">
        <v>88185</v>
      </c>
      <c r="Y1906">
        <f>cleaneddata[[#This Row],[Unit Price]]-cleaneddata[[#This Row],[Discount]]</f>
        <v>119.92</v>
      </c>
      <c r="Z1906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07" spans="1:26" x14ac:dyDescent="0.3">
      <c r="A1907">
        <v>1733</v>
      </c>
      <c r="B1907" t="s">
        <v>1977</v>
      </c>
      <c r="C1907" t="s">
        <v>13</v>
      </c>
      <c r="D1907">
        <v>0.02</v>
      </c>
      <c r="E1907">
        <v>30.98</v>
      </c>
      <c r="F1907">
        <v>17.079999999999998</v>
      </c>
      <c r="G1907" t="s">
        <v>14</v>
      </c>
      <c r="H1907" t="s">
        <v>3</v>
      </c>
      <c r="I1907" t="s">
        <v>24</v>
      </c>
      <c r="J1907" t="s">
        <v>64</v>
      </c>
      <c r="K1907" t="s">
        <v>49</v>
      </c>
      <c r="L1907" t="s">
        <v>2961</v>
      </c>
      <c r="M1907">
        <v>0.4</v>
      </c>
      <c r="N1907" t="s">
        <v>8</v>
      </c>
      <c r="O1907" t="s">
        <v>87</v>
      </c>
      <c r="P1907" t="s">
        <v>350</v>
      </c>
      <c r="Q1907" t="s">
        <v>42</v>
      </c>
      <c r="R1907">
        <v>20012</v>
      </c>
      <c r="S1907" s="1">
        <v>42183</v>
      </c>
      <c r="T1907" s="1">
        <v>42184</v>
      </c>
      <c r="U1907">
        <v>-32.28</v>
      </c>
      <c r="V1907">
        <v>13</v>
      </c>
      <c r="W1907">
        <v>438.25</v>
      </c>
      <c r="X1907">
        <v>59937</v>
      </c>
      <c r="Y1907">
        <f>cleaneddata[[#This Row],[Unit Price]]-cleaneddata[[#This Row],[Discount]]</f>
        <v>30.96</v>
      </c>
      <c r="Z190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08" spans="1:26" x14ac:dyDescent="0.3">
      <c r="A1908">
        <v>1735</v>
      </c>
      <c r="B1908" t="s">
        <v>2962</v>
      </c>
      <c r="C1908" t="s">
        <v>13</v>
      </c>
      <c r="D1908">
        <v>0.02</v>
      </c>
      <c r="E1908">
        <v>30.98</v>
      </c>
      <c r="F1908">
        <v>17.079999999999998</v>
      </c>
      <c r="G1908" t="s">
        <v>14</v>
      </c>
      <c r="H1908" t="s">
        <v>3</v>
      </c>
      <c r="I1908" t="s">
        <v>24</v>
      </c>
      <c r="J1908" t="s">
        <v>64</v>
      </c>
      <c r="K1908" t="s">
        <v>49</v>
      </c>
      <c r="L1908" t="s">
        <v>2961</v>
      </c>
      <c r="M1908">
        <v>0.4</v>
      </c>
      <c r="N1908" t="s">
        <v>8</v>
      </c>
      <c r="O1908" t="s">
        <v>87</v>
      </c>
      <c r="P1908" t="s">
        <v>88</v>
      </c>
      <c r="Q1908" t="s">
        <v>2963</v>
      </c>
      <c r="R1908">
        <v>11550</v>
      </c>
      <c r="S1908" s="1">
        <v>42183</v>
      </c>
      <c r="T1908" s="1">
        <v>42184</v>
      </c>
      <c r="U1908">
        <v>-16.14</v>
      </c>
      <c r="V1908">
        <v>3</v>
      </c>
      <c r="W1908">
        <v>101.13</v>
      </c>
      <c r="X1908">
        <v>88444</v>
      </c>
      <c r="Y1908">
        <f>cleaneddata[[#This Row],[Unit Price]]-cleaneddata[[#This Row],[Discount]]</f>
        <v>30.96</v>
      </c>
      <c r="Z190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09" spans="1:26" x14ac:dyDescent="0.3">
      <c r="A1909">
        <v>1191</v>
      </c>
      <c r="B1909" t="s">
        <v>2964</v>
      </c>
      <c r="C1909" t="s">
        <v>23</v>
      </c>
      <c r="D1909">
        <v>0.03</v>
      </c>
      <c r="E1909">
        <v>28.53</v>
      </c>
      <c r="F1909">
        <v>1.49</v>
      </c>
      <c r="G1909" t="s">
        <v>14</v>
      </c>
      <c r="H1909" t="s">
        <v>3</v>
      </c>
      <c r="I1909" t="s">
        <v>24</v>
      </c>
      <c r="J1909" t="s">
        <v>48</v>
      </c>
      <c r="K1909" t="s">
        <v>49</v>
      </c>
      <c r="L1909" t="s">
        <v>1808</v>
      </c>
      <c r="M1909">
        <v>0.38</v>
      </c>
      <c r="N1909" t="s">
        <v>8</v>
      </c>
      <c r="O1909" t="s">
        <v>87</v>
      </c>
      <c r="P1909" t="s">
        <v>224</v>
      </c>
      <c r="Q1909" t="s">
        <v>2965</v>
      </c>
      <c r="R1909">
        <v>6050</v>
      </c>
      <c r="S1909" s="1">
        <v>42183</v>
      </c>
      <c r="T1909" s="1">
        <v>42186</v>
      </c>
      <c r="U1909">
        <v>59.4405</v>
      </c>
      <c r="V1909">
        <v>3</v>
      </c>
      <c r="W1909">
        <v>88.84</v>
      </c>
      <c r="X1909">
        <v>87587</v>
      </c>
      <c r="Y1909">
        <f>cleaneddata[[#This Row],[Unit Price]]-cleaneddata[[#This Row],[Discount]]</f>
        <v>28.5</v>
      </c>
      <c r="Z1909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0" spans="1:26" x14ac:dyDescent="0.3">
      <c r="A1910">
        <v>1193</v>
      </c>
      <c r="B1910" t="s">
        <v>1327</v>
      </c>
      <c r="C1910" t="s">
        <v>23</v>
      </c>
      <c r="D1910">
        <v>0.09</v>
      </c>
      <c r="E1910">
        <v>49.99</v>
      </c>
      <c r="F1910">
        <v>19.989999999999998</v>
      </c>
      <c r="G1910" t="s">
        <v>14</v>
      </c>
      <c r="H1910" t="s">
        <v>3</v>
      </c>
      <c r="I1910" t="s">
        <v>16</v>
      </c>
      <c r="J1910" t="s">
        <v>17</v>
      </c>
      <c r="K1910" t="s">
        <v>49</v>
      </c>
      <c r="L1910" t="s">
        <v>1264</v>
      </c>
      <c r="M1910">
        <v>0.41</v>
      </c>
      <c r="N1910" t="s">
        <v>8</v>
      </c>
      <c r="O1910" t="s">
        <v>87</v>
      </c>
      <c r="P1910" t="s">
        <v>350</v>
      </c>
      <c r="Q1910" t="s">
        <v>42</v>
      </c>
      <c r="R1910">
        <v>20016</v>
      </c>
      <c r="S1910" s="1">
        <v>42183</v>
      </c>
      <c r="T1910" s="1">
        <v>42185</v>
      </c>
      <c r="U1910">
        <v>-17.03</v>
      </c>
      <c r="V1910">
        <v>48</v>
      </c>
      <c r="W1910">
        <v>2373.3200000000002</v>
      </c>
      <c r="X1910">
        <v>11206</v>
      </c>
      <c r="Y1910">
        <f>cleaneddata[[#This Row],[Unit Price]]-cleaneddata[[#This Row],[Discount]]</f>
        <v>49.9</v>
      </c>
      <c r="Z191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1" spans="1:26" x14ac:dyDescent="0.3">
      <c r="A1911">
        <v>1193</v>
      </c>
      <c r="B1911" t="s">
        <v>1327</v>
      </c>
      <c r="C1911" t="s">
        <v>23</v>
      </c>
      <c r="D1911">
        <v>0.03</v>
      </c>
      <c r="E1911">
        <v>28.53</v>
      </c>
      <c r="F1911">
        <v>1.49</v>
      </c>
      <c r="G1911" t="s">
        <v>14</v>
      </c>
      <c r="H1911" t="s">
        <v>3</v>
      </c>
      <c r="I1911" t="s">
        <v>24</v>
      </c>
      <c r="J1911" t="s">
        <v>48</v>
      </c>
      <c r="K1911" t="s">
        <v>49</v>
      </c>
      <c r="L1911" t="s">
        <v>1808</v>
      </c>
      <c r="M1911">
        <v>0.38</v>
      </c>
      <c r="N1911" t="s">
        <v>8</v>
      </c>
      <c r="O1911" t="s">
        <v>87</v>
      </c>
      <c r="P1911" t="s">
        <v>350</v>
      </c>
      <c r="Q1911" t="s">
        <v>42</v>
      </c>
      <c r="R1911">
        <v>20016</v>
      </c>
      <c r="S1911" s="1">
        <v>42183</v>
      </c>
      <c r="T1911" s="1">
        <v>42186</v>
      </c>
      <c r="U1911">
        <v>39.627000000000002</v>
      </c>
      <c r="V1911">
        <v>11</v>
      </c>
      <c r="W1911">
        <v>325.73</v>
      </c>
      <c r="X1911">
        <v>11206</v>
      </c>
      <c r="Y1911">
        <f>cleaneddata[[#This Row],[Unit Price]]-cleaneddata[[#This Row],[Discount]]</f>
        <v>28.5</v>
      </c>
      <c r="Z191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2" spans="1:26" x14ac:dyDescent="0.3">
      <c r="A1912">
        <v>1203</v>
      </c>
      <c r="B1912" t="s">
        <v>2966</v>
      </c>
      <c r="C1912" t="s">
        <v>23</v>
      </c>
      <c r="D1912">
        <v>0.09</v>
      </c>
      <c r="E1912">
        <v>49.99</v>
      </c>
      <c r="F1912">
        <v>19.989999999999998</v>
      </c>
      <c r="G1912" t="s">
        <v>14</v>
      </c>
      <c r="H1912" t="s">
        <v>3</v>
      </c>
      <c r="I1912" t="s">
        <v>16</v>
      </c>
      <c r="J1912" t="s">
        <v>17</v>
      </c>
      <c r="K1912" t="s">
        <v>49</v>
      </c>
      <c r="L1912" t="s">
        <v>1264</v>
      </c>
      <c r="M1912">
        <v>0.41</v>
      </c>
      <c r="N1912" t="s">
        <v>8</v>
      </c>
      <c r="O1912" t="s">
        <v>87</v>
      </c>
      <c r="P1912" t="s">
        <v>560</v>
      </c>
      <c r="Q1912" t="s">
        <v>561</v>
      </c>
      <c r="R1912">
        <v>2920</v>
      </c>
      <c r="S1912" s="1">
        <v>42183</v>
      </c>
      <c r="T1912" s="1">
        <v>42185</v>
      </c>
      <c r="U1912">
        <v>-8.5150000000000006</v>
      </c>
      <c r="V1912">
        <v>12</v>
      </c>
      <c r="W1912">
        <v>593.33000000000004</v>
      </c>
      <c r="X1912">
        <v>87587</v>
      </c>
      <c r="Y1912">
        <f>cleaneddata[[#This Row],[Unit Price]]-cleaneddata[[#This Row],[Discount]]</f>
        <v>49.9</v>
      </c>
      <c r="Z191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3" spans="1:26" x14ac:dyDescent="0.3">
      <c r="A1913">
        <v>2801</v>
      </c>
      <c r="B1913" t="s">
        <v>2967</v>
      </c>
      <c r="C1913" t="s">
        <v>23</v>
      </c>
      <c r="D1913">
        <v>0</v>
      </c>
      <c r="E1913">
        <v>17.52</v>
      </c>
      <c r="F1913">
        <v>8.17</v>
      </c>
      <c r="G1913" t="s">
        <v>14</v>
      </c>
      <c r="H1913" t="s">
        <v>47</v>
      </c>
      <c r="I1913" t="s">
        <v>24</v>
      </c>
      <c r="J1913" t="s">
        <v>71</v>
      </c>
      <c r="K1913" t="s">
        <v>120</v>
      </c>
      <c r="L1913" t="s">
        <v>2968</v>
      </c>
      <c r="M1913">
        <v>0.5</v>
      </c>
      <c r="N1913" t="s">
        <v>8</v>
      </c>
      <c r="O1913" t="s">
        <v>35</v>
      </c>
      <c r="P1913" t="s">
        <v>564</v>
      </c>
      <c r="Q1913" t="s">
        <v>1694</v>
      </c>
      <c r="R1913">
        <v>85224</v>
      </c>
      <c r="S1913" s="1">
        <v>42183</v>
      </c>
      <c r="T1913" s="1">
        <v>42188</v>
      </c>
      <c r="U1913">
        <v>52.764000000000003</v>
      </c>
      <c r="V1913">
        <v>15</v>
      </c>
      <c r="W1913">
        <v>284.33999999999997</v>
      </c>
      <c r="X1913">
        <v>91049</v>
      </c>
      <c r="Y1913">
        <f>cleaneddata[[#This Row],[Unit Price]]-cleaneddata[[#This Row],[Discount]]</f>
        <v>17.52</v>
      </c>
      <c r="Z191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14" spans="1:26" x14ac:dyDescent="0.3">
      <c r="A1914">
        <v>3226</v>
      </c>
      <c r="B1914" t="s">
        <v>477</v>
      </c>
      <c r="C1914" t="s">
        <v>92</v>
      </c>
      <c r="D1914">
        <v>0.06</v>
      </c>
      <c r="E1914">
        <v>22.24</v>
      </c>
      <c r="F1914">
        <v>1.99</v>
      </c>
      <c r="G1914" t="s">
        <v>14</v>
      </c>
      <c r="H1914" t="s">
        <v>3</v>
      </c>
      <c r="I1914" t="s">
        <v>16</v>
      </c>
      <c r="J1914" t="s">
        <v>17</v>
      </c>
      <c r="K1914" t="s">
        <v>18</v>
      </c>
      <c r="L1914" t="s">
        <v>2969</v>
      </c>
      <c r="M1914">
        <v>0.43</v>
      </c>
      <c r="N1914" t="s">
        <v>8</v>
      </c>
      <c r="O1914" t="s">
        <v>9</v>
      </c>
      <c r="P1914" t="s">
        <v>376</v>
      </c>
      <c r="Q1914" t="s">
        <v>479</v>
      </c>
      <c r="R1914">
        <v>37075</v>
      </c>
      <c r="S1914" s="1">
        <v>42183</v>
      </c>
      <c r="T1914" s="1">
        <v>42185</v>
      </c>
      <c r="U1914">
        <v>95.388000000000005</v>
      </c>
      <c r="V1914">
        <v>12</v>
      </c>
      <c r="W1914">
        <v>255.88</v>
      </c>
      <c r="X1914">
        <v>86509</v>
      </c>
      <c r="Y1914">
        <f>cleaneddata[[#This Row],[Unit Price]]-cleaneddata[[#This Row],[Discount]]</f>
        <v>22.18</v>
      </c>
      <c r="Z1914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915" spans="1:26" x14ac:dyDescent="0.3">
      <c r="A1915">
        <v>2448</v>
      </c>
      <c r="B1915" t="s">
        <v>2970</v>
      </c>
      <c r="C1915" t="s">
        <v>13</v>
      </c>
      <c r="D1915">
        <v>0.09</v>
      </c>
      <c r="E1915">
        <v>6.48</v>
      </c>
      <c r="F1915">
        <v>7.03</v>
      </c>
      <c r="G1915" t="s">
        <v>14</v>
      </c>
      <c r="H1915" t="s">
        <v>15</v>
      </c>
      <c r="I1915" t="s">
        <v>24</v>
      </c>
      <c r="J1915" t="s">
        <v>64</v>
      </c>
      <c r="K1915" t="s">
        <v>49</v>
      </c>
      <c r="L1915" t="s">
        <v>2499</v>
      </c>
      <c r="M1915">
        <v>0.37</v>
      </c>
      <c r="N1915" t="s">
        <v>8</v>
      </c>
      <c r="O1915" t="s">
        <v>28</v>
      </c>
      <c r="P1915" t="s">
        <v>60</v>
      </c>
      <c r="Q1915" t="s">
        <v>135</v>
      </c>
      <c r="R1915">
        <v>55410</v>
      </c>
      <c r="S1915" s="1">
        <v>42184</v>
      </c>
      <c r="T1915" s="1">
        <v>42186</v>
      </c>
      <c r="U1915">
        <v>-126.208</v>
      </c>
      <c r="V1915">
        <v>16</v>
      </c>
      <c r="W1915">
        <v>96.96</v>
      </c>
      <c r="X1915">
        <v>87790</v>
      </c>
      <c r="Y1915">
        <f>cleaneddata[[#This Row],[Unit Price]]-cleaneddata[[#This Row],[Discount]]</f>
        <v>6.3900000000000006</v>
      </c>
      <c r="Z1915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16" spans="1:26" x14ac:dyDescent="0.3">
      <c r="A1916">
        <v>3374</v>
      </c>
      <c r="B1916" t="s">
        <v>2718</v>
      </c>
      <c r="C1916" t="s">
        <v>13</v>
      </c>
      <c r="D1916">
        <v>0.05</v>
      </c>
      <c r="E1916">
        <v>73.98</v>
      </c>
      <c r="F1916">
        <v>12.14</v>
      </c>
      <c r="G1916" t="s">
        <v>14</v>
      </c>
      <c r="H1916" t="s">
        <v>47</v>
      </c>
      <c r="I1916" t="s">
        <v>16</v>
      </c>
      <c r="J1916" t="s">
        <v>17</v>
      </c>
      <c r="K1916" t="s">
        <v>49</v>
      </c>
      <c r="L1916" t="s">
        <v>709</v>
      </c>
      <c r="M1916">
        <v>0.67</v>
      </c>
      <c r="N1916" t="s">
        <v>8</v>
      </c>
      <c r="O1916" t="s">
        <v>87</v>
      </c>
      <c r="P1916" t="s">
        <v>394</v>
      </c>
      <c r="Q1916" t="s">
        <v>2719</v>
      </c>
      <c r="R1916">
        <v>21113</v>
      </c>
      <c r="S1916" s="1">
        <v>42184</v>
      </c>
      <c r="T1916" s="1">
        <v>42185</v>
      </c>
      <c r="U1916">
        <v>-1.9039999999999999</v>
      </c>
      <c r="V1916">
        <v>8</v>
      </c>
      <c r="W1916">
        <v>600.4</v>
      </c>
      <c r="X1916">
        <v>87474</v>
      </c>
      <c r="Y1916">
        <f>cleaneddata[[#This Row],[Unit Price]]-cleaneddata[[#This Row],[Discount]]</f>
        <v>73.930000000000007</v>
      </c>
      <c r="Z191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7" spans="1:26" x14ac:dyDescent="0.3">
      <c r="A1917">
        <v>3374</v>
      </c>
      <c r="B1917" t="s">
        <v>2718</v>
      </c>
      <c r="C1917" t="s">
        <v>13</v>
      </c>
      <c r="D1917">
        <v>0</v>
      </c>
      <c r="E1917">
        <v>5.98</v>
      </c>
      <c r="F1917">
        <v>7.15</v>
      </c>
      <c r="G1917" t="s">
        <v>14</v>
      </c>
      <c r="H1917" t="s">
        <v>47</v>
      </c>
      <c r="I1917" t="s">
        <v>24</v>
      </c>
      <c r="J1917" t="s">
        <v>64</v>
      </c>
      <c r="K1917" t="s">
        <v>49</v>
      </c>
      <c r="L1917" t="s">
        <v>2514</v>
      </c>
      <c r="M1917">
        <v>0.36</v>
      </c>
      <c r="N1917" t="s">
        <v>8</v>
      </c>
      <c r="O1917" t="s">
        <v>87</v>
      </c>
      <c r="P1917" t="s">
        <v>394</v>
      </c>
      <c r="Q1917" t="s">
        <v>2719</v>
      </c>
      <c r="R1917">
        <v>21113</v>
      </c>
      <c r="S1917" s="1">
        <v>42184</v>
      </c>
      <c r="T1917" s="1">
        <v>42186</v>
      </c>
      <c r="U1917">
        <v>-37.048000000000002</v>
      </c>
      <c r="V1917">
        <v>5</v>
      </c>
      <c r="W1917">
        <v>34.25</v>
      </c>
      <c r="X1917">
        <v>87474</v>
      </c>
      <c r="Y1917">
        <f>cleaneddata[[#This Row],[Unit Price]]-cleaneddata[[#This Row],[Discount]]</f>
        <v>5.98</v>
      </c>
      <c r="Z191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8" spans="1:26" x14ac:dyDescent="0.3">
      <c r="A1918">
        <v>3374</v>
      </c>
      <c r="B1918" t="s">
        <v>2718</v>
      </c>
      <c r="C1918" t="s">
        <v>13</v>
      </c>
      <c r="D1918">
        <v>0.09</v>
      </c>
      <c r="E1918">
        <v>3.57</v>
      </c>
      <c r="F1918">
        <v>4.17</v>
      </c>
      <c r="G1918" t="s">
        <v>14</v>
      </c>
      <c r="H1918" t="s">
        <v>47</v>
      </c>
      <c r="I1918" t="s">
        <v>24</v>
      </c>
      <c r="J1918" t="s">
        <v>25</v>
      </c>
      <c r="K1918" t="s">
        <v>18</v>
      </c>
      <c r="L1918" t="s">
        <v>768</v>
      </c>
      <c r="M1918">
        <v>0.59</v>
      </c>
      <c r="N1918" t="s">
        <v>8</v>
      </c>
      <c r="O1918" t="s">
        <v>87</v>
      </c>
      <c r="P1918" t="s">
        <v>394</v>
      </c>
      <c r="Q1918" t="s">
        <v>2719</v>
      </c>
      <c r="R1918">
        <v>21113</v>
      </c>
      <c r="S1918" s="1">
        <v>42184</v>
      </c>
      <c r="T1918" s="1">
        <v>42186</v>
      </c>
      <c r="U1918">
        <v>-56.887999999999998</v>
      </c>
      <c r="V1918">
        <v>9</v>
      </c>
      <c r="W1918">
        <v>31.45</v>
      </c>
      <c r="X1918">
        <v>87474</v>
      </c>
      <c r="Y1918">
        <f>cleaneddata[[#This Row],[Unit Price]]-cleaneddata[[#This Row],[Discount]]</f>
        <v>3.48</v>
      </c>
      <c r="Z1918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19" spans="1:26" x14ac:dyDescent="0.3">
      <c r="A1919">
        <v>1502</v>
      </c>
      <c r="B1919" t="s">
        <v>2413</v>
      </c>
      <c r="C1919" t="s">
        <v>23</v>
      </c>
      <c r="D1919">
        <v>0.08</v>
      </c>
      <c r="E1919">
        <v>5.84</v>
      </c>
      <c r="F1919">
        <v>1</v>
      </c>
      <c r="G1919" t="s">
        <v>63</v>
      </c>
      <c r="H1919" t="s">
        <v>3</v>
      </c>
      <c r="I1919" t="s">
        <v>24</v>
      </c>
      <c r="J1919" t="s">
        <v>25</v>
      </c>
      <c r="K1919" t="s">
        <v>26</v>
      </c>
      <c r="L1919" t="s">
        <v>2971</v>
      </c>
      <c r="M1919">
        <v>0.38</v>
      </c>
      <c r="N1919" t="s">
        <v>8</v>
      </c>
      <c r="O1919" t="s">
        <v>9</v>
      </c>
      <c r="P1919" t="s">
        <v>99</v>
      </c>
      <c r="Q1919" t="s">
        <v>2414</v>
      </c>
      <c r="R1919">
        <v>33065</v>
      </c>
      <c r="S1919" s="1">
        <v>42184</v>
      </c>
      <c r="T1919" s="1">
        <v>42188</v>
      </c>
      <c r="U1919">
        <v>731.92200000000003</v>
      </c>
      <c r="V1919">
        <v>11</v>
      </c>
      <c r="W1919">
        <v>61.39</v>
      </c>
      <c r="X1919">
        <v>89194</v>
      </c>
      <c r="Y1919">
        <f>cleaneddata[[#This Row],[Unit Price]]-cleaneddata[[#This Row],[Discount]]</f>
        <v>5.76</v>
      </c>
      <c r="Z1919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920" spans="1:26" x14ac:dyDescent="0.3">
      <c r="A1920">
        <v>1502</v>
      </c>
      <c r="B1920" t="s">
        <v>2413</v>
      </c>
      <c r="C1920" t="s">
        <v>23</v>
      </c>
      <c r="D1920">
        <v>0</v>
      </c>
      <c r="E1920">
        <v>205.99</v>
      </c>
      <c r="F1920">
        <v>8.99</v>
      </c>
      <c r="G1920" t="s">
        <v>14</v>
      </c>
      <c r="H1920" t="s">
        <v>3</v>
      </c>
      <c r="I1920" t="s">
        <v>16</v>
      </c>
      <c r="J1920" t="s">
        <v>111</v>
      </c>
      <c r="K1920" t="s">
        <v>49</v>
      </c>
      <c r="L1920" t="s">
        <v>1008</v>
      </c>
      <c r="M1920">
        <v>0.6</v>
      </c>
      <c r="N1920" t="s">
        <v>8</v>
      </c>
      <c r="O1920" t="s">
        <v>9</v>
      </c>
      <c r="P1920" t="s">
        <v>99</v>
      </c>
      <c r="Q1920" t="s">
        <v>2414</v>
      </c>
      <c r="R1920">
        <v>33065</v>
      </c>
      <c r="S1920" s="1">
        <v>42184</v>
      </c>
      <c r="T1920" s="1">
        <v>42187</v>
      </c>
      <c r="U1920">
        <v>186.55799999999999</v>
      </c>
      <c r="V1920">
        <v>13</v>
      </c>
      <c r="W1920">
        <v>2435.52</v>
      </c>
      <c r="X1920">
        <v>89194</v>
      </c>
      <c r="Y1920">
        <f>cleaneddata[[#This Row],[Unit Price]]-cleaneddata[[#This Row],[Discount]]</f>
        <v>205.99</v>
      </c>
      <c r="Z1920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921" spans="1:26" x14ac:dyDescent="0.3">
      <c r="A1921">
        <v>1109</v>
      </c>
      <c r="B1921" t="s">
        <v>2972</v>
      </c>
      <c r="C1921" t="s">
        <v>92</v>
      </c>
      <c r="D1921">
        <v>0.08</v>
      </c>
      <c r="E1921">
        <v>8.3699999999999992</v>
      </c>
      <c r="F1921">
        <v>10.16</v>
      </c>
      <c r="G1921" t="s">
        <v>14</v>
      </c>
      <c r="H1921" t="s">
        <v>15</v>
      </c>
      <c r="I1921" t="s">
        <v>4</v>
      </c>
      <c r="J1921" t="s">
        <v>102</v>
      </c>
      <c r="K1921" t="s">
        <v>40</v>
      </c>
      <c r="L1921" t="s">
        <v>1548</v>
      </c>
      <c r="M1921">
        <v>0.59</v>
      </c>
      <c r="N1921" t="s">
        <v>8</v>
      </c>
      <c r="O1921" t="s">
        <v>28</v>
      </c>
      <c r="P1921" t="s">
        <v>163</v>
      </c>
      <c r="Q1921" t="s">
        <v>2973</v>
      </c>
      <c r="R1921">
        <v>78041</v>
      </c>
      <c r="S1921" s="1">
        <v>42184</v>
      </c>
      <c r="T1921" s="1">
        <v>42184</v>
      </c>
      <c r="U1921">
        <v>-169.232</v>
      </c>
      <c r="V1921">
        <v>13</v>
      </c>
      <c r="W1921">
        <v>108.99</v>
      </c>
      <c r="X1921">
        <v>86410</v>
      </c>
      <c r="Y1921">
        <f>cleaneddata[[#This Row],[Unit Price]]-cleaneddata[[#This Row],[Discount]]</f>
        <v>8.2899999999999991</v>
      </c>
      <c r="Z1921" t="str">
        <f>_xlfn.IFS(cleaneddata[[#This Row],[Region]]="Central","Chris",cleaneddata[[#This Row],[Region]]="East","Erin",cleaneddata[[#This Row],[Region]]="South","Sam",cleaneddata[[#This Row],[Region]]="West","William")</f>
        <v>Chris</v>
      </c>
    </row>
    <row r="1922" spans="1:26" x14ac:dyDescent="0.3">
      <c r="A1922">
        <v>1183</v>
      </c>
      <c r="B1922" t="s">
        <v>2974</v>
      </c>
      <c r="C1922" t="s">
        <v>46</v>
      </c>
      <c r="D1922">
        <v>0.04</v>
      </c>
      <c r="E1922">
        <v>35.99</v>
      </c>
      <c r="F1922">
        <v>3.3</v>
      </c>
      <c r="G1922" t="s">
        <v>14</v>
      </c>
      <c r="H1922" t="s">
        <v>47</v>
      </c>
      <c r="I1922" t="s">
        <v>16</v>
      </c>
      <c r="J1922" t="s">
        <v>111</v>
      </c>
      <c r="K1922" t="s">
        <v>18</v>
      </c>
      <c r="L1922" t="s">
        <v>1886</v>
      </c>
      <c r="M1922">
        <v>0.39</v>
      </c>
      <c r="N1922" t="s">
        <v>8</v>
      </c>
      <c r="O1922" t="s">
        <v>35</v>
      </c>
      <c r="P1922" t="s">
        <v>122</v>
      </c>
      <c r="Q1922" t="s">
        <v>2975</v>
      </c>
      <c r="R1922">
        <v>84663</v>
      </c>
      <c r="S1922" s="1">
        <v>42184</v>
      </c>
      <c r="T1922" s="1">
        <v>42184</v>
      </c>
      <c r="U1922">
        <v>184.19550000000001</v>
      </c>
      <c r="V1922">
        <v>9</v>
      </c>
      <c r="W1922">
        <v>266.95</v>
      </c>
      <c r="X1922">
        <v>86914</v>
      </c>
      <c r="Y1922">
        <f>cleaneddata[[#This Row],[Unit Price]]-cleaneddata[[#This Row],[Discount]]</f>
        <v>35.950000000000003</v>
      </c>
      <c r="Z1922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3" spans="1:26" x14ac:dyDescent="0.3">
      <c r="A1923">
        <v>699</v>
      </c>
      <c r="B1923" t="s">
        <v>837</v>
      </c>
      <c r="C1923" t="s">
        <v>13</v>
      </c>
      <c r="D1923">
        <v>0.01</v>
      </c>
      <c r="E1923">
        <v>7.89</v>
      </c>
      <c r="F1923">
        <v>2.82</v>
      </c>
      <c r="G1923" t="s">
        <v>14</v>
      </c>
      <c r="H1923" t="s">
        <v>15</v>
      </c>
      <c r="I1923" t="s">
        <v>24</v>
      </c>
      <c r="J1923" t="s">
        <v>152</v>
      </c>
      <c r="K1923" t="s">
        <v>26</v>
      </c>
      <c r="L1923" t="s">
        <v>2976</v>
      </c>
      <c r="M1923">
        <v>0.4</v>
      </c>
      <c r="N1923" t="s">
        <v>8</v>
      </c>
      <c r="O1923" t="s">
        <v>35</v>
      </c>
      <c r="P1923" t="s">
        <v>66</v>
      </c>
      <c r="Q1923" t="s">
        <v>76</v>
      </c>
      <c r="R1923">
        <v>90041</v>
      </c>
      <c r="S1923" s="1">
        <v>42185</v>
      </c>
      <c r="T1923" s="1">
        <v>42186</v>
      </c>
      <c r="U1923">
        <v>38.700000000000003</v>
      </c>
      <c r="V1923">
        <v>32</v>
      </c>
      <c r="W1923">
        <v>274.26</v>
      </c>
      <c r="X1923">
        <v>36647</v>
      </c>
      <c r="Y1923">
        <f>cleaneddata[[#This Row],[Unit Price]]-cleaneddata[[#This Row],[Discount]]</f>
        <v>7.88</v>
      </c>
      <c r="Z1923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4" spans="1:26" x14ac:dyDescent="0.3">
      <c r="A1924">
        <v>699</v>
      </c>
      <c r="B1924" t="s">
        <v>837</v>
      </c>
      <c r="C1924" t="s">
        <v>13</v>
      </c>
      <c r="D1924">
        <v>0.09</v>
      </c>
      <c r="E1924">
        <v>3.68</v>
      </c>
      <c r="F1924">
        <v>1.32</v>
      </c>
      <c r="G1924" t="s">
        <v>14</v>
      </c>
      <c r="H1924" t="s">
        <v>15</v>
      </c>
      <c r="I1924" t="s">
        <v>24</v>
      </c>
      <c r="J1924" t="s">
        <v>544</v>
      </c>
      <c r="K1924" t="s">
        <v>26</v>
      </c>
      <c r="L1924" t="s">
        <v>2502</v>
      </c>
      <c r="M1924">
        <v>0.83</v>
      </c>
      <c r="N1924" t="s">
        <v>8</v>
      </c>
      <c r="O1924" t="s">
        <v>35</v>
      </c>
      <c r="P1924" t="s">
        <v>66</v>
      </c>
      <c r="Q1924" t="s">
        <v>76</v>
      </c>
      <c r="R1924">
        <v>90041</v>
      </c>
      <c r="S1924" s="1">
        <v>42185</v>
      </c>
      <c r="T1924" s="1">
        <v>42186</v>
      </c>
      <c r="U1924">
        <v>-21.91</v>
      </c>
      <c r="V1924">
        <v>24</v>
      </c>
      <c r="W1924">
        <v>83.16</v>
      </c>
      <c r="X1924">
        <v>36647</v>
      </c>
      <c r="Y1924">
        <f>cleaneddata[[#This Row],[Unit Price]]-cleaneddata[[#This Row],[Discount]]</f>
        <v>3.5900000000000003</v>
      </c>
      <c r="Z1924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5" spans="1:26" x14ac:dyDescent="0.3">
      <c r="A1925">
        <v>699</v>
      </c>
      <c r="B1925" t="s">
        <v>837</v>
      </c>
      <c r="C1925" t="s">
        <v>13</v>
      </c>
      <c r="D1925">
        <v>0.1</v>
      </c>
      <c r="E1925">
        <v>9.7100000000000009</v>
      </c>
      <c r="F1925">
        <v>9.4499999999999993</v>
      </c>
      <c r="G1925" t="s">
        <v>14</v>
      </c>
      <c r="H1925" t="s">
        <v>15</v>
      </c>
      <c r="I1925" t="s">
        <v>24</v>
      </c>
      <c r="J1925" t="s">
        <v>54</v>
      </c>
      <c r="K1925" t="s">
        <v>49</v>
      </c>
      <c r="L1925" t="s">
        <v>1179</v>
      </c>
      <c r="M1925">
        <v>0.6</v>
      </c>
      <c r="N1925" t="s">
        <v>8</v>
      </c>
      <c r="O1925" t="s">
        <v>35</v>
      </c>
      <c r="P1925" t="s">
        <v>66</v>
      </c>
      <c r="Q1925" t="s">
        <v>76</v>
      </c>
      <c r="R1925">
        <v>90041</v>
      </c>
      <c r="S1925" s="1">
        <v>42185</v>
      </c>
      <c r="T1925" s="1">
        <v>42188</v>
      </c>
      <c r="U1925">
        <v>-119.77</v>
      </c>
      <c r="V1925">
        <v>27</v>
      </c>
      <c r="W1925">
        <v>261.93</v>
      </c>
      <c r="X1925">
        <v>36647</v>
      </c>
      <c r="Y1925">
        <f>cleaneddata[[#This Row],[Unit Price]]-cleaneddata[[#This Row],[Discount]]</f>
        <v>9.6100000000000012</v>
      </c>
      <c r="Z1925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6" spans="1:26" x14ac:dyDescent="0.3">
      <c r="A1926">
        <v>702</v>
      </c>
      <c r="B1926" t="s">
        <v>2252</v>
      </c>
      <c r="C1926" t="s">
        <v>13</v>
      </c>
      <c r="D1926">
        <v>0.01</v>
      </c>
      <c r="E1926">
        <v>7.89</v>
      </c>
      <c r="F1926">
        <v>2.82</v>
      </c>
      <c r="G1926" t="s">
        <v>14</v>
      </c>
      <c r="H1926" t="s">
        <v>15</v>
      </c>
      <c r="I1926" t="s">
        <v>24</v>
      </c>
      <c r="J1926" t="s">
        <v>152</v>
      </c>
      <c r="K1926" t="s">
        <v>26</v>
      </c>
      <c r="L1926" t="s">
        <v>2976</v>
      </c>
      <c r="M1926">
        <v>0.4</v>
      </c>
      <c r="N1926" t="s">
        <v>8</v>
      </c>
      <c r="O1926" t="s">
        <v>35</v>
      </c>
      <c r="P1926" t="s">
        <v>66</v>
      </c>
      <c r="Q1926" t="s">
        <v>2253</v>
      </c>
      <c r="R1926">
        <v>95404</v>
      </c>
      <c r="S1926" s="1">
        <v>42185</v>
      </c>
      <c r="T1926" s="1">
        <v>42186</v>
      </c>
      <c r="U1926">
        <v>46.44</v>
      </c>
      <c r="V1926">
        <v>8</v>
      </c>
      <c r="W1926">
        <v>68.56</v>
      </c>
      <c r="X1926">
        <v>87979</v>
      </c>
      <c r="Y1926">
        <f>cleaneddata[[#This Row],[Unit Price]]-cleaneddata[[#This Row],[Discount]]</f>
        <v>7.88</v>
      </c>
      <c r="Z1926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7" spans="1:26" x14ac:dyDescent="0.3">
      <c r="A1927">
        <v>702</v>
      </c>
      <c r="B1927" t="s">
        <v>2252</v>
      </c>
      <c r="C1927" t="s">
        <v>13</v>
      </c>
      <c r="D1927">
        <v>0.09</v>
      </c>
      <c r="E1927">
        <v>3.68</v>
      </c>
      <c r="F1927">
        <v>1.32</v>
      </c>
      <c r="G1927" t="s">
        <v>14</v>
      </c>
      <c r="H1927" t="s">
        <v>15</v>
      </c>
      <c r="I1927" t="s">
        <v>24</v>
      </c>
      <c r="J1927" t="s">
        <v>544</v>
      </c>
      <c r="K1927" t="s">
        <v>26</v>
      </c>
      <c r="L1927" t="s">
        <v>2502</v>
      </c>
      <c r="M1927">
        <v>0.83</v>
      </c>
      <c r="N1927" t="s">
        <v>8</v>
      </c>
      <c r="O1927" t="s">
        <v>35</v>
      </c>
      <c r="P1927" t="s">
        <v>66</v>
      </c>
      <c r="Q1927" t="s">
        <v>2253</v>
      </c>
      <c r="R1927">
        <v>95404</v>
      </c>
      <c r="S1927" s="1">
        <v>42185</v>
      </c>
      <c r="T1927" s="1">
        <v>42186</v>
      </c>
      <c r="U1927">
        <v>-17.527999999999999</v>
      </c>
      <c r="V1927">
        <v>6</v>
      </c>
      <c r="W1927">
        <v>20.79</v>
      </c>
      <c r="X1927">
        <v>87979</v>
      </c>
      <c r="Y1927">
        <f>cleaneddata[[#This Row],[Unit Price]]-cleaneddata[[#This Row],[Discount]]</f>
        <v>3.5900000000000003</v>
      </c>
      <c r="Z1927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8" spans="1:26" x14ac:dyDescent="0.3">
      <c r="A1928">
        <v>702</v>
      </c>
      <c r="B1928" t="s">
        <v>2252</v>
      </c>
      <c r="C1928" t="s">
        <v>13</v>
      </c>
      <c r="D1928">
        <v>0.1</v>
      </c>
      <c r="E1928">
        <v>9.7100000000000009</v>
      </c>
      <c r="F1928">
        <v>9.4499999999999993</v>
      </c>
      <c r="G1928" t="s">
        <v>14</v>
      </c>
      <c r="H1928" t="s">
        <v>15</v>
      </c>
      <c r="I1928" t="s">
        <v>24</v>
      </c>
      <c r="J1928" t="s">
        <v>54</v>
      </c>
      <c r="K1928" t="s">
        <v>49</v>
      </c>
      <c r="L1928" t="s">
        <v>1179</v>
      </c>
      <c r="M1928">
        <v>0.6</v>
      </c>
      <c r="N1928" t="s">
        <v>8</v>
      </c>
      <c r="O1928" t="s">
        <v>35</v>
      </c>
      <c r="P1928" t="s">
        <v>66</v>
      </c>
      <c r="Q1928" t="s">
        <v>2253</v>
      </c>
      <c r="R1928">
        <v>95404</v>
      </c>
      <c r="S1928" s="1">
        <v>42185</v>
      </c>
      <c r="T1928" s="1">
        <v>42188</v>
      </c>
      <c r="U1928">
        <v>-95.816000000000003</v>
      </c>
      <c r="V1928">
        <v>7</v>
      </c>
      <c r="W1928">
        <v>67.91</v>
      </c>
      <c r="X1928">
        <v>87979</v>
      </c>
      <c r="Y1928">
        <f>cleaneddata[[#This Row],[Unit Price]]-cleaneddata[[#This Row],[Discount]]</f>
        <v>9.6100000000000012</v>
      </c>
      <c r="Z1928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29" spans="1:26" x14ac:dyDescent="0.3">
      <c r="A1929">
        <v>1307</v>
      </c>
      <c r="B1929" t="s">
        <v>2977</v>
      </c>
      <c r="C1929" t="s">
        <v>23</v>
      </c>
      <c r="D1929">
        <v>0.04</v>
      </c>
      <c r="E1929">
        <v>8.33</v>
      </c>
      <c r="F1929">
        <v>1.99</v>
      </c>
      <c r="G1929" t="s">
        <v>14</v>
      </c>
      <c r="H1929" t="s">
        <v>3</v>
      </c>
      <c r="I1929" t="s">
        <v>16</v>
      </c>
      <c r="J1929" t="s">
        <v>17</v>
      </c>
      <c r="K1929" t="s">
        <v>18</v>
      </c>
      <c r="L1929" t="s">
        <v>1150</v>
      </c>
      <c r="M1929">
        <v>0.52</v>
      </c>
      <c r="N1929" t="s">
        <v>8</v>
      </c>
      <c r="O1929" t="s">
        <v>35</v>
      </c>
      <c r="P1929" t="s">
        <v>115</v>
      </c>
      <c r="Q1929" t="s">
        <v>2261</v>
      </c>
      <c r="R1929">
        <v>97420</v>
      </c>
      <c r="S1929" s="1">
        <v>42185</v>
      </c>
      <c r="T1929" s="1">
        <v>42192</v>
      </c>
      <c r="U1929">
        <v>44.892000000000003</v>
      </c>
      <c r="V1929">
        <v>16</v>
      </c>
      <c r="W1929">
        <v>131.26</v>
      </c>
      <c r="X1929">
        <v>91451</v>
      </c>
      <c r="Y1929">
        <f>cleaneddata[[#This Row],[Unit Price]]-cleaneddata[[#This Row],[Discount]]</f>
        <v>8.2900000000000009</v>
      </c>
      <c r="Z1929" t="str">
        <f>_xlfn.IFS(cleaneddata[[#This Row],[Region]]="Central","Chris",cleaneddata[[#This Row],[Region]]="East","Erin",cleaneddata[[#This Row],[Region]]="South","Sam",cleaneddata[[#This Row],[Region]]="West","William")</f>
        <v>William</v>
      </c>
    </row>
    <row r="1930" spans="1:26" x14ac:dyDescent="0.3">
      <c r="A1930">
        <v>2089</v>
      </c>
      <c r="B1930" t="s">
        <v>2978</v>
      </c>
      <c r="C1930" t="s">
        <v>23</v>
      </c>
      <c r="D1930">
        <v>0.06</v>
      </c>
      <c r="E1930">
        <v>38.06</v>
      </c>
      <c r="F1930">
        <v>4.5</v>
      </c>
      <c r="G1930" t="s">
        <v>14</v>
      </c>
      <c r="H1930" t="s">
        <v>70</v>
      </c>
      <c r="I1930" t="s">
        <v>24</v>
      </c>
      <c r="J1930" t="s">
        <v>71</v>
      </c>
      <c r="K1930" t="s">
        <v>49</v>
      </c>
      <c r="L1930" t="s">
        <v>2979</v>
      </c>
      <c r="M1930">
        <v>0.56000000000000005</v>
      </c>
      <c r="N1930" t="s">
        <v>8</v>
      </c>
      <c r="O1930" t="s">
        <v>87</v>
      </c>
      <c r="P1930" t="s">
        <v>88</v>
      </c>
      <c r="Q1930" t="s">
        <v>2980</v>
      </c>
      <c r="R1930">
        <v>10956</v>
      </c>
      <c r="S1930" s="1">
        <v>42185</v>
      </c>
      <c r="T1930" s="1">
        <v>42191</v>
      </c>
      <c r="U1930">
        <v>450.45960000000002</v>
      </c>
      <c r="V1930">
        <v>17</v>
      </c>
      <c r="W1930">
        <v>652.84</v>
      </c>
      <c r="X1930">
        <v>88348</v>
      </c>
      <c r="Y1930">
        <f>cleaneddata[[#This Row],[Unit Price]]-cleaneddata[[#This Row],[Discount]]</f>
        <v>38</v>
      </c>
      <c r="Z1930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31" spans="1:26" x14ac:dyDescent="0.3">
      <c r="A1931">
        <v>2089</v>
      </c>
      <c r="B1931" t="s">
        <v>2978</v>
      </c>
      <c r="C1931" t="s">
        <v>23</v>
      </c>
      <c r="D1931">
        <v>0.08</v>
      </c>
      <c r="E1931">
        <v>599.99</v>
      </c>
      <c r="F1931">
        <v>24.49</v>
      </c>
      <c r="G1931" t="s">
        <v>14</v>
      </c>
      <c r="H1931" t="s">
        <v>70</v>
      </c>
      <c r="I1931" t="s">
        <v>16</v>
      </c>
      <c r="J1931" t="s">
        <v>39</v>
      </c>
      <c r="K1931" t="s">
        <v>40</v>
      </c>
      <c r="L1931" t="s">
        <v>2981</v>
      </c>
      <c r="M1931">
        <v>0.37</v>
      </c>
      <c r="N1931" t="s">
        <v>8</v>
      </c>
      <c r="O1931" t="s">
        <v>87</v>
      </c>
      <c r="P1931" t="s">
        <v>88</v>
      </c>
      <c r="Q1931" t="s">
        <v>2980</v>
      </c>
      <c r="R1931">
        <v>10956</v>
      </c>
      <c r="S1931" s="1">
        <v>42185</v>
      </c>
      <c r="T1931" s="1">
        <v>42193</v>
      </c>
      <c r="U1931">
        <v>8798.1831000000002</v>
      </c>
      <c r="V1931">
        <v>22</v>
      </c>
      <c r="W1931">
        <v>12750.99</v>
      </c>
      <c r="X1931">
        <v>88348</v>
      </c>
      <c r="Y1931">
        <f>cleaneddata[[#This Row],[Unit Price]]-cleaneddata[[#This Row],[Discount]]</f>
        <v>599.91</v>
      </c>
      <c r="Z1931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32" spans="1:26" x14ac:dyDescent="0.3">
      <c r="A1932">
        <v>2089</v>
      </c>
      <c r="B1932" t="s">
        <v>2978</v>
      </c>
      <c r="C1932" t="s">
        <v>23</v>
      </c>
      <c r="D1932">
        <v>0.1</v>
      </c>
      <c r="E1932">
        <v>3.98</v>
      </c>
      <c r="F1932">
        <v>2.97</v>
      </c>
      <c r="G1932" t="s">
        <v>63</v>
      </c>
      <c r="H1932" t="s">
        <v>70</v>
      </c>
      <c r="I1932" t="s">
        <v>24</v>
      </c>
      <c r="J1932" t="s">
        <v>64</v>
      </c>
      <c r="K1932" t="s">
        <v>26</v>
      </c>
      <c r="L1932" t="s">
        <v>2982</v>
      </c>
      <c r="M1932">
        <v>0.35</v>
      </c>
      <c r="N1932" t="s">
        <v>8</v>
      </c>
      <c r="O1932" t="s">
        <v>87</v>
      </c>
      <c r="P1932" t="s">
        <v>88</v>
      </c>
      <c r="Q1932" t="s">
        <v>2980</v>
      </c>
      <c r="R1932">
        <v>10956</v>
      </c>
      <c r="S1932" s="1">
        <v>42185</v>
      </c>
      <c r="T1932" s="1">
        <v>42189</v>
      </c>
      <c r="U1932">
        <v>-5.3849999999999998</v>
      </c>
      <c r="V1932">
        <v>5</v>
      </c>
      <c r="W1932">
        <v>20.54</v>
      </c>
      <c r="X1932">
        <v>88348</v>
      </c>
      <c r="Y1932">
        <f>cleaneddata[[#This Row],[Unit Price]]-cleaneddata[[#This Row],[Discount]]</f>
        <v>3.88</v>
      </c>
      <c r="Z1932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33" spans="1:26" x14ac:dyDescent="0.3">
      <c r="A1933">
        <v>2882</v>
      </c>
      <c r="B1933" t="s">
        <v>647</v>
      </c>
      <c r="C1933" t="s">
        <v>23</v>
      </c>
      <c r="D1933">
        <v>0.05</v>
      </c>
      <c r="E1933">
        <v>63.94</v>
      </c>
      <c r="F1933">
        <v>14.48</v>
      </c>
      <c r="G1933" t="s">
        <v>63</v>
      </c>
      <c r="H1933" t="s">
        <v>15</v>
      </c>
      <c r="I1933" t="s">
        <v>4</v>
      </c>
      <c r="J1933" t="s">
        <v>102</v>
      </c>
      <c r="K1933" t="s">
        <v>49</v>
      </c>
      <c r="L1933" t="s">
        <v>1970</v>
      </c>
      <c r="M1933">
        <v>0.46</v>
      </c>
      <c r="N1933" t="s">
        <v>8</v>
      </c>
      <c r="O1933" t="s">
        <v>9</v>
      </c>
      <c r="P1933" t="s">
        <v>73</v>
      </c>
      <c r="Q1933" t="s">
        <v>649</v>
      </c>
      <c r="R1933">
        <v>28206</v>
      </c>
      <c r="S1933" s="1">
        <v>42185</v>
      </c>
      <c r="T1933" s="1">
        <v>42192</v>
      </c>
      <c r="U1933">
        <v>270.87430000000001</v>
      </c>
      <c r="V1933">
        <v>21</v>
      </c>
      <c r="W1933">
        <v>1336.35</v>
      </c>
      <c r="X1933">
        <v>40224</v>
      </c>
      <c r="Y1933">
        <f>cleaneddata[[#This Row],[Unit Price]]-cleaneddata[[#This Row],[Discount]]</f>
        <v>63.89</v>
      </c>
      <c r="Z1933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934" spans="1:26" x14ac:dyDescent="0.3">
      <c r="A1934">
        <v>2885</v>
      </c>
      <c r="B1934" t="s">
        <v>2983</v>
      </c>
      <c r="C1934" t="s">
        <v>23</v>
      </c>
      <c r="D1934">
        <v>0.05</v>
      </c>
      <c r="E1934">
        <v>63.94</v>
      </c>
      <c r="F1934">
        <v>14.48</v>
      </c>
      <c r="G1934" t="s">
        <v>63</v>
      </c>
      <c r="H1934" t="s">
        <v>15</v>
      </c>
      <c r="I1934" t="s">
        <v>4</v>
      </c>
      <c r="J1934" t="s">
        <v>102</v>
      </c>
      <c r="K1934" t="s">
        <v>49</v>
      </c>
      <c r="L1934" t="s">
        <v>1970</v>
      </c>
      <c r="M1934">
        <v>0.46</v>
      </c>
      <c r="N1934" t="s">
        <v>8</v>
      </c>
      <c r="O1934" t="s">
        <v>87</v>
      </c>
      <c r="P1934" t="s">
        <v>293</v>
      </c>
      <c r="Q1934" t="s">
        <v>2984</v>
      </c>
      <c r="R1934">
        <v>44133</v>
      </c>
      <c r="S1934" s="1">
        <v>42185</v>
      </c>
      <c r="T1934" s="1">
        <v>42192</v>
      </c>
      <c r="U1934">
        <v>219.54419999999999</v>
      </c>
      <c r="V1934">
        <v>5</v>
      </c>
      <c r="W1934">
        <v>318.18</v>
      </c>
      <c r="X1934">
        <v>87634</v>
      </c>
      <c r="Y1934">
        <f>cleaneddata[[#This Row],[Unit Price]]-cleaneddata[[#This Row],[Discount]]</f>
        <v>63.89</v>
      </c>
      <c r="Z1934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35" spans="1:26" x14ac:dyDescent="0.3">
      <c r="A1935">
        <v>1384</v>
      </c>
      <c r="B1935" t="s">
        <v>2767</v>
      </c>
      <c r="C1935" t="s">
        <v>46</v>
      </c>
      <c r="D1935">
        <v>7.0000000000000007E-2</v>
      </c>
      <c r="E1935">
        <v>11.29</v>
      </c>
      <c r="F1935">
        <v>5.03</v>
      </c>
      <c r="G1935" t="s">
        <v>14</v>
      </c>
      <c r="H1935" t="s">
        <v>15</v>
      </c>
      <c r="I1935" t="s">
        <v>24</v>
      </c>
      <c r="J1935" t="s">
        <v>54</v>
      </c>
      <c r="K1935" t="s">
        <v>49</v>
      </c>
      <c r="L1935" t="s">
        <v>1236</v>
      </c>
      <c r="M1935">
        <v>0.59</v>
      </c>
      <c r="N1935" t="s">
        <v>8</v>
      </c>
      <c r="O1935" t="s">
        <v>9</v>
      </c>
      <c r="P1935" t="s">
        <v>218</v>
      </c>
      <c r="Q1935" t="s">
        <v>2708</v>
      </c>
      <c r="R1935">
        <v>22304</v>
      </c>
      <c r="S1935" s="1">
        <v>42185</v>
      </c>
      <c r="T1935" s="1">
        <v>42187</v>
      </c>
      <c r="U1935">
        <v>-163.03</v>
      </c>
      <c r="V1935">
        <v>11</v>
      </c>
      <c r="W1935">
        <v>123.18</v>
      </c>
      <c r="X1935">
        <v>89407</v>
      </c>
      <c r="Y1935">
        <f>cleaneddata[[#This Row],[Unit Price]]-cleaneddata[[#This Row],[Discount]]</f>
        <v>11.219999999999999</v>
      </c>
      <c r="Z1935" t="str">
        <f>_xlfn.IFS(cleaneddata[[#This Row],[Region]]="Central","Chris",cleaneddata[[#This Row],[Region]]="East","Erin",cleaneddata[[#This Row],[Region]]="South","Sam",cleaneddata[[#This Row],[Region]]="West","William")</f>
        <v>Sam</v>
      </c>
    </row>
    <row r="1936" spans="1:26" x14ac:dyDescent="0.3">
      <c r="A1936">
        <v>1472</v>
      </c>
      <c r="B1936" t="s">
        <v>2645</v>
      </c>
      <c r="C1936" t="s">
        <v>46</v>
      </c>
      <c r="D1936">
        <v>0.02</v>
      </c>
      <c r="E1936">
        <v>30.98</v>
      </c>
      <c r="F1936">
        <v>6.5</v>
      </c>
      <c r="G1936" t="s">
        <v>63</v>
      </c>
      <c r="H1936" t="s">
        <v>47</v>
      </c>
      <c r="I1936" t="s">
        <v>16</v>
      </c>
      <c r="J1936" t="s">
        <v>17</v>
      </c>
      <c r="K1936" t="s">
        <v>49</v>
      </c>
      <c r="L1936" t="s">
        <v>2831</v>
      </c>
      <c r="M1936">
        <v>0.79</v>
      </c>
      <c r="N1936" t="s">
        <v>8</v>
      </c>
      <c r="O1936" t="s">
        <v>87</v>
      </c>
      <c r="P1936" t="s">
        <v>293</v>
      </c>
      <c r="Q1936" t="s">
        <v>2646</v>
      </c>
      <c r="R1936">
        <v>44145</v>
      </c>
      <c r="S1936" s="1">
        <v>42185</v>
      </c>
      <c r="T1936" s="1">
        <v>42186</v>
      </c>
      <c r="U1936">
        <v>-44.624000000000002</v>
      </c>
      <c r="V1936">
        <v>17</v>
      </c>
      <c r="W1936">
        <v>552.89</v>
      </c>
      <c r="X1936">
        <v>87078</v>
      </c>
      <c r="Y1936">
        <f>cleaneddata[[#This Row],[Unit Price]]-cleaneddata[[#This Row],[Discount]]</f>
        <v>30.96</v>
      </c>
      <c r="Z1936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37" spans="1:26" x14ac:dyDescent="0.3">
      <c r="A1937">
        <v>2276</v>
      </c>
      <c r="B1937" t="s">
        <v>2985</v>
      </c>
      <c r="C1937" t="s">
        <v>46</v>
      </c>
      <c r="D1937">
        <v>0.01</v>
      </c>
      <c r="E1937">
        <v>195.99</v>
      </c>
      <c r="F1937">
        <v>8.99</v>
      </c>
      <c r="G1937" t="s">
        <v>14</v>
      </c>
      <c r="H1937" t="s">
        <v>15</v>
      </c>
      <c r="I1937" t="s">
        <v>16</v>
      </c>
      <c r="J1937" t="s">
        <v>111</v>
      </c>
      <c r="K1937" t="s">
        <v>49</v>
      </c>
      <c r="L1937" t="s">
        <v>1319</v>
      </c>
      <c r="M1937">
        <v>0.6</v>
      </c>
      <c r="N1937" t="s">
        <v>8</v>
      </c>
      <c r="O1937" t="s">
        <v>87</v>
      </c>
      <c r="P1937" t="s">
        <v>88</v>
      </c>
      <c r="Q1937" t="s">
        <v>2986</v>
      </c>
      <c r="R1937">
        <v>14304</v>
      </c>
      <c r="S1937" s="1">
        <v>42185</v>
      </c>
      <c r="T1937" s="1">
        <v>42185</v>
      </c>
      <c r="U1937">
        <v>2653.7813999999998</v>
      </c>
      <c r="V1937">
        <v>22</v>
      </c>
      <c r="W1937">
        <v>3846.06</v>
      </c>
      <c r="X1937">
        <v>91502</v>
      </c>
      <c r="Y1937">
        <f>cleaneddata[[#This Row],[Unit Price]]-cleaneddata[[#This Row],[Discount]]</f>
        <v>195.98000000000002</v>
      </c>
      <c r="Z1937" t="str">
        <f>_xlfn.IFS(cleaneddata[[#This Row],[Region]]="Central","Chris",cleaneddata[[#This Row],[Region]]="East","Erin",cleaneddata[[#This Row],[Region]]="South","Sam",cleaneddata[[#This Row],[Region]]="West","William")</f>
        <v>Erin</v>
      </c>
    </row>
    <row r="1938" spans="1:26" x14ac:dyDescent="0.3">
      <c r="J1938">
        <f>COUNT(cleaneddata[Product Sub-Category])</f>
        <v>0</v>
      </c>
      <c r="S1938" s="1"/>
      <c r="T1938" s="1"/>
      <c r="U1938">
        <f>SUM(cleaneddata[Profit])</f>
        <v>215023.39973715012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DA9933-BEA6-40B6-94F5-A3CDAADAAD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M</dc:creator>
  <cp:lastModifiedBy>Mahima M</cp:lastModifiedBy>
  <dcterms:created xsi:type="dcterms:W3CDTF">2025-11-19T04:54:31Z</dcterms:created>
  <dcterms:modified xsi:type="dcterms:W3CDTF">2025-11-19T04:55:02Z</dcterms:modified>
</cp:coreProperties>
</file>